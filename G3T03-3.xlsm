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mc:AlternateContent xmlns:mc="http://schemas.openxmlformats.org/markup-compatibility/2006">
    <mc:Choice Requires="x15">
      <x15ac:absPath xmlns:x15ac="http://schemas.microsoft.com/office/spreadsheetml/2010/11/ac" url="D:\IIMT\Academics\Class Data\Term 4\DAM\Final Project\Final Files\"/>
    </mc:Choice>
  </mc:AlternateContent>
  <xr:revisionPtr revIDLastSave="0" documentId="13_ncr:1_{61FD1ECF-CC65-4186-A6BE-FA428CA4BEEC}" xr6:coauthVersionLast="47" xr6:coauthVersionMax="47" xr10:uidLastSave="{00000000-0000-0000-0000-000000000000}"/>
  <bookViews>
    <workbookView xWindow="-110" yWindow="-110" windowWidth="19420" windowHeight="10300" tabRatio="830" activeTab="1" xr2:uid="{00000000-000D-0000-FFFF-FFFF00000000}"/>
  </bookViews>
  <sheets>
    <sheet name="Case Proposal" sheetId="1" r:id="rId1"/>
    <sheet name="Dashboard" sheetId="18" r:id="rId2"/>
    <sheet name="Solver" sheetId="17" r:id="rId3"/>
    <sheet name="Industry Data" sheetId="2" r:id="rId4"/>
    <sheet name="Industry Data Calculations" sheetId="15" r:id="rId5"/>
    <sheet name="Industry Data Topsis" sheetId="16" r:id="rId6"/>
    <sheet name="Company data" sheetId="3" r:id="rId7"/>
    <sheet name="Master_return and risk" sheetId="22" r:id="rId8"/>
    <sheet name="Data" sheetId="23" r:id="rId9"/>
    <sheet name="Return" sheetId="24" r:id="rId10"/>
    <sheet name="ESG Data" sheetId="4" r:id="rId11"/>
    <sheet name="CRISIL Ranking" sheetId="5" r:id="rId12"/>
    <sheet name="TOPSIS_FMCG" sheetId="19" r:id="rId13"/>
    <sheet name="TOPSIS_Electronics" sheetId="20" r:id="rId14"/>
    <sheet name="TOPSIS_Agro_Chemical" sheetId="21" r:id="rId15"/>
    <sheet name="TOPSIS_IT_Software" sheetId="6" r:id="rId16"/>
    <sheet name="TOPSIS_Hotels_and_Restaurants" sheetId="14" r:id="rId17"/>
    <sheet name="TOPSIS_Entertainment" sheetId="13" r:id="rId18"/>
    <sheet name="TOPSIS_Banks" sheetId="8" r:id="rId19"/>
    <sheet name="TOPSIS_Power_Gen_and_Dist" sheetId="11" r:id="rId20"/>
    <sheet name="TOPSIS_Cement" sheetId="12" r:id="rId21"/>
    <sheet name="TOPSIS_Automobiles" sheetId="7" r:id="rId22"/>
    <sheet name="TOPSIS_Pharmaceuticals" sheetId="9" r:id="rId23"/>
    <sheet name="TOPSIS_Infrastructure" sheetId="10" r:id="rId24"/>
  </sheets>
  <definedNames>
    <definedName name="_xlnm._FilterDatabase" localSheetId="10" hidden="1">'ESG Data'!$B$4:$I$605</definedName>
    <definedName name="_xlnm._FilterDatabase" localSheetId="3" hidden="1">'Industry Data'!$B$24:$F$65</definedName>
    <definedName name="Amount_Over">Solver!$H$4:$H$6</definedName>
    <definedName name="Amount_Under">Solver!$I$4:$I$6</definedName>
    <definedName name="Level_Achieved">Solver!$F$4:$F$6</definedName>
    <definedName name="solver_adj" localSheetId="1" hidden="1">Dashboard!$H$4:$H$18,Dashboard!$N$4:$N$21,Dashboard!$V$4:$W$9</definedName>
    <definedName name="solver_adj" localSheetId="2" hidden="1">Solver!$T$4:$U$8,Solver!$M$4:$M$21,Solver!$H$4:$H$21</definedName>
    <definedName name="solver_cvg" localSheetId="2" hidden="1">0.0001</definedName>
    <definedName name="solver_drv" localSheetId="2" hidden="1">1</definedName>
    <definedName name="solver_eng" localSheetId="1" hidden="1">1</definedName>
    <definedName name="solver_eng" localSheetId="2" hidden="1">2</definedName>
    <definedName name="solver_est" localSheetId="2" hidden="1">1</definedName>
    <definedName name="solver_itr" localSheetId="2" hidden="1">2147483647</definedName>
    <definedName name="solver_lhs1" localSheetId="1" hidden="1">Dashboard!$H$4:$H$18</definedName>
    <definedName name="solver_lhs1" localSheetId="2" hidden="1">Solver!$H$22</definedName>
    <definedName name="solver_lhs10" localSheetId="1" hidden="1">Dashboard!#REF!</definedName>
    <definedName name="solver_lhs11" localSheetId="1" hidden="1">Dashboard!$N$22</definedName>
    <definedName name="solver_lhs12" localSheetId="1" hidden="1">Dashboard!$Y$4:$Y$9</definedName>
    <definedName name="solver_lhs13" localSheetId="1" hidden="1">Dashboard!$H$4:$H$18</definedName>
    <definedName name="solver_lhs14" localSheetId="1" hidden="1">Dashboard!#REF!</definedName>
    <definedName name="solver_lhs15" localSheetId="1" hidden="1">Dashboard!$N$22</definedName>
    <definedName name="solver_lhs16" localSheetId="1" hidden="1">Dashboard!$Y$4:$Y$9</definedName>
    <definedName name="solver_lhs17" localSheetId="1" hidden="1">Dashboard!$H$4:$H$18</definedName>
    <definedName name="solver_lhs18" localSheetId="1" hidden="1">Dashboard!#REF!</definedName>
    <definedName name="solver_lhs19" localSheetId="1" hidden="1">Dashboard!$N$22</definedName>
    <definedName name="solver_lhs2" localSheetId="1" hidden="1">Dashboard!#REF!</definedName>
    <definedName name="solver_lhs2" localSheetId="2" hidden="1">Solver!$W$4:$W$8</definedName>
    <definedName name="solver_lhs20" localSheetId="1" hidden="1">Dashboard!$Y$4:$Y$9</definedName>
    <definedName name="solver_lhs21" localSheetId="1" hidden="1">Dashboard!$H$4:$H$18</definedName>
    <definedName name="solver_lhs22" localSheetId="1" hidden="1">Dashboard!#REF!</definedName>
    <definedName name="solver_lhs23" localSheetId="1" hidden="1">Dashboard!$N$22</definedName>
    <definedName name="solver_lhs24" localSheetId="1" hidden="1">Dashboard!$Y$4:$Y$9</definedName>
    <definedName name="solver_lhs25" localSheetId="1" hidden="1">Dashboard!#REF!</definedName>
    <definedName name="solver_lhs26" localSheetId="1" hidden="1">Dashboard!$N$22</definedName>
    <definedName name="solver_lhs27" localSheetId="1" hidden="1">Dashboard!$Y$4:$Y$8</definedName>
    <definedName name="solver_lhs28" localSheetId="1" hidden="1">Dashboard!$H$4:$H$18</definedName>
    <definedName name="solver_lhs29" localSheetId="1" hidden="1">Dashboard!#REF!</definedName>
    <definedName name="solver_lhs3" localSheetId="1" hidden="1">Dashboard!$N$22</definedName>
    <definedName name="solver_lhs3" localSheetId="2" hidden="1">Solver!$M$22</definedName>
    <definedName name="solver_lhs30" localSheetId="1" hidden="1">Dashboard!$N$22</definedName>
    <definedName name="solver_lhs31" localSheetId="1" hidden="1">Dashboard!$Y$4:$Y$8</definedName>
    <definedName name="solver_lhs32" localSheetId="1" hidden="1">Dashboard!$H$4:$H$18</definedName>
    <definedName name="solver_lhs33" localSheetId="1" hidden="1">Dashboard!#REF!</definedName>
    <definedName name="solver_lhs34" localSheetId="1" hidden="1">Dashboard!$N$22</definedName>
    <definedName name="solver_lhs35" localSheetId="1" hidden="1">Dashboard!$Y$4:$Y$8</definedName>
    <definedName name="solver_lhs36" localSheetId="1" hidden="1">Dashboard!$H$4:$H$18</definedName>
    <definedName name="solver_lhs37" localSheetId="1" hidden="1">Dashboard!#REF!</definedName>
    <definedName name="solver_lhs38" localSheetId="1" hidden="1">Dashboard!$N$22</definedName>
    <definedName name="solver_lhs39" localSheetId="1" hidden="1">Dashboard!$Y$4:$Y$8</definedName>
    <definedName name="solver_lhs4" localSheetId="1" hidden="1">Dashboard!$Y$4:$Y$9</definedName>
    <definedName name="solver_lhs4" localSheetId="2" hidden="1">Solver!$H$4:$H$21</definedName>
    <definedName name="solver_lhs40" localSheetId="1" hidden="1">Dashboard!$H$4:$H$18</definedName>
    <definedName name="solver_lhs41" localSheetId="1" hidden="1">Dashboard!#REF!</definedName>
    <definedName name="solver_lhs42" localSheetId="1" hidden="1">Dashboard!$N$22</definedName>
    <definedName name="solver_lhs43" localSheetId="1" hidden="1">Dashboard!$Y$4:$Y$8</definedName>
    <definedName name="solver_lhs44" localSheetId="1" hidden="1">Dashboard!$H$4:$H$18</definedName>
    <definedName name="solver_lhs45" localSheetId="1" hidden="1">Dashboard!#REF!</definedName>
    <definedName name="solver_lhs46" localSheetId="1" hidden="1">Dashboard!$N$22</definedName>
    <definedName name="solver_lhs47" localSheetId="1" hidden="1">Dashboard!$Y$4:$Y$8</definedName>
    <definedName name="solver_lhs48" localSheetId="1" hidden="1">Dashboard!$H$4:$H$18</definedName>
    <definedName name="solver_lhs49" localSheetId="1" hidden="1">Dashboard!#REF!</definedName>
    <definedName name="solver_lhs5" localSheetId="1" hidden="1">Dashboard!$H$4:$H$18</definedName>
    <definedName name="solver_lhs5" localSheetId="2" hidden="1">Solver!$M$4:$M$21</definedName>
    <definedName name="solver_lhs50" localSheetId="1" hidden="1">Dashboard!$N$22</definedName>
    <definedName name="solver_lhs51" localSheetId="1" hidden="1">Dashboard!$Y$4:$Y$8</definedName>
    <definedName name="solver_lhs52" localSheetId="1" hidden="1">Dashboard!$H$4:$H$18</definedName>
    <definedName name="solver_lhs53" localSheetId="1" hidden="1">Dashboard!#REF!</definedName>
    <definedName name="solver_lhs54" localSheetId="1" hidden="1">Dashboard!$N$22</definedName>
    <definedName name="solver_lhs55" localSheetId="1" hidden="1">Dashboard!$Y$4:$Y$8</definedName>
    <definedName name="solver_lhs56" localSheetId="1" hidden="1">Dashboard!$H$4:$H$18</definedName>
    <definedName name="solver_lhs57" localSheetId="1" hidden="1">Dashboard!$H$4:$H$18</definedName>
    <definedName name="solver_lhs58" localSheetId="1" hidden="1">Dashboard!#REF!</definedName>
    <definedName name="solver_lhs59" localSheetId="1" hidden="1">Dashboard!$N$22</definedName>
    <definedName name="solver_lhs6" localSheetId="1" hidden="1">Dashboard!#REF!</definedName>
    <definedName name="solver_lhs6" localSheetId="2" hidden="1">Solver!$M$4:$M$21</definedName>
    <definedName name="solver_lhs60" localSheetId="1" hidden="1">Dashboard!$Y$4:$Y$9</definedName>
    <definedName name="solver_lhs61" localSheetId="1" hidden="1">Dashboard!$H$4:$H$18</definedName>
    <definedName name="solver_lhs62" localSheetId="1" hidden="1">Dashboard!#REF!</definedName>
    <definedName name="solver_lhs63" localSheetId="1" hidden="1">Dashboard!$N$22</definedName>
    <definedName name="solver_lhs64" localSheetId="1" hidden="1">Dashboard!$Y$4:$Y$9</definedName>
    <definedName name="solver_lhs65" localSheetId="1" hidden="1">Dashboard!$H$4:$H$18</definedName>
    <definedName name="solver_lhs66" localSheetId="1" hidden="1">Dashboard!#REF!</definedName>
    <definedName name="solver_lhs67" localSheetId="1" hidden="1">Dashboard!$N$22</definedName>
    <definedName name="solver_lhs68" localSheetId="1" hidden="1">Dashboard!$Y$4:$Y$9</definedName>
    <definedName name="solver_lhs7" localSheetId="1" hidden="1">Dashboard!$N$22</definedName>
    <definedName name="solver_lhs7" localSheetId="2" hidden="1">Solver!$M$22</definedName>
    <definedName name="solver_lhs8" localSheetId="1" hidden="1">Dashboard!$Y$4:$Y$9</definedName>
    <definedName name="solver_lhs8" localSheetId="2" hidden="1">Solver!$W$4:$W$8</definedName>
    <definedName name="solver_lhs9" localSheetId="1" hidden="1">Dashboard!$H$4:$H$18</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1" hidden="1">1</definedName>
    <definedName name="solver_neg" localSheetId="2" hidden="1">1</definedName>
    <definedName name="solver_nod" localSheetId="2" hidden="1">2147483647</definedName>
    <definedName name="solver_num" localSheetId="1" hidden="1">4</definedName>
    <definedName name="solver_num" localSheetId="2" hidden="1">6</definedName>
    <definedName name="solver_nwt" localSheetId="2" hidden="1">1</definedName>
    <definedName name="solver_opt" localSheetId="1" hidden="1">Dashboard!$Y$13</definedName>
    <definedName name="solver_opt" localSheetId="2" hidden="1">Solver!$W$12</definedName>
    <definedName name="solver_pre" localSheetId="2" hidden="1">0.000001</definedName>
    <definedName name="solver_rbv" localSheetId="2" hidden="1">1</definedName>
    <definedName name="solver_rel1" localSheetId="1" hidden="1">5</definedName>
    <definedName name="solver_rel1" localSheetId="2" hidden="1">2</definedName>
    <definedName name="solver_rel10" localSheetId="1" hidden="1">2</definedName>
    <definedName name="solver_rel11" localSheetId="1" hidden="1">2</definedName>
    <definedName name="solver_rel12" localSheetId="1" hidden="1">2</definedName>
    <definedName name="solver_rel13" localSheetId="1" hidden="1">5</definedName>
    <definedName name="solver_rel14" localSheetId="1" hidden="1">2</definedName>
    <definedName name="solver_rel15" localSheetId="1" hidden="1">2</definedName>
    <definedName name="solver_rel16" localSheetId="1" hidden="1">2</definedName>
    <definedName name="solver_rel17" localSheetId="1" hidden="1">5</definedName>
    <definedName name="solver_rel18" localSheetId="1" hidden="1">2</definedName>
    <definedName name="solver_rel19" localSheetId="1" hidden="1">2</definedName>
    <definedName name="solver_rel2" localSheetId="1" hidden="1">2</definedName>
    <definedName name="solver_rel2" localSheetId="2" hidden="1">2</definedName>
    <definedName name="solver_rel20" localSheetId="1" hidden="1">2</definedName>
    <definedName name="solver_rel21" localSheetId="1" hidden="1">5</definedName>
    <definedName name="solver_rel22" localSheetId="1" hidden="1">2</definedName>
    <definedName name="solver_rel23" localSheetId="1" hidden="1">2</definedName>
    <definedName name="solver_rel24" localSheetId="1" hidden="1">2</definedName>
    <definedName name="solver_rel25" localSheetId="1" hidden="1">2</definedName>
    <definedName name="solver_rel26" localSheetId="1" hidden="1">2</definedName>
    <definedName name="solver_rel27" localSheetId="1" hidden="1">2</definedName>
    <definedName name="solver_rel28" localSheetId="1" hidden="1">5</definedName>
    <definedName name="solver_rel29" localSheetId="1" hidden="1">2</definedName>
    <definedName name="solver_rel3" localSheetId="1" hidden="1">2</definedName>
    <definedName name="solver_rel3" localSheetId="2" hidden="1">2</definedName>
    <definedName name="solver_rel30" localSheetId="1" hidden="1">2</definedName>
    <definedName name="solver_rel31" localSheetId="1" hidden="1">2</definedName>
    <definedName name="solver_rel32" localSheetId="1" hidden="1">5</definedName>
    <definedName name="solver_rel33" localSheetId="1" hidden="1">2</definedName>
    <definedName name="solver_rel34" localSheetId="1" hidden="1">2</definedName>
    <definedName name="solver_rel35" localSheetId="1" hidden="1">2</definedName>
    <definedName name="solver_rel36" localSheetId="1" hidden="1">5</definedName>
    <definedName name="solver_rel37" localSheetId="1" hidden="1">2</definedName>
    <definedName name="solver_rel38" localSheetId="1" hidden="1">2</definedName>
    <definedName name="solver_rel39" localSheetId="1" hidden="1">2</definedName>
    <definedName name="solver_rel4" localSheetId="1" hidden="1">2</definedName>
    <definedName name="solver_rel4" localSheetId="2" hidden="1">5</definedName>
    <definedName name="solver_rel40" localSheetId="1" hidden="1">5</definedName>
    <definedName name="solver_rel41" localSheetId="1" hidden="1">2</definedName>
    <definedName name="solver_rel42" localSheetId="1" hidden="1">2</definedName>
    <definedName name="solver_rel43" localSheetId="1" hidden="1">2</definedName>
    <definedName name="solver_rel44" localSheetId="1" hidden="1">5</definedName>
    <definedName name="solver_rel45" localSheetId="1" hidden="1">2</definedName>
    <definedName name="solver_rel46" localSheetId="1" hidden="1">2</definedName>
    <definedName name="solver_rel47" localSheetId="1" hidden="1">2</definedName>
    <definedName name="solver_rel48" localSheetId="1" hidden="1">5</definedName>
    <definedName name="solver_rel49" localSheetId="1" hidden="1">2</definedName>
    <definedName name="solver_rel5" localSheetId="1" hidden="1">5</definedName>
    <definedName name="solver_rel5" localSheetId="2" hidden="1">1</definedName>
    <definedName name="solver_rel50" localSheetId="1" hidden="1">2</definedName>
    <definedName name="solver_rel51" localSheetId="1" hidden="1">2</definedName>
    <definedName name="solver_rel52" localSheetId="1" hidden="1">5</definedName>
    <definedName name="solver_rel53" localSheetId="1" hidden="1">2</definedName>
    <definedName name="solver_rel54" localSheetId="1" hidden="1">2</definedName>
    <definedName name="solver_rel55" localSheetId="1" hidden="1">2</definedName>
    <definedName name="solver_rel56" localSheetId="1" hidden="1">5</definedName>
    <definedName name="solver_rel57" localSheetId="1" hidden="1">5</definedName>
    <definedName name="solver_rel58" localSheetId="1" hidden="1">2</definedName>
    <definedName name="solver_rel59" localSheetId="1" hidden="1">2</definedName>
    <definedName name="solver_rel6" localSheetId="1" hidden="1">2</definedName>
    <definedName name="solver_rel6" localSheetId="2" hidden="1">3</definedName>
    <definedName name="solver_rel60" localSheetId="1" hidden="1">2</definedName>
    <definedName name="solver_rel61" localSheetId="1" hidden="1">5</definedName>
    <definedName name="solver_rel62" localSheetId="1" hidden="1">2</definedName>
    <definedName name="solver_rel63" localSheetId="1" hidden="1">2</definedName>
    <definedName name="solver_rel64" localSheetId="1" hidden="1">2</definedName>
    <definedName name="solver_rel65" localSheetId="1" hidden="1">5</definedName>
    <definedName name="solver_rel66" localSheetId="1" hidden="1">2</definedName>
    <definedName name="solver_rel67" localSheetId="1" hidden="1">2</definedName>
    <definedName name="solver_rel68" localSheetId="1" hidden="1">2</definedName>
    <definedName name="solver_rel7" localSheetId="1" hidden="1">2</definedName>
    <definedName name="solver_rel7" localSheetId="2" hidden="1">2</definedName>
    <definedName name="solver_rel8" localSheetId="1" hidden="1">2</definedName>
    <definedName name="solver_rel8" localSheetId="2" hidden="1">2</definedName>
    <definedName name="solver_rel9" localSheetId="1" hidden="1">5</definedName>
    <definedName name="solver_rhs1" localSheetId="1" hidden="1">"binary"</definedName>
    <definedName name="solver_rhs1" localSheetId="2" hidden="1">Solver!$H$24</definedName>
    <definedName name="solver_rhs10" localSheetId="1" hidden="1">Dashboard!#REF!</definedName>
    <definedName name="solver_rhs11" localSheetId="1" hidden="1">Dashboard!$N$24</definedName>
    <definedName name="solver_rhs12" localSheetId="1" hidden="1">Dashboard!$AA$4:$AA$9</definedName>
    <definedName name="solver_rhs13" localSheetId="1" hidden="1">"binary"</definedName>
    <definedName name="solver_rhs14" localSheetId="1" hidden="1">Dashboard!#REF!</definedName>
    <definedName name="solver_rhs15" localSheetId="1" hidden="1">Dashboard!$N$24</definedName>
    <definedName name="solver_rhs16" localSheetId="1" hidden="1">Dashboard!$AA$4:$AA$9</definedName>
    <definedName name="solver_rhs17" localSheetId="1" hidden="1">"binary"</definedName>
    <definedName name="solver_rhs18" localSheetId="1" hidden="1">Dashboard!#REF!</definedName>
    <definedName name="solver_rhs19" localSheetId="1" hidden="1">Dashboard!$N$24</definedName>
    <definedName name="solver_rhs2" localSheetId="1" hidden="1">Dashboard!#REF!</definedName>
    <definedName name="solver_rhs2" localSheetId="2" hidden="1">Solver!$Y$4:$Y$8</definedName>
    <definedName name="solver_rhs20" localSheetId="1" hidden="1">Dashboard!$AA$4:$AA$9</definedName>
    <definedName name="solver_rhs21" localSheetId="1" hidden="1">"binary"</definedName>
    <definedName name="solver_rhs22" localSheetId="1" hidden="1">Dashboard!#REF!</definedName>
    <definedName name="solver_rhs23" localSheetId="1" hidden="1">Dashboard!$N$24</definedName>
    <definedName name="solver_rhs24" localSheetId="1" hidden="1">Dashboard!$AA$4:$AA$9</definedName>
    <definedName name="solver_rhs25" localSheetId="1" hidden="1">Dashboard!#REF!</definedName>
    <definedName name="solver_rhs26" localSheetId="1" hidden="1">Dashboard!$N$24</definedName>
    <definedName name="solver_rhs27" localSheetId="1" hidden="1">Dashboard!$AA$4:$AA$8</definedName>
    <definedName name="solver_rhs28" localSheetId="1" hidden="1">"binary"</definedName>
    <definedName name="solver_rhs29" localSheetId="1" hidden="1">Dashboard!#REF!</definedName>
    <definedName name="solver_rhs3" localSheetId="1" hidden="1">Dashboard!$N$24</definedName>
    <definedName name="solver_rhs3" localSheetId="2" hidden="1">Solver!$M$24</definedName>
    <definedName name="solver_rhs30" localSheetId="1" hidden="1">Dashboard!$N$24</definedName>
    <definedName name="solver_rhs31" localSheetId="1" hidden="1">Dashboard!$AA$4:$AA$8</definedName>
    <definedName name="solver_rhs32" localSheetId="1" hidden="1">"binary"</definedName>
    <definedName name="solver_rhs33" localSheetId="1" hidden="1">Dashboard!#REF!</definedName>
    <definedName name="solver_rhs34" localSheetId="1" hidden="1">Dashboard!$N$24</definedName>
    <definedName name="solver_rhs35" localSheetId="1" hidden="1">Dashboard!$AA$4:$AA$8</definedName>
    <definedName name="solver_rhs36" localSheetId="1" hidden="1">"binary"</definedName>
    <definedName name="solver_rhs37" localSheetId="1" hidden="1">Dashboard!#REF!</definedName>
    <definedName name="solver_rhs38" localSheetId="1" hidden="1">Dashboard!$N$24</definedName>
    <definedName name="solver_rhs39" localSheetId="1" hidden="1">Dashboard!$AA$4:$AA$8</definedName>
    <definedName name="solver_rhs4" localSheetId="1" hidden="1">Dashboard!$AA$4:$AA$9</definedName>
    <definedName name="solver_rhs4" localSheetId="2" hidden="1">"binary"</definedName>
    <definedName name="solver_rhs40" localSheetId="1" hidden="1">"binary"</definedName>
    <definedName name="solver_rhs41" localSheetId="1" hidden="1">Dashboard!#REF!</definedName>
    <definedName name="solver_rhs42" localSheetId="1" hidden="1">Dashboard!$N$24</definedName>
    <definedName name="solver_rhs43" localSheetId="1" hidden="1">Dashboard!$AA$4:$AA$8</definedName>
    <definedName name="solver_rhs44" localSheetId="1" hidden="1">"binary"</definedName>
    <definedName name="solver_rhs45" localSheetId="1" hidden="1">Dashboard!#REF!</definedName>
    <definedName name="solver_rhs46" localSheetId="1" hidden="1">Dashboard!$N$24</definedName>
    <definedName name="solver_rhs47" localSheetId="1" hidden="1">Dashboard!$AA$4:$AA$8</definedName>
    <definedName name="solver_rhs48" localSheetId="1" hidden="1">"binary"</definedName>
    <definedName name="solver_rhs49" localSheetId="1" hidden="1">Dashboard!#REF!</definedName>
    <definedName name="solver_rhs5" localSheetId="1" hidden="1">"binary"</definedName>
    <definedName name="solver_rhs5" localSheetId="2" hidden="1">Solver!$L$4:$L$21</definedName>
    <definedName name="solver_rhs50" localSheetId="1" hidden="1">Dashboard!$N$24</definedName>
    <definedName name="solver_rhs51" localSheetId="1" hidden="1">Dashboard!$AA$4:$AA$8</definedName>
    <definedName name="solver_rhs52" localSheetId="1" hidden="1">"binary"</definedName>
    <definedName name="solver_rhs53" localSheetId="1" hidden="1">Dashboard!#REF!</definedName>
    <definedName name="solver_rhs54" localSheetId="1" hidden="1">Dashboard!$N$24</definedName>
    <definedName name="solver_rhs55" localSheetId="1" hidden="1">Dashboard!$AA$4:$AA$8</definedName>
    <definedName name="solver_rhs56" localSheetId="1" hidden="1">"binary"</definedName>
    <definedName name="solver_rhs57" localSheetId="1" hidden="1">"binary"</definedName>
    <definedName name="solver_rhs58" localSheetId="1" hidden="1">Dashboard!#REF!</definedName>
    <definedName name="solver_rhs59" localSheetId="1" hidden="1">Dashboard!$N$24</definedName>
    <definedName name="solver_rhs6" localSheetId="1" hidden="1">Dashboard!#REF!</definedName>
    <definedName name="solver_rhs6" localSheetId="2" hidden="1">Solver!$N$4:$N$21</definedName>
    <definedName name="solver_rhs60" localSheetId="1" hidden="1">Dashboard!$AA$4:$AA$9</definedName>
    <definedName name="solver_rhs61" localSheetId="1" hidden="1">"binary"</definedName>
    <definedName name="solver_rhs62" localSheetId="1" hidden="1">Dashboard!#REF!</definedName>
    <definedName name="solver_rhs63" localSheetId="1" hidden="1">Dashboard!$N$24</definedName>
    <definedName name="solver_rhs64" localSheetId="1" hidden="1">Dashboard!$AA$4:$AA$9</definedName>
    <definedName name="solver_rhs65" localSheetId="1" hidden="1">"binary"</definedName>
    <definedName name="solver_rhs66" localSheetId="1" hidden="1">Dashboard!#REF!</definedName>
    <definedName name="solver_rhs67" localSheetId="1" hidden="1">Dashboard!$N$24</definedName>
    <definedName name="solver_rhs68" localSheetId="1" hidden="1">Dashboard!$AA$4:$AA$9</definedName>
    <definedName name="solver_rhs7" localSheetId="1" hidden="1">Dashboard!$N$24</definedName>
    <definedName name="solver_rhs7" localSheetId="2" hidden="1">Solver!$M$24</definedName>
    <definedName name="solver_rhs8" localSheetId="1" hidden="1">Dashboard!$AA$4:$AA$9</definedName>
    <definedName name="solver_rhs8" localSheetId="2" hidden="1">Solver!$Y$4:$Y$8</definedName>
    <definedName name="solver_rhs9" localSheetId="1" hidden="1">"binary"</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1" hidden="1">2</definedName>
    <definedName name="solver_typ" localSheetId="2" hidden="1">2</definedName>
    <definedName name="solver_val" localSheetId="1" hidden="1">0</definedName>
    <definedName name="solver_val" localSheetId="2" hidden="1">0</definedName>
    <definedName name="solver_ver" localSheetId="1" hidden="1">3</definedName>
    <definedName name="solver_ver" localSheetId="2" hidden="1">3</definedName>
  </definedNames>
  <calcPr calcId="191029"/>
</workbook>
</file>

<file path=xl/calcChain.xml><?xml version="1.0" encoding="utf-8"?>
<calcChain xmlns="http://schemas.openxmlformats.org/spreadsheetml/2006/main">
  <c r="M16" i="15" l="1"/>
  <c r="M15" i="15"/>
  <c r="Q7" i="11"/>
  <c r="P7" i="11"/>
  <c r="O7" i="11"/>
  <c r="N7" i="11"/>
  <c r="M7" i="11"/>
  <c r="L7" i="11"/>
  <c r="K7" i="11"/>
  <c r="J7" i="11"/>
  <c r="I7" i="11"/>
  <c r="H7" i="11"/>
  <c r="G7" i="11"/>
  <c r="F7" i="11"/>
  <c r="E7" i="11"/>
  <c r="D7" i="11"/>
  <c r="C7" i="11"/>
  <c r="Q6" i="11"/>
  <c r="P6" i="11"/>
  <c r="O6" i="11"/>
  <c r="N6" i="11"/>
  <c r="M6" i="11"/>
  <c r="L6" i="11"/>
  <c r="K6" i="11"/>
  <c r="J6" i="11"/>
  <c r="I6" i="11"/>
  <c r="H6" i="11"/>
  <c r="G6" i="11"/>
  <c r="F6" i="11"/>
  <c r="E6" i="11"/>
  <c r="D6" i="11"/>
  <c r="C6" i="11"/>
  <c r="Q5" i="11"/>
  <c r="P5" i="11"/>
  <c r="O5" i="11"/>
  <c r="N5" i="11"/>
  <c r="M5" i="11"/>
  <c r="L5" i="11"/>
  <c r="K5" i="11"/>
  <c r="J5" i="11"/>
  <c r="I5" i="11"/>
  <c r="H5" i="11"/>
  <c r="G5" i="11"/>
  <c r="F5" i="11"/>
  <c r="E5" i="11"/>
  <c r="D5" i="11"/>
  <c r="C5" i="11"/>
  <c r="Q4" i="11"/>
  <c r="P4" i="11"/>
  <c r="O4" i="11"/>
  <c r="N4" i="11"/>
  <c r="M4" i="11"/>
  <c r="L4" i="11"/>
  <c r="K4" i="11"/>
  <c r="J4" i="11"/>
  <c r="I4" i="11"/>
  <c r="H4" i="11"/>
  <c r="G4" i="11"/>
  <c r="F4" i="11"/>
  <c r="E4" i="11"/>
  <c r="D4" i="11"/>
  <c r="C4" i="11"/>
  <c r="Q3" i="11"/>
  <c r="P3" i="11"/>
  <c r="O3" i="11"/>
  <c r="N3" i="11"/>
  <c r="M3" i="11"/>
  <c r="L3" i="11"/>
  <c r="K3" i="11"/>
  <c r="J3" i="11"/>
  <c r="I3" i="11"/>
  <c r="H3" i="11"/>
  <c r="G3" i="11"/>
  <c r="F3" i="11"/>
  <c r="E3" i="11"/>
  <c r="D3" i="11"/>
  <c r="Q7" i="12"/>
  <c r="P7" i="12"/>
  <c r="O7" i="12"/>
  <c r="N7" i="12"/>
  <c r="M7" i="12"/>
  <c r="L7" i="12"/>
  <c r="K7" i="12"/>
  <c r="J7" i="12"/>
  <c r="I7" i="12"/>
  <c r="H7" i="12"/>
  <c r="G7" i="12"/>
  <c r="F7" i="12"/>
  <c r="E7" i="12"/>
  <c r="D7" i="12"/>
  <c r="C7" i="12"/>
  <c r="Q6" i="12"/>
  <c r="P6" i="12"/>
  <c r="O6" i="12"/>
  <c r="N6" i="12"/>
  <c r="M6" i="12"/>
  <c r="L6" i="12"/>
  <c r="K6" i="12"/>
  <c r="J6" i="12"/>
  <c r="I6" i="12"/>
  <c r="H6" i="12"/>
  <c r="G6" i="12"/>
  <c r="F6" i="12"/>
  <c r="E6" i="12"/>
  <c r="D6" i="12"/>
  <c r="C6" i="12"/>
  <c r="Q5" i="12"/>
  <c r="P5" i="12"/>
  <c r="O5" i="12"/>
  <c r="N5" i="12"/>
  <c r="M5" i="12"/>
  <c r="L5" i="12"/>
  <c r="K5" i="12"/>
  <c r="J5" i="12"/>
  <c r="I5" i="12"/>
  <c r="H5" i="12"/>
  <c r="G5" i="12"/>
  <c r="F5" i="12"/>
  <c r="E5" i="12"/>
  <c r="D5" i="12"/>
  <c r="C5" i="12"/>
  <c r="Q4" i="12"/>
  <c r="P4" i="12"/>
  <c r="O4" i="12"/>
  <c r="N4" i="12"/>
  <c r="M4" i="12"/>
  <c r="L4" i="12"/>
  <c r="K4" i="12"/>
  <c r="J4" i="12"/>
  <c r="I4" i="12"/>
  <c r="H4" i="12"/>
  <c r="G4" i="12"/>
  <c r="F4" i="12"/>
  <c r="E4" i="12"/>
  <c r="D4" i="12"/>
  <c r="C4" i="12"/>
  <c r="Q3" i="12"/>
  <c r="P3" i="12"/>
  <c r="O3" i="12"/>
  <c r="N3" i="12"/>
  <c r="M3" i="12"/>
  <c r="L3" i="12"/>
  <c r="K3" i="12"/>
  <c r="J3" i="12"/>
  <c r="I3" i="12"/>
  <c r="H3" i="12"/>
  <c r="G3" i="12"/>
  <c r="F3" i="12"/>
  <c r="E3" i="12"/>
  <c r="D3" i="12"/>
  <c r="Q7" i="7"/>
  <c r="P7" i="7"/>
  <c r="O7" i="7"/>
  <c r="N7" i="7"/>
  <c r="M7" i="7"/>
  <c r="L7" i="7"/>
  <c r="K7" i="7"/>
  <c r="J7" i="7"/>
  <c r="I7" i="7"/>
  <c r="H7" i="7"/>
  <c r="G7" i="7"/>
  <c r="F7" i="7"/>
  <c r="E7" i="7"/>
  <c r="D7" i="7"/>
  <c r="C7" i="7"/>
  <c r="Q6" i="7"/>
  <c r="P6" i="7"/>
  <c r="O6" i="7"/>
  <c r="N6" i="7"/>
  <c r="M6" i="7"/>
  <c r="L6" i="7"/>
  <c r="K6" i="7"/>
  <c r="J6" i="7"/>
  <c r="I6" i="7"/>
  <c r="H6" i="7"/>
  <c r="G6" i="7"/>
  <c r="F6" i="7"/>
  <c r="E6" i="7"/>
  <c r="D6" i="7"/>
  <c r="C6" i="7"/>
  <c r="Q5" i="7"/>
  <c r="P5" i="7"/>
  <c r="O5" i="7"/>
  <c r="N5" i="7"/>
  <c r="M5" i="7"/>
  <c r="L5" i="7"/>
  <c r="K5" i="7"/>
  <c r="J5" i="7"/>
  <c r="I5" i="7"/>
  <c r="H5" i="7"/>
  <c r="G5" i="7"/>
  <c r="F5" i="7"/>
  <c r="E5" i="7"/>
  <c r="D5" i="7"/>
  <c r="C5" i="7"/>
  <c r="Q4" i="7"/>
  <c r="P4" i="7"/>
  <c r="O4" i="7"/>
  <c r="N4" i="7"/>
  <c r="M4" i="7"/>
  <c r="L4" i="7"/>
  <c r="K4" i="7"/>
  <c r="J4" i="7"/>
  <c r="I4" i="7"/>
  <c r="H4" i="7"/>
  <c r="G4" i="7"/>
  <c r="F4" i="7"/>
  <c r="E4" i="7"/>
  <c r="D4" i="7"/>
  <c r="C4" i="7"/>
  <c r="Q3" i="7"/>
  <c r="P3" i="7"/>
  <c r="O3" i="7"/>
  <c r="N3" i="7"/>
  <c r="M3" i="7"/>
  <c r="L3" i="7"/>
  <c r="K3" i="7"/>
  <c r="J3" i="7"/>
  <c r="I3" i="7"/>
  <c r="H3" i="7"/>
  <c r="G3" i="7"/>
  <c r="F3" i="7"/>
  <c r="E3" i="7"/>
  <c r="D3" i="7"/>
  <c r="Q7" i="9"/>
  <c r="P7" i="9"/>
  <c r="O7" i="9"/>
  <c r="N7" i="9"/>
  <c r="M7" i="9"/>
  <c r="L7" i="9"/>
  <c r="K7" i="9"/>
  <c r="J7" i="9"/>
  <c r="I7" i="9"/>
  <c r="H7" i="9"/>
  <c r="G7" i="9"/>
  <c r="F7" i="9"/>
  <c r="E7" i="9"/>
  <c r="D7" i="9"/>
  <c r="C7" i="9"/>
  <c r="Q6" i="9"/>
  <c r="P6" i="9"/>
  <c r="O6" i="9"/>
  <c r="N6" i="9"/>
  <c r="M6" i="9"/>
  <c r="L6" i="9"/>
  <c r="K6" i="9"/>
  <c r="J6" i="9"/>
  <c r="I6" i="9"/>
  <c r="H6" i="9"/>
  <c r="G6" i="9"/>
  <c r="F6" i="9"/>
  <c r="E6" i="9"/>
  <c r="D6" i="9"/>
  <c r="C6" i="9"/>
  <c r="Q5" i="9"/>
  <c r="P5" i="9"/>
  <c r="O5" i="9"/>
  <c r="N5" i="9"/>
  <c r="M5" i="9"/>
  <c r="L5" i="9"/>
  <c r="K5" i="9"/>
  <c r="J5" i="9"/>
  <c r="I5" i="9"/>
  <c r="H5" i="9"/>
  <c r="G5" i="9"/>
  <c r="F5" i="9"/>
  <c r="E5" i="9"/>
  <c r="D5" i="9"/>
  <c r="C5" i="9"/>
  <c r="Q4" i="9"/>
  <c r="P4" i="9"/>
  <c r="O4" i="9"/>
  <c r="N4" i="9"/>
  <c r="M4" i="9"/>
  <c r="L4" i="9"/>
  <c r="K4" i="9"/>
  <c r="J4" i="9"/>
  <c r="I4" i="9"/>
  <c r="H4" i="9"/>
  <c r="G4" i="9"/>
  <c r="F4" i="9"/>
  <c r="E4" i="9"/>
  <c r="D4" i="9"/>
  <c r="C4" i="9"/>
  <c r="Q3" i="9"/>
  <c r="P3" i="9"/>
  <c r="O3" i="9"/>
  <c r="N3" i="9"/>
  <c r="M3" i="9"/>
  <c r="L3" i="9"/>
  <c r="K3" i="9"/>
  <c r="J3" i="9"/>
  <c r="I3" i="9"/>
  <c r="H3" i="9"/>
  <c r="G3" i="9"/>
  <c r="F3" i="9"/>
  <c r="E3" i="9"/>
  <c r="D3" i="9"/>
  <c r="Q7" i="10"/>
  <c r="P7" i="10"/>
  <c r="O7" i="10"/>
  <c r="N7" i="10"/>
  <c r="M7" i="10"/>
  <c r="L7" i="10"/>
  <c r="K7" i="10"/>
  <c r="J7" i="10"/>
  <c r="I7" i="10"/>
  <c r="H7" i="10"/>
  <c r="G7" i="10"/>
  <c r="F7" i="10"/>
  <c r="E7" i="10"/>
  <c r="D7" i="10"/>
  <c r="C7" i="10"/>
  <c r="Q6" i="10"/>
  <c r="P6" i="10"/>
  <c r="O6" i="10"/>
  <c r="N6" i="10"/>
  <c r="M6" i="10"/>
  <c r="L6" i="10"/>
  <c r="K6" i="10"/>
  <c r="J6" i="10"/>
  <c r="I6" i="10"/>
  <c r="H6" i="10"/>
  <c r="G6" i="10"/>
  <c r="F6" i="10"/>
  <c r="E6" i="10"/>
  <c r="D6" i="10"/>
  <c r="C6" i="10"/>
  <c r="Q5" i="10"/>
  <c r="P5" i="10"/>
  <c r="O5" i="10"/>
  <c r="N5" i="10"/>
  <c r="M5" i="10"/>
  <c r="L5" i="10"/>
  <c r="K5" i="10"/>
  <c r="J5" i="10"/>
  <c r="I5" i="10"/>
  <c r="H5" i="10"/>
  <c r="G5" i="10"/>
  <c r="F5" i="10"/>
  <c r="E5" i="10"/>
  <c r="D5" i="10"/>
  <c r="C5" i="10"/>
  <c r="Q4" i="10"/>
  <c r="P4" i="10"/>
  <c r="O4" i="10"/>
  <c r="N4" i="10"/>
  <c r="M4" i="10"/>
  <c r="L4" i="10"/>
  <c r="K4" i="10"/>
  <c r="J4" i="10"/>
  <c r="I4" i="10"/>
  <c r="H4" i="10"/>
  <c r="G4" i="10"/>
  <c r="F4" i="10"/>
  <c r="E4" i="10"/>
  <c r="D4" i="10"/>
  <c r="C4" i="10"/>
  <c r="Q3" i="10"/>
  <c r="P3" i="10"/>
  <c r="O3" i="10"/>
  <c r="N3" i="10"/>
  <c r="M3" i="10"/>
  <c r="L3" i="10"/>
  <c r="K3" i="10"/>
  <c r="J3" i="10"/>
  <c r="I3" i="10"/>
  <c r="H3" i="10"/>
  <c r="G3" i="10"/>
  <c r="F3" i="10"/>
  <c r="E3" i="10"/>
  <c r="D3" i="10"/>
  <c r="Q7" i="8"/>
  <c r="P7" i="8"/>
  <c r="O7" i="8"/>
  <c r="N7" i="8"/>
  <c r="M7" i="8"/>
  <c r="L7" i="8"/>
  <c r="K7" i="8"/>
  <c r="J7" i="8"/>
  <c r="I7" i="8"/>
  <c r="H7" i="8"/>
  <c r="G7" i="8"/>
  <c r="F7" i="8"/>
  <c r="E7" i="8"/>
  <c r="D7" i="8"/>
  <c r="C7" i="8"/>
  <c r="Q6" i="8"/>
  <c r="P6" i="8"/>
  <c r="O6" i="8"/>
  <c r="N6" i="8"/>
  <c r="M6" i="8"/>
  <c r="L6" i="8"/>
  <c r="K6" i="8"/>
  <c r="J6" i="8"/>
  <c r="I6" i="8"/>
  <c r="H6" i="8"/>
  <c r="G6" i="8"/>
  <c r="F6" i="8"/>
  <c r="E6" i="8"/>
  <c r="D6" i="8"/>
  <c r="C6" i="8"/>
  <c r="Q5" i="8"/>
  <c r="P5" i="8"/>
  <c r="O5" i="8"/>
  <c r="N5" i="8"/>
  <c r="M5" i="8"/>
  <c r="L5" i="8"/>
  <c r="K5" i="8"/>
  <c r="J5" i="8"/>
  <c r="I5" i="8"/>
  <c r="H5" i="8"/>
  <c r="G5" i="8"/>
  <c r="F5" i="8"/>
  <c r="E5" i="8"/>
  <c r="D5" i="8"/>
  <c r="C5" i="8"/>
  <c r="Q4" i="8"/>
  <c r="P4" i="8"/>
  <c r="O4" i="8"/>
  <c r="N4" i="8"/>
  <c r="M4" i="8"/>
  <c r="L4" i="8"/>
  <c r="K4" i="8"/>
  <c r="J4" i="8"/>
  <c r="I4" i="8"/>
  <c r="H4" i="8"/>
  <c r="G4" i="8"/>
  <c r="F4" i="8"/>
  <c r="E4" i="8"/>
  <c r="D4" i="8"/>
  <c r="C4" i="8"/>
  <c r="Q3" i="8"/>
  <c r="P3" i="8"/>
  <c r="O3" i="8"/>
  <c r="N3" i="8"/>
  <c r="M3" i="8"/>
  <c r="L3" i="8"/>
  <c r="K3" i="8"/>
  <c r="J3" i="8"/>
  <c r="I3" i="8"/>
  <c r="H3" i="8"/>
  <c r="G3" i="8"/>
  <c r="F3" i="8"/>
  <c r="E3" i="8"/>
  <c r="D3" i="8"/>
  <c r="C3" i="12"/>
  <c r="C3" i="7"/>
  <c r="C3" i="9"/>
  <c r="C3" i="10"/>
  <c r="C3" i="11"/>
  <c r="C3" i="8"/>
  <c r="C3" i="13"/>
  <c r="Q7" i="13"/>
  <c r="P7" i="13"/>
  <c r="O7" i="13"/>
  <c r="N7" i="13"/>
  <c r="M7" i="13"/>
  <c r="L7" i="13"/>
  <c r="K7" i="13"/>
  <c r="J7" i="13"/>
  <c r="I7" i="13"/>
  <c r="H7" i="13"/>
  <c r="G7" i="13"/>
  <c r="F7" i="13"/>
  <c r="E7" i="13"/>
  <c r="D7" i="13"/>
  <c r="C7" i="13"/>
  <c r="Q6" i="13"/>
  <c r="P6" i="13"/>
  <c r="O6" i="13"/>
  <c r="N6" i="13"/>
  <c r="M6" i="13"/>
  <c r="L6" i="13"/>
  <c r="K6" i="13"/>
  <c r="J6" i="13"/>
  <c r="I6" i="13"/>
  <c r="H6" i="13"/>
  <c r="G6" i="13"/>
  <c r="F6" i="13"/>
  <c r="E6" i="13"/>
  <c r="D6" i="13"/>
  <c r="C6" i="13"/>
  <c r="Q5" i="13"/>
  <c r="P5" i="13"/>
  <c r="O5" i="13"/>
  <c r="N5" i="13"/>
  <c r="M5" i="13"/>
  <c r="L5" i="13"/>
  <c r="K5" i="13"/>
  <c r="J5" i="13"/>
  <c r="I5" i="13"/>
  <c r="H5" i="13"/>
  <c r="G5" i="13"/>
  <c r="F5" i="13"/>
  <c r="E5" i="13"/>
  <c r="D5" i="13"/>
  <c r="C5" i="13"/>
  <c r="Q4" i="13"/>
  <c r="P4" i="13"/>
  <c r="O4" i="13"/>
  <c r="N4" i="13"/>
  <c r="M4" i="13"/>
  <c r="L4" i="13"/>
  <c r="K4" i="13"/>
  <c r="J4" i="13"/>
  <c r="I4" i="13"/>
  <c r="H4" i="13"/>
  <c r="G4" i="13"/>
  <c r="F4" i="13"/>
  <c r="E4" i="13"/>
  <c r="D4" i="13"/>
  <c r="C4" i="13"/>
  <c r="Q3" i="13"/>
  <c r="P3" i="13"/>
  <c r="O3" i="13"/>
  <c r="N3" i="13"/>
  <c r="M3" i="13"/>
  <c r="L3" i="13"/>
  <c r="K3" i="13"/>
  <c r="J3" i="13"/>
  <c r="I3" i="13"/>
  <c r="H3" i="13"/>
  <c r="G3" i="13"/>
  <c r="F3" i="13"/>
  <c r="E3" i="13"/>
  <c r="D3" i="13"/>
  <c r="C3" i="14"/>
  <c r="Q7" i="14"/>
  <c r="P7" i="14"/>
  <c r="O7" i="14"/>
  <c r="N7" i="14"/>
  <c r="M7" i="14"/>
  <c r="L7" i="14"/>
  <c r="K7" i="14"/>
  <c r="J7" i="14"/>
  <c r="I7" i="14"/>
  <c r="H7" i="14"/>
  <c r="G7" i="14"/>
  <c r="F7" i="14"/>
  <c r="E7" i="14"/>
  <c r="D7" i="14"/>
  <c r="C7" i="14"/>
  <c r="Q6" i="14"/>
  <c r="P6" i="14"/>
  <c r="O6" i="14"/>
  <c r="N6" i="14"/>
  <c r="M6" i="14"/>
  <c r="L6" i="14"/>
  <c r="K6" i="14"/>
  <c r="J6" i="14"/>
  <c r="I6" i="14"/>
  <c r="H6" i="14"/>
  <c r="G6" i="14"/>
  <c r="F6" i="14"/>
  <c r="E6" i="14"/>
  <c r="D6" i="14"/>
  <c r="C6" i="14"/>
  <c r="Q5" i="14"/>
  <c r="P5" i="14"/>
  <c r="O5" i="14"/>
  <c r="N5" i="14"/>
  <c r="M5" i="14"/>
  <c r="L5" i="14"/>
  <c r="K5" i="14"/>
  <c r="J5" i="14"/>
  <c r="I5" i="14"/>
  <c r="H5" i="14"/>
  <c r="G5" i="14"/>
  <c r="F5" i="14"/>
  <c r="E5" i="14"/>
  <c r="D5" i="14"/>
  <c r="C5" i="14"/>
  <c r="Q4" i="14"/>
  <c r="P4" i="14"/>
  <c r="O4" i="14"/>
  <c r="N4" i="14"/>
  <c r="M4" i="14"/>
  <c r="L4" i="14"/>
  <c r="K4" i="14"/>
  <c r="J4" i="14"/>
  <c r="I4" i="14"/>
  <c r="H4" i="14"/>
  <c r="G4" i="14"/>
  <c r="F4" i="14"/>
  <c r="E4" i="14"/>
  <c r="D4" i="14"/>
  <c r="C4" i="14"/>
  <c r="Q3" i="14"/>
  <c r="P3" i="14"/>
  <c r="O3" i="14"/>
  <c r="N3" i="14"/>
  <c r="M3" i="14"/>
  <c r="L3" i="14"/>
  <c r="K3" i="14"/>
  <c r="J3" i="14"/>
  <c r="I3" i="14"/>
  <c r="H3" i="14"/>
  <c r="G3" i="14"/>
  <c r="F3" i="14"/>
  <c r="E3" i="14"/>
  <c r="D3" i="14"/>
  <c r="C3" i="6"/>
  <c r="Q7" i="6"/>
  <c r="P7" i="6"/>
  <c r="O7" i="6"/>
  <c r="N7" i="6"/>
  <c r="M7" i="6"/>
  <c r="L7" i="6"/>
  <c r="K7" i="6"/>
  <c r="J7" i="6"/>
  <c r="I7" i="6"/>
  <c r="H7" i="6"/>
  <c r="G7" i="6"/>
  <c r="F7" i="6"/>
  <c r="E7" i="6"/>
  <c r="D7" i="6"/>
  <c r="C7" i="6"/>
  <c r="Q6" i="6"/>
  <c r="P6" i="6"/>
  <c r="O6" i="6"/>
  <c r="N6" i="6"/>
  <c r="M6" i="6"/>
  <c r="L6" i="6"/>
  <c r="K6" i="6"/>
  <c r="J6" i="6"/>
  <c r="I6" i="6"/>
  <c r="H6" i="6"/>
  <c r="G6" i="6"/>
  <c r="F6" i="6"/>
  <c r="E6" i="6"/>
  <c r="D6" i="6"/>
  <c r="C6" i="6"/>
  <c r="Q5" i="6"/>
  <c r="P5" i="6"/>
  <c r="O5" i="6"/>
  <c r="N5" i="6"/>
  <c r="M5" i="6"/>
  <c r="L5" i="6"/>
  <c r="K5" i="6"/>
  <c r="J5" i="6"/>
  <c r="I5" i="6"/>
  <c r="H5" i="6"/>
  <c r="G5" i="6"/>
  <c r="F5" i="6"/>
  <c r="E5" i="6"/>
  <c r="D5" i="6"/>
  <c r="C5" i="6"/>
  <c r="Q4" i="6"/>
  <c r="P4" i="6"/>
  <c r="O4" i="6"/>
  <c r="N4" i="6"/>
  <c r="M4" i="6"/>
  <c r="L4" i="6"/>
  <c r="K4" i="6"/>
  <c r="J4" i="6"/>
  <c r="I4" i="6"/>
  <c r="H4" i="6"/>
  <c r="G4" i="6"/>
  <c r="F4" i="6"/>
  <c r="E4" i="6"/>
  <c r="D4" i="6"/>
  <c r="C4" i="6"/>
  <c r="Q3" i="6"/>
  <c r="P3" i="6"/>
  <c r="O3" i="6"/>
  <c r="N3" i="6"/>
  <c r="M3" i="6"/>
  <c r="L3" i="6"/>
  <c r="K3" i="6"/>
  <c r="J3" i="6"/>
  <c r="I3" i="6"/>
  <c r="H3" i="6"/>
  <c r="G3" i="6"/>
  <c r="F3" i="6"/>
  <c r="E3" i="6"/>
  <c r="D3" i="6"/>
  <c r="C3" i="21"/>
  <c r="Q7" i="21"/>
  <c r="P7" i="21"/>
  <c r="O7" i="21"/>
  <c r="N7" i="21"/>
  <c r="M7" i="21"/>
  <c r="L7" i="21"/>
  <c r="K7" i="21"/>
  <c r="J7" i="21"/>
  <c r="I7" i="21"/>
  <c r="H7" i="21"/>
  <c r="G7" i="21"/>
  <c r="F7" i="21"/>
  <c r="E7" i="21"/>
  <c r="D7" i="21"/>
  <c r="C7" i="21"/>
  <c r="Q6" i="21"/>
  <c r="P6" i="21"/>
  <c r="O6" i="21"/>
  <c r="N6" i="21"/>
  <c r="M6" i="21"/>
  <c r="L6" i="21"/>
  <c r="K6" i="21"/>
  <c r="J6" i="21"/>
  <c r="I6" i="21"/>
  <c r="H6" i="21"/>
  <c r="G6" i="21"/>
  <c r="F6" i="21"/>
  <c r="E6" i="21"/>
  <c r="D6" i="21"/>
  <c r="C6" i="21"/>
  <c r="Q5" i="21"/>
  <c r="P5" i="21"/>
  <c r="O5" i="21"/>
  <c r="N5" i="21"/>
  <c r="M5" i="21"/>
  <c r="L5" i="21"/>
  <c r="K5" i="21"/>
  <c r="J5" i="21"/>
  <c r="I5" i="21"/>
  <c r="H5" i="21"/>
  <c r="G5" i="21"/>
  <c r="F5" i="21"/>
  <c r="E5" i="21"/>
  <c r="D5" i="21"/>
  <c r="C5" i="21"/>
  <c r="Q4" i="21"/>
  <c r="P4" i="21"/>
  <c r="O4" i="21"/>
  <c r="N4" i="21"/>
  <c r="M4" i="21"/>
  <c r="L4" i="21"/>
  <c r="K4" i="21"/>
  <c r="J4" i="21"/>
  <c r="I4" i="21"/>
  <c r="H4" i="21"/>
  <c r="G4" i="21"/>
  <c r="F4" i="21"/>
  <c r="E4" i="21"/>
  <c r="D4" i="21"/>
  <c r="C4" i="21"/>
  <c r="Q3" i="21"/>
  <c r="P3" i="21"/>
  <c r="O3" i="21"/>
  <c r="N3" i="21"/>
  <c r="M3" i="21"/>
  <c r="L3" i="21"/>
  <c r="K3" i="21"/>
  <c r="J3" i="21"/>
  <c r="I3" i="21"/>
  <c r="H3" i="21"/>
  <c r="G3" i="21"/>
  <c r="F3" i="21"/>
  <c r="E3" i="21"/>
  <c r="D3" i="21"/>
  <c r="C3" i="20"/>
  <c r="C10" i="20"/>
  <c r="Q7" i="20"/>
  <c r="P7" i="20"/>
  <c r="O7" i="20"/>
  <c r="N7" i="20"/>
  <c r="M7" i="20"/>
  <c r="L7" i="20"/>
  <c r="K7" i="20"/>
  <c r="J7" i="20"/>
  <c r="I7" i="20"/>
  <c r="H7" i="20"/>
  <c r="G7" i="20"/>
  <c r="F7" i="20"/>
  <c r="E7" i="20"/>
  <c r="D7" i="20"/>
  <c r="C7" i="20"/>
  <c r="Q6" i="20"/>
  <c r="P6" i="20"/>
  <c r="O6" i="20"/>
  <c r="N6" i="20"/>
  <c r="M6" i="20"/>
  <c r="L6" i="20"/>
  <c r="K6" i="20"/>
  <c r="J6" i="20"/>
  <c r="I6" i="20"/>
  <c r="H6" i="20"/>
  <c r="G6" i="20"/>
  <c r="F6" i="20"/>
  <c r="E6" i="20"/>
  <c r="D6" i="20"/>
  <c r="C6" i="20"/>
  <c r="Q5" i="20"/>
  <c r="P5" i="20"/>
  <c r="O5" i="20"/>
  <c r="N5" i="20"/>
  <c r="M5" i="20"/>
  <c r="L5" i="20"/>
  <c r="K5" i="20"/>
  <c r="J5" i="20"/>
  <c r="I5" i="20"/>
  <c r="H5" i="20"/>
  <c r="G5" i="20"/>
  <c r="F5" i="20"/>
  <c r="E5" i="20"/>
  <c r="D5" i="20"/>
  <c r="C5" i="20"/>
  <c r="Q4" i="20"/>
  <c r="P4" i="20"/>
  <c r="O4" i="20"/>
  <c r="N4" i="20"/>
  <c r="M4" i="20"/>
  <c r="L4" i="20"/>
  <c r="K4" i="20"/>
  <c r="J4" i="20"/>
  <c r="I4" i="20"/>
  <c r="H4" i="20"/>
  <c r="G4" i="20"/>
  <c r="F4" i="20"/>
  <c r="E4" i="20"/>
  <c r="D4" i="20"/>
  <c r="C4" i="20"/>
  <c r="Q3" i="20"/>
  <c r="P3" i="20"/>
  <c r="O3" i="20"/>
  <c r="N3" i="20"/>
  <c r="M3" i="20"/>
  <c r="L3" i="20"/>
  <c r="K3" i="20"/>
  <c r="J3" i="20"/>
  <c r="I3" i="20"/>
  <c r="H3" i="20"/>
  <c r="G3" i="20"/>
  <c r="F3" i="20"/>
  <c r="E3" i="20"/>
  <c r="D3" i="20"/>
  <c r="C3" i="19"/>
  <c r="F7" i="19"/>
  <c r="E7" i="19"/>
  <c r="D7" i="19"/>
  <c r="C7" i="19"/>
  <c r="F6" i="19"/>
  <c r="E6" i="19"/>
  <c r="D6" i="19"/>
  <c r="C6" i="19"/>
  <c r="F5" i="19"/>
  <c r="E5" i="19"/>
  <c r="D5" i="19"/>
  <c r="C5" i="19"/>
  <c r="F4" i="19"/>
  <c r="E4" i="19"/>
  <c r="D4" i="19"/>
  <c r="C4" i="19"/>
  <c r="F3" i="19"/>
  <c r="E3" i="19"/>
  <c r="D3" i="19"/>
  <c r="G3" i="19"/>
  <c r="Q7" i="19"/>
  <c r="P7" i="19"/>
  <c r="O7" i="19"/>
  <c r="N7" i="19"/>
  <c r="M7" i="19"/>
  <c r="L7" i="19"/>
  <c r="K7" i="19"/>
  <c r="J7" i="19"/>
  <c r="I7" i="19"/>
  <c r="H7" i="19"/>
  <c r="G7" i="19"/>
  <c r="Q6" i="19"/>
  <c r="P6" i="19"/>
  <c r="O6" i="19"/>
  <c r="N6" i="19"/>
  <c r="M6" i="19"/>
  <c r="L6" i="19"/>
  <c r="K6" i="19"/>
  <c r="J6" i="19"/>
  <c r="I6" i="19"/>
  <c r="H6" i="19"/>
  <c r="G6" i="19"/>
  <c r="Q5" i="19"/>
  <c r="P5" i="19"/>
  <c r="O5" i="19"/>
  <c r="N5" i="19"/>
  <c r="M5" i="19"/>
  <c r="L5" i="19"/>
  <c r="K5" i="19"/>
  <c r="J5" i="19"/>
  <c r="I5" i="19"/>
  <c r="H5" i="19"/>
  <c r="G5" i="19"/>
  <c r="Q4" i="19"/>
  <c r="P4" i="19"/>
  <c r="O4" i="19"/>
  <c r="N4" i="19"/>
  <c r="M4" i="19"/>
  <c r="L4" i="19"/>
  <c r="K4" i="19"/>
  <c r="J4" i="19"/>
  <c r="I4" i="19"/>
  <c r="H4" i="19"/>
  <c r="G4" i="19"/>
  <c r="Q3" i="19"/>
  <c r="P3" i="19"/>
  <c r="O3" i="19"/>
  <c r="N3" i="19"/>
  <c r="M3" i="19"/>
  <c r="L3" i="19"/>
  <c r="K3" i="19"/>
  <c r="J3" i="19"/>
  <c r="I3" i="19"/>
  <c r="H3" i="19"/>
  <c r="C6" i="22"/>
  <c r="B11" i="22" a="1"/>
  <c r="B11" i="22" s="1"/>
  <c r="BJ64" i="24"/>
  <c r="BI64" i="24"/>
  <c r="BH64" i="24"/>
  <c r="BG64" i="24"/>
  <c r="BF64" i="24"/>
  <c r="BE64" i="24"/>
  <c r="BD64" i="24"/>
  <c r="BC64" i="24"/>
  <c r="BB64" i="24"/>
  <c r="BA64" i="24"/>
  <c r="AZ64" i="24"/>
  <c r="AY64" i="24"/>
  <c r="AX64" i="24"/>
  <c r="AW64" i="24"/>
  <c r="AV64" i="24"/>
  <c r="AU64" i="24"/>
  <c r="AT64" i="24"/>
  <c r="AS64" i="24"/>
  <c r="AR64" i="24"/>
  <c r="AQ64" i="24"/>
  <c r="AP64" i="24"/>
  <c r="AO64" i="24"/>
  <c r="AN64" i="24"/>
  <c r="AM64" i="24"/>
  <c r="AL64" i="24"/>
  <c r="AK64" i="24"/>
  <c r="AJ64" i="24"/>
  <c r="AI64" i="24"/>
  <c r="AH64" i="24"/>
  <c r="AG64" i="24"/>
  <c r="AF64" i="24"/>
  <c r="AE64" i="24"/>
  <c r="AD64" i="24"/>
  <c r="AC64" i="24"/>
  <c r="AB64" i="24"/>
  <c r="AA64" i="24"/>
  <c r="Z64" i="24"/>
  <c r="Y64" i="24"/>
  <c r="X64" i="24"/>
  <c r="W64" i="24"/>
  <c r="V64" i="24"/>
  <c r="U64" i="24"/>
  <c r="T64" i="24"/>
  <c r="S64" i="24"/>
  <c r="R64" i="24"/>
  <c r="Q64" i="24"/>
  <c r="P64" i="24"/>
  <c r="O64" i="24"/>
  <c r="N64" i="24"/>
  <c r="M64" i="24"/>
  <c r="L64" i="24"/>
  <c r="K64" i="24"/>
  <c r="J64" i="24"/>
  <c r="I64" i="24"/>
  <c r="H64" i="24"/>
  <c r="G64" i="24"/>
  <c r="F64" i="24"/>
  <c r="E64" i="24"/>
  <c r="D64" i="24"/>
  <c r="C64" i="24"/>
  <c r="BJ63" i="24"/>
  <c r="BI63" i="24"/>
  <c r="BH63" i="24"/>
  <c r="BG63" i="24"/>
  <c r="BF63" i="24"/>
  <c r="BE63" i="24"/>
  <c r="BD63" i="24"/>
  <c r="BC63" i="24"/>
  <c r="BB63" i="24"/>
  <c r="BA63" i="24"/>
  <c r="AZ63" i="24"/>
  <c r="AY63" i="24"/>
  <c r="AX63" i="24"/>
  <c r="AW63" i="24"/>
  <c r="AV63" i="24"/>
  <c r="AU63" i="24"/>
  <c r="AT63" i="24"/>
  <c r="AS63" i="24"/>
  <c r="AR63" i="24"/>
  <c r="AQ63" i="24"/>
  <c r="AP63" i="24"/>
  <c r="AO63" i="24"/>
  <c r="AN63" i="24"/>
  <c r="AM63" i="24"/>
  <c r="AL63" i="24"/>
  <c r="AK63" i="24"/>
  <c r="AJ63" i="24"/>
  <c r="AI63" i="24"/>
  <c r="AH63" i="24"/>
  <c r="AG63" i="24"/>
  <c r="AF63" i="24"/>
  <c r="AE63" i="24"/>
  <c r="AD63" i="24"/>
  <c r="AC63" i="24"/>
  <c r="AB63" i="24"/>
  <c r="AA63" i="24"/>
  <c r="Z63" i="24"/>
  <c r="Y63" i="24"/>
  <c r="X63" i="24"/>
  <c r="W63" i="24"/>
  <c r="V63" i="24"/>
  <c r="U63" i="24"/>
  <c r="T63" i="24"/>
  <c r="S63" i="24"/>
  <c r="R63" i="24"/>
  <c r="Q63" i="24"/>
  <c r="P63" i="24"/>
  <c r="O63" i="24"/>
  <c r="N63" i="24"/>
  <c r="M63" i="24"/>
  <c r="L63" i="24"/>
  <c r="K63" i="24"/>
  <c r="J63" i="24"/>
  <c r="I63" i="24"/>
  <c r="H63" i="24"/>
  <c r="G63" i="24"/>
  <c r="F63" i="24"/>
  <c r="E63" i="24"/>
  <c r="D63" i="24"/>
  <c r="C63" i="24"/>
  <c r="BJ62" i="24"/>
  <c r="BI62" i="24"/>
  <c r="BH62" i="24"/>
  <c r="BG62" i="24"/>
  <c r="BF62" i="24"/>
  <c r="BE62" i="24"/>
  <c r="BD62" i="24"/>
  <c r="BC62" i="24"/>
  <c r="BB62" i="24"/>
  <c r="BA62" i="24"/>
  <c r="AZ62" i="24"/>
  <c r="AY62" i="24"/>
  <c r="AX62" i="24"/>
  <c r="AW62" i="24"/>
  <c r="AV62" i="24"/>
  <c r="AU62" i="24"/>
  <c r="AT62" i="24"/>
  <c r="AS62" i="24"/>
  <c r="AR62" i="24"/>
  <c r="AQ62" i="24"/>
  <c r="AP62" i="24"/>
  <c r="AO62" i="24"/>
  <c r="AN62" i="24"/>
  <c r="AM62" i="24"/>
  <c r="AL62" i="24"/>
  <c r="AK62" i="24"/>
  <c r="AJ62" i="24"/>
  <c r="AI62" i="24"/>
  <c r="AH62" i="24"/>
  <c r="AG62" i="24"/>
  <c r="AF62" i="24"/>
  <c r="AE62" i="24"/>
  <c r="AD62" i="24"/>
  <c r="AC62" i="24"/>
  <c r="AB62" i="24"/>
  <c r="AA62" i="24"/>
  <c r="Z62" i="24"/>
  <c r="Y62" i="24"/>
  <c r="X62" i="24"/>
  <c r="W62" i="24"/>
  <c r="V62" i="24"/>
  <c r="U62" i="24"/>
  <c r="T62" i="24"/>
  <c r="S62" i="24"/>
  <c r="R62" i="24"/>
  <c r="Q62" i="24"/>
  <c r="P62" i="24"/>
  <c r="O62" i="24"/>
  <c r="N62" i="24"/>
  <c r="M62" i="24"/>
  <c r="L62" i="24"/>
  <c r="K62" i="24"/>
  <c r="J62" i="24"/>
  <c r="I62" i="24"/>
  <c r="H62" i="24"/>
  <c r="G62" i="24"/>
  <c r="F62" i="24"/>
  <c r="E62" i="24"/>
  <c r="D62" i="24"/>
  <c r="C62" i="24"/>
  <c r="BJ61" i="24"/>
  <c r="BI61" i="24"/>
  <c r="BH61" i="24"/>
  <c r="BG61" i="24"/>
  <c r="BF61" i="24"/>
  <c r="BE61" i="24"/>
  <c r="BD61" i="24"/>
  <c r="BC61" i="24"/>
  <c r="BB61" i="24"/>
  <c r="BA61" i="24"/>
  <c r="AZ61" i="24"/>
  <c r="AY61" i="24"/>
  <c r="AX61" i="24"/>
  <c r="AW61" i="24"/>
  <c r="AV61" i="24"/>
  <c r="AU61" i="24"/>
  <c r="AT61" i="24"/>
  <c r="AS61" i="24"/>
  <c r="AR61" i="24"/>
  <c r="AQ61" i="24"/>
  <c r="AP61" i="24"/>
  <c r="AO61" i="24"/>
  <c r="AN61" i="24"/>
  <c r="AM61" i="24"/>
  <c r="AL61" i="24"/>
  <c r="AK61" i="24"/>
  <c r="AJ61" i="24"/>
  <c r="AI61" i="24"/>
  <c r="AH61" i="24"/>
  <c r="AG61" i="24"/>
  <c r="AF61" i="24"/>
  <c r="AE61" i="24"/>
  <c r="AD61" i="24"/>
  <c r="AC61" i="24"/>
  <c r="AB61" i="24"/>
  <c r="AA61" i="24"/>
  <c r="Z61" i="24"/>
  <c r="Y61" i="24"/>
  <c r="X61" i="24"/>
  <c r="W61" i="24"/>
  <c r="V61" i="24"/>
  <c r="U61" i="24"/>
  <c r="T61" i="24"/>
  <c r="S61" i="24"/>
  <c r="R61" i="24"/>
  <c r="Q61" i="24"/>
  <c r="P61" i="24"/>
  <c r="O61" i="24"/>
  <c r="N61" i="24"/>
  <c r="M61" i="24"/>
  <c r="L61" i="24"/>
  <c r="K61" i="24"/>
  <c r="J61" i="24"/>
  <c r="I61" i="24"/>
  <c r="H61" i="24"/>
  <c r="G61" i="24"/>
  <c r="F61" i="24"/>
  <c r="E61" i="24"/>
  <c r="D61" i="24"/>
  <c r="C61" i="24"/>
  <c r="BJ60" i="24"/>
  <c r="BI60" i="24"/>
  <c r="BH60" i="24"/>
  <c r="BG60" i="24"/>
  <c r="BF60" i="24"/>
  <c r="BE60" i="24"/>
  <c r="BD60" i="24"/>
  <c r="BC60" i="24"/>
  <c r="BB60" i="24"/>
  <c r="BA60" i="24"/>
  <c r="AZ60" i="24"/>
  <c r="AY60" i="24"/>
  <c r="AX60" i="24"/>
  <c r="AW60" i="24"/>
  <c r="AV60" i="24"/>
  <c r="AU60" i="24"/>
  <c r="AT60" i="24"/>
  <c r="AS60" i="24"/>
  <c r="AR60" i="24"/>
  <c r="AQ60" i="24"/>
  <c r="AP60" i="24"/>
  <c r="AO60" i="24"/>
  <c r="AN60" i="24"/>
  <c r="AM60" i="24"/>
  <c r="AL60" i="24"/>
  <c r="AK60" i="24"/>
  <c r="AJ60" i="24"/>
  <c r="AI60" i="24"/>
  <c r="AH60" i="24"/>
  <c r="AG60" i="24"/>
  <c r="AF60" i="24"/>
  <c r="AE60" i="24"/>
  <c r="AD60" i="24"/>
  <c r="AC60" i="24"/>
  <c r="AB60" i="24"/>
  <c r="AA60" i="24"/>
  <c r="Z60" i="24"/>
  <c r="Y60" i="24"/>
  <c r="X60" i="24"/>
  <c r="W60" i="24"/>
  <c r="V60" i="24"/>
  <c r="U60" i="24"/>
  <c r="T60" i="24"/>
  <c r="S60" i="24"/>
  <c r="R60" i="24"/>
  <c r="Q60" i="24"/>
  <c r="P60" i="24"/>
  <c r="O60" i="24"/>
  <c r="N60" i="24"/>
  <c r="M60" i="24"/>
  <c r="L60" i="24"/>
  <c r="K60" i="24"/>
  <c r="J60" i="24"/>
  <c r="I60" i="24"/>
  <c r="H60" i="24"/>
  <c r="G60" i="24"/>
  <c r="F60" i="24"/>
  <c r="E60" i="24"/>
  <c r="D60" i="24"/>
  <c r="C60" i="24"/>
  <c r="BJ59" i="24"/>
  <c r="BI59" i="24"/>
  <c r="BH59" i="24"/>
  <c r="BG59" i="24"/>
  <c r="BF59" i="24"/>
  <c r="BE59" i="24"/>
  <c r="BD59" i="24"/>
  <c r="BC59" i="24"/>
  <c r="BB59" i="24"/>
  <c r="BA59" i="24"/>
  <c r="AZ59" i="24"/>
  <c r="AY59" i="24"/>
  <c r="AX59" i="24"/>
  <c r="AW59" i="24"/>
  <c r="AV59" i="24"/>
  <c r="AU59" i="24"/>
  <c r="AT59" i="24"/>
  <c r="AS59" i="24"/>
  <c r="AR59" i="24"/>
  <c r="AQ59" i="24"/>
  <c r="AP59" i="24"/>
  <c r="AO59" i="24"/>
  <c r="AN59" i="24"/>
  <c r="AM59" i="24"/>
  <c r="AL59" i="24"/>
  <c r="AK59" i="24"/>
  <c r="AJ59" i="24"/>
  <c r="AI59" i="24"/>
  <c r="AH59" i="24"/>
  <c r="AG59" i="24"/>
  <c r="AF59" i="24"/>
  <c r="AE59" i="24"/>
  <c r="AD59" i="24"/>
  <c r="AC59" i="24"/>
  <c r="AB59" i="24"/>
  <c r="AA59" i="24"/>
  <c r="Z59" i="24"/>
  <c r="Y59" i="24"/>
  <c r="X59" i="24"/>
  <c r="W59" i="24"/>
  <c r="V59" i="24"/>
  <c r="U59" i="24"/>
  <c r="T59" i="24"/>
  <c r="S59" i="24"/>
  <c r="R59" i="24"/>
  <c r="Q59" i="24"/>
  <c r="P59" i="24"/>
  <c r="O59" i="24"/>
  <c r="N59" i="24"/>
  <c r="M59" i="24"/>
  <c r="L59" i="24"/>
  <c r="K59" i="24"/>
  <c r="J59" i="24"/>
  <c r="I59" i="24"/>
  <c r="H59" i="24"/>
  <c r="G59" i="24"/>
  <c r="F59" i="24"/>
  <c r="E59" i="24"/>
  <c r="D59" i="24"/>
  <c r="C59" i="24"/>
  <c r="BJ58" i="24"/>
  <c r="BI58" i="24"/>
  <c r="BH58" i="24"/>
  <c r="BG58" i="24"/>
  <c r="BF58" i="24"/>
  <c r="BE58" i="24"/>
  <c r="BD58" i="24"/>
  <c r="BC58" i="24"/>
  <c r="BB58" i="24"/>
  <c r="BA58" i="24"/>
  <c r="AZ58" i="24"/>
  <c r="AY58" i="24"/>
  <c r="AX58" i="24"/>
  <c r="AW58" i="24"/>
  <c r="AV58" i="24"/>
  <c r="AU58" i="24"/>
  <c r="AT58" i="24"/>
  <c r="AS58" i="24"/>
  <c r="AR58" i="24"/>
  <c r="AQ58" i="24"/>
  <c r="AP58" i="24"/>
  <c r="AO58" i="24"/>
  <c r="AN58" i="24"/>
  <c r="AM58" i="24"/>
  <c r="AL58" i="24"/>
  <c r="AK58" i="24"/>
  <c r="AJ58" i="24"/>
  <c r="AI58" i="24"/>
  <c r="AH58" i="24"/>
  <c r="AG58" i="24"/>
  <c r="AF58" i="24"/>
  <c r="AE58" i="24"/>
  <c r="AD58" i="24"/>
  <c r="AC58" i="24"/>
  <c r="AB58" i="24"/>
  <c r="AA58" i="24"/>
  <c r="Z58" i="24"/>
  <c r="Y58" i="24"/>
  <c r="X58" i="24"/>
  <c r="W58" i="24"/>
  <c r="V58" i="24"/>
  <c r="U58" i="24"/>
  <c r="T58" i="24"/>
  <c r="S58" i="24"/>
  <c r="R58" i="24"/>
  <c r="Q58" i="24"/>
  <c r="P58" i="24"/>
  <c r="O58" i="24"/>
  <c r="N58" i="24"/>
  <c r="M58" i="24"/>
  <c r="L58" i="24"/>
  <c r="K58" i="24"/>
  <c r="J58" i="24"/>
  <c r="I58" i="24"/>
  <c r="H58" i="24"/>
  <c r="G58" i="24"/>
  <c r="F58" i="24"/>
  <c r="E58" i="24"/>
  <c r="D58" i="24"/>
  <c r="C58" i="24"/>
  <c r="BJ57" i="24"/>
  <c r="BI57" i="24"/>
  <c r="BH57" i="24"/>
  <c r="BG57" i="24"/>
  <c r="BF57" i="24"/>
  <c r="BE57" i="24"/>
  <c r="BD57" i="24"/>
  <c r="BC57" i="24"/>
  <c r="BB57" i="24"/>
  <c r="BA57" i="24"/>
  <c r="AZ57" i="24"/>
  <c r="AY57" i="24"/>
  <c r="AX57" i="24"/>
  <c r="AW57" i="24"/>
  <c r="AV57" i="24"/>
  <c r="AU57" i="24"/>
  <c r="AT57" i="24"/>
  <c r="AS57" i="24"/>
  <c r="AR57" i="24"/>
  <c r="AQ57" i="24"/>
  <c r="AP57" i="24"/>
  <c r="AO57" i="24"/>
  <c r="AN57" i="24"/>
  <c r="AM57" i="24"/>
  <c r="AL57" i="24"/>
  <c r="AK57" i="24"/>
  <c r="AJ57" i="24"/>
  <c r="AI57" i="24"/>
  <c r="AH57" i="24"/>
  <c r="AG57" i="24"/>
  <c r="AF57" i="24"/>
  <c r="AE57" i="24"/>
  <c r="AD57" i="24"/>
  <c r="AC57" i="24"/>
  <c r="AB57" i="24"/>
  <c r="AA57" i="24"/>
  <c r="Z57" i="24"/>
  <c r="Y57" i="24"/>
  <c r="X57" i="24"/>
  <c r="W57" i="24"/>
  <c r="V57" i="24"/>
  <c r="U57" i="24"/>
  <c r="T57" i="24"/>
  <c r="S57" i="24"/>
  <c r="R57" i="24"/>
  <c r="Q57" i="24"/>
  <c r="P57" i="24"/>
  <c r="O57" i="24"/>
  <c r="N57" i="24"/>
  <c r="M57" i="24"/>
  <c r="L57" i="24"/>
  <c r="K57" i="24"/>
  <c r="J57" i="24"/>
  <c r="I57" i="24"/>
  <c r="H57" i="24"/>
  <c r="G57" i="24"/>
  <c r="F57" i="24"/>
  <c r="E57" i="24"/>
  <c r="D57" i="24"/>
  <c r="C57" i="24"/>
  <c r="BJ56" i="24"/>
  <c r="BI56" i="24"/>
  <c r="BH56" i="24"/>
  <c r="BG56" i="24"/>
  <c r="BF56" i="24"/>
  <c r="BE56" i="24"/>
  <c r="BD56" i="24"/>
  <c r="BC56" i="24"/>
  <c r="BB56" i="24"/>
  <c r="BA56" i="24"/>
  <c r="AZ56" i="24"/>
  <c r="AY56" i="24"/>
  <c r="AX56" i="24"/>
  <c r="AW56" i="24"/>
  <c r="AV56" i="24"/>
  <c r="AU56" i="24"/>
  <c r="AT56" i="24"/>
  <c r="AS56" i="24"/>
  <c r="AR56" i="24"/>
  <c r="AQ56" i="24"/>
  <c r="AP56" i="24"/>
  <c r="AO56" i="24"/>
  <c r="AN56" i="24"/>
  <c r="AM56" i="24"/>
  <c r="AL56" i="24"/>
  <c r="AK56" i="24"/>
  <c r="AJ56" i="24"/>
  <c r="AI56" i="24"/>
  <c r="AH56" i="24"/>
  <c r="AG56" i="24"/>
  <c r="AF56" i="24"/>
  <c r="AE56" i="24"/>
  <c r="AD56" i="24"/>
  <c r="AC56" i="24"/>
  <c r="AB56" i="24"/>
  <c r="AA56" i="24"/>
  <c r="Z56" i="24"/>
  <c r="Y56" i="24"/>
  <c r="X56" i="24"/>
  <c r="W56" i="24"/>
  <c r="V56" i="24"/>
  <c r="U56" i="24"/>
  <c r="T56" i="24"/>
  <c r="S56" i="24"/>
  <c r="R56" i="24"/>
  <c r="Q56" i="24"/>
  <c r="P56" i="24"/>
  <c r="O56" i="24"/>
  <c r="N56" i="24"/>
  <c r="M56" i="24"/>
  <c r="L56" i="24"/>
  <c r="K56" i="24"/>
  <c r="J56" i="24"/>
  <c r="I56" i="24"/>
  <c r="H56" i="24"/>
  <c r="G56" i="24"/>
  <c r="F56" i="24"/>
  <c r="E56" i="24"/>
  <c r="D56" i="24"/>
  <c r="C56" i="24"/>
  <c r="BJ55" i="24"/>
  <c r="BI55" i="24"/>
  <c r="BH55" i="24"/>
  <c r="BG55" i="24"/>
  <c r="BF55" i="24"/>
  <c r="BE55" i="24"/>
  <c r="BD55" i="24"/>
  <c r="BC55" i="24"/>
  <c r="BB55" i="24"/>
  <c r="BA55" i="24"/>
  <c r="AZ55" i="24"/>
  <c r="AY55" i="24"/>
  <c r="AX55" i="24"/>
  <c r="AW55" i="24"/>
  <c r="AV55" i="24"/>
  <c r="AU55" i="24"/>
  <c r="AT55" i="24"/>
  <c r="AS55" i="24"/>
  <c r="AR55" i="24"/>
  <c r="AQ55" i="24"/>
  <c r="AP55" i="24"/>
  <c r="AO55" i="24"/>
  <c r="AN55" i="24"/>
  <c r="AM55" i="24"/>
  <c r="AL55" i="24"/>
  <c r="AK55" i="24"/>
  <c r="AJ55" i="24"/>
  <c r="AI55" i="24"/>
  <c r="AH55" i="24"/>
  <c r="AG55" i="24"/>
  <c r="AF55" i="24"/>
  <c r="AE55" i="24"/>
  <c r="AD55" i="24"/>
  <c r="AC55" i="24"/>
  <c r="AB55" i="24"/>
  <c r="AA55" i="24"/>
  <c r="Z55" i="24"/>
  <c r="Y55" i="24"/>
  <c r="X55" i="24"/>
  <c r="W55" i="24"/>
  <c r="V55" i="24"/>
  <c r="U55" i="24"/>
  <c r="T55" i="24"/>
  <c r="S55" i="24"/>
  <c r="R55" i="24"/>
  <c r="Q55" i="24"/>
  <c r="P55" i="24"/>
  <c r="O55" i="24"/>
  <c r="N55" i="24"/>
  <c r="M55" i="24"/>
  <c r="L55" i="24"/>
  <c r="K55" i="24"/>
  <c r="J55" i="24"/>
  <c r="I55" i="24"/>
  <c r="H55" i="24"/>
  <c r="G55" i="24"/>
  <c r="F55" i="24"/>
  <c r="E55" i="24"/>
  <c r="D55" i="24"/>
  <c r="C55" i="24"/>
  <c r="BJ54" i="24"/>
  <c r="BI54" i="24"/>
  <c r="BH54" i="24"/>
  <c r="BG54" i="24"/>
  <c r="BF54" i="24"/>
  <c r="BE54" i="24"/>
  <c r="BD54" i="24"/>
  <c r="BC54" i="24"/>
  <c r="BB54" i="24"/>
  <c r="BA54" i="24"/>
  <c r="AZ54" i="24"/>
  <c r="AY54" i="24"/>
  <c r="AX54" i="24"/>
  <c r="AW54" i="24"/>
  <c r="AV54" i="24"/>
  <c r="AU54" i="24"/>
  <c r="AT54" i="24"/>
  <c r="AS54" i="24"/>
  <c r="AR54" i="24"/>
  <c r="AQ54" i="24"/>
  <c r="AP54" i="24"/>
  <c r="AO54" i="24"/>
  <c r="AN54" i="24"/>
  <c r="AM54" i="24"/>
  <c r="AL54" i="24"/>
  <c r="AK54" i="24"/>
  <c r="AJ54" i="24"/>
  <c r="AI54" i="24"/>
  <c r="AH54" i="24"/>
  <c r="AG54" i="24"/>
  <c r="AF54" i="24"/>
  <c r="AE54" i="24"/>
  <c r="AD54" i="24"/>
  <c r="AC54" i="24"/>
  <c r="AB54" i="24"/>
  <c r="AA54" i="24"/>
  <c r="Z54" i="24"/>
  <c r="Y54" i="24"/>
  <c r="X54" i="24"/>
  <c r="W54" i="24"/>
  <c r="V54" i="24"/>
  <c r="U54" i="24"/>
  <c r="T54" i="24"/>
  <c r="S54" i="24"/>
  <c r="R54" i="24"/>
  <c r="Q54" i="24"/>
  <c r="P54" i="24"/>
  <c r="O54" i="24"/>
  <c r="N54" i="24"/>
  <c r="M54" i="24"/>
  <c r="L54" i="24"/>
  <c r="K54" i="24"/>
  <c r="J54" i="24"/>
  <c r="I54" i="24"/>
  <c r="H54" i="24"/>
  <c r="G54" i="24"/>
  <c r="F54" i="24"/>
  <c r="E54" i="24"/>
  <c r="D54" i="24"/>
  <c r="C54" i="24"/>
  <c r="BJ53" i="24"/>
  <c r="BI53" i="24"/>
  <c r="BH53" i="24"/>
  <c r="BG53" i="24"/>
  <c r="BF53" i="24"/>
  <c r="BE53" i="24"/>
  <c r="BD53" i="24"/>
  <c r="BC53" i="24"/>
  <c r="BB53" i="24"/>
  <c r="BA53" i="24"/>
  <c r="AZ53" i="24"/>
  <c r="AY53" i="24"/>
  <c r="AX53" i="24"/>
  <c r="AW53" i="24"/>
  <c r="AV53" i="24"/>
  <c r="AU53" i="24"/>
  <c r="AT53" i="24"/>
  <c r="AS53" i="24"/>
  <c r="AR53" i="24"/>
  <c r="AQ53" i="24"/>
  <c r="AP53" i="24"/>
  <c r="AO53" i="24"/>
  <c r="AN53" i="24"/>
  <c r="AM53" i="24"/>
  <c r="AL53" i="24"/>
  <c r="AK53" i="24"/>
  <c r="AJ53" i="24"/>
  <c r="AI53" i="24"/>
  <c r="AH53" i="24"/>
  <c r="AG53" i="24"/>
  <c r="AF53" i="24"/>
  <c r="AE53" i="24"/>
  <c r="AD53" i="24"/>
  <c r="AC53" i="24"/>
  <c r="AB53" i="24"/>
  <c r="AA53" i="24"/>
  <c r="Z53" i="24"/>
  <c r="Y53" i="24"/>
  <c r="X53" i="24"/>
  <c r="W53" i="24"/>
  <c r="V53" i="24"/>
  <c r="U53" i="24"/>
  <c r="T53" i="24"/>
  <c r="S53" i="24"/>
  <c r="R53" i="24"/>
  <c r="Q53" i="24"/>
  <c r="P53" i="24"/>
  <c r="O53" i="24"/>
  <c r="N53" i="24"/>
  <c r="M53" i="24"/>
  <c r="L53" i="24"/>
  <c r="K53" i="24"/>
  <c r="J53" i="24"/>
  <c r="I53" i="24"/>
  <c r="H53" i="24"/>
  <c r="G53" i="24"/>
  <c r="F53" i="24"/>
  <c r="E53" i="24"/>
  <c r="D53" i="24"/>
  <c r="C53" i="24"/>
  <c r="BJ52" i="24"/>
  <c r="BI52" i="24"/>
  <c r="BH52" i="24"/>
  <c r="BG52" i="24"/>
  <c r="BF52" i="24"/>
  <c r="BE52" i="24"/>
  <c r="BD52" i="24"/>
  <c r="BC52" i="24"/>
  <c r="BB52" i="24"/>
  <c r="BA52" i="24"/>
  <c r="AZ52" i="24"/>
  <c r="AY52" i="24"/>
  <c r="AX52" i="24"/>
  <c r="AW52" i="24"/>
  <c r="AV52" i="24"/>
  <c r="AU52" i="24"/>
  <c r="AT52" i="24"/>
  <c r="AS52" i="24"/>
  <c r="AR52" i="24"/>
  <c r="AQ52" i="24"/>
  <c r="AP52" i="24"/>
  <c r="AO52" i="24"/>
  <c r="AN52" i="24"/>
  <c r="AM52" i="24"/>
  <c r="AL52" i="24"/>
  <c r="AK52" i="24"/>
  <c r="AJ52" i="24"/>
  <c r="AI52" i="24"/>
  <c r="AH52" i="24"/>
  <c r="AG52" i="24"/>
  <c r="AF52" i="24"/>
  <c r="AE52" i="24"/>
  <c r="AD52" i="24"/>
  <c r="AC52" i="24"/>
  <c r="AB52" i="24"/>
  <c r="AA52" i="24"/>
  <c r="Z52" i="24"/>
  <c r="Y52" i="24"/>
  <c r="X52" i="24"/>
  <c r="W52" i="24"/>
  <c r="V52" i="24"/>
  <c r="U52" i="24"/>
  <c r="T52" i="24"/>
  <c r="S52" i="24"/>
  <c r="R52" i="24"/>
  <c r="Q52" i="24"/>
  <c r="P52" i="24"/>
  <c r="O52" i="24"/>
  <c r="N52" i="24"/>
  <c r="M52" i="24"/>
  <c r="L52" i="24"/>
  <c r="K52" i="24"/>
  <c r="J52" i="24"/>
  <c r="I52" i="24"/>
  <c r="H52" i="24"/>
  <c r="G52" i="24"/>
  <c r="F52" i="24"/>
  <c r="E52" i="24"/>
  <c r="D52" i="24"/>
  <c r="C52" i="24"/>
  <c r="BJ51" i="24"/>
  <c r="BI51" i="24"/>
  <c r="BH51" i="24"/>
  <c r="BG51" i="24"/>
  <c r="BF51" i="24"/>
  <c r="BE51" i="24"/>
  <c r="BD51" i="24"/>
  <c r="BC51" i="24"/>
  <c r="BB51" i="24"/>
  <c r="BA51" i="24"/>
  <c r="AZ51" i="24"/>
  <c r="AY51" i="24"/>
  <c r="AX51" i="24"/>
  <c r="AW51" i="24"/>
  <c r="AV51" i="24"/>
  <c r="AU51" i="24"/>
  <c r="AT51" i="24"/>
  <c r="AS51" i="24"/>
  <c r="AR51" i="24"/>
  <c r="AQ51" i="24"/>
  <c r="AP51" i="24"/>
  <c r="AO51" i="24"/>
  <c r="AN51" i="24"/>
  <c r="AM51" i="24"/>
  <c r="AL51" i="24"/>
  <c r="AK51" i="24"/>
  <c r="AJ51" i="24"/>
  <c r="AI51" i="24"/>
  <c r="AH51" i="24"/>
  <c r="AG51" i="24"/>
  <c r="AF51" i="24"/>
  <c r="AE51" i="24"/>
  <c r="AD51" i="24"/>
  <c r="AC51" i="24"/>
  <c r="AB51" i="24"/>
  <c r="AA51" i="24"/>
  <c r="Z51" i="24"/>
  <c r="Y51" i="24"/>
  <c r="X51" i="24"/>
  <c r="W51" i="24"/>
  <c r="V51" i="24"/>
  <c r="U51" i="24"/>
  <c r="T51" i="24"/>
  <c r="S51" i="24"/>
  <c r="R51" i="24"/>
  <c r="Q51" i="24"/>
  <c r="P51" i="24"/>
  <c r="O51" i="24"/>
  <c r="N51" i="24"/>
  <c r="M51" i="24"/>
  <c r="L51" i="24"/>
  <c r="K51" i="24"/>
  <c r="J51" i="24"/>
  <c r="I51" i="24"/>
  <c r="H51" i="24"/>
  <c r="G51" i="24"/>
  <c r="F51" i="24"/>
  <c r="E51" i="24"/>
  <c r="D51" i="24"/>
  <c r="C51" i="24"/>
  <c r="BJ50" i="24"/>
  <c r="BI50" i="24"/>
  <c r="BH50" i="24"/>
  <c r="BG50" i="24"/>
  <c r="BF50" i="24"/>
  <c r="BE50" i="24"/>
  <c r="BD50" i="24"/>
  <c r="BC50" i="24"/>
  <c r="BB50" i="24"/>
  <c r="BA50" i="24"/>
  <c r="AZ50" i="24"/>
  <c r="AY50" i="24"/>
  <c r="AX50" i="24"/>
  <c r="AW50" i="24"/>
  <c r="AV50" i="24"/>
  <c r="AU50" i="24"/>
  <c r="AT50" i="24"/>
  <c r="AS50" i="24"/>
  <c r="AR50" i="24"/>
  <c r="AQ50" i="24"/>
  <c r="AP50" i="24"/>
  <c r="AO50" i="24"/>
  <c r="AN50" i="24"/>
  <c r="AM50" i="24"/>
  <c r="AL50" i="24"/>
  <c r="AK50" i="24"/>
  <c r="AJ50" i="24"/>
  <c r="AI50" i="24"/>
  <c r="AH50" i="24"/>
  <c r="AG50" i="24"/>
  <c r="AF50" i="24"/>
  <c r="AE50" i="24"/>
  <c r="AD50" i="24"/>
  <c r="AC50" i="24"/>
  <c r="AB50" i="24"/>
  <c r="AA50" i="24"/>
  <c r="Z50" i="24"/>
  <c r="Y50" i="24"/>
  <c r="X50" i="24"/>
  <c r="W50" i="24"/>
  <c r="V50" i="24"/>
  <c r="U50" i="24"/>
  <c r="T50" i="24"/>
  <c r="S50" i="24"/>
  <c r="R50" i="24"/>
  <c r="Q50" i="24"/>
  <c r="P50" i="24"/>
  <c r="O50" i="24"/>
  <c r="N50" i="24"/>
  <c r="M50" i="24"/>
  <c r="L50" i="24"/>
  <c r="K50" i="24"/>
  <c r="J50" i="24"/>
  <c r="I50" i="24"/>
  <c r="H50" i="24"/>
  <c r="G50" i="24"/>
  <c r="F50" i="24"/>
  <c r="E50" i="24"/>
  <c r="D50" i="24"/>
  <c r="C50" i="24"/>
  <c r="BJ49" i="24"/>
  <c r="BI49" i="24"/>
  <c r="BH49" i="24"/>
  <c r="BG49" i="24"/>
  <c r="BF49" i="24"/>
  <c r="BE49" i="24"/>
  <c r="BD49" i="24"/>
  <c r="BC49" i="24"/>
  <c r="BB49" i="24"/>
  <c r="BA49" i="24"/>
  <c r="AZ49" i="24"/>
  <c r="AY49" i="24"/>
  <c r="AX49" i="24"/>
  <c r="AW49" i="24"/>
  <c r="AV49" i="24"/>
  <c r="AU49" i="24"/>
  <c r="AT49" i="24"/>
  <c r="AS49" i="24"/>
  <c r="AR49" i="24"/>
  <c r="AQ49" i="24"/>
  <c r="AP49" i="24"/>
  <c r="AO49" i="24"/>
  <c r="AN49" i="24"/>
  <c r="AM49" i="24"/>
  <c r="AL49" i="24"/>
  <c r="AK49" i="24"/>
  <c r="AJ49" i="24"/>
  <c r="AI49" i="24"/>
  <c r="AH49" i="24"/>
  <c r="AG49" i="24"/>
  <c r="AF49" i="24"/>
  <c r="AE49" i="24"/>
  <c r="AD49" i="24"/>
  <c r="AC49" i="24"/>
  <c r="AB49" i="24"/>
  <c r="AA49" i="24"/>
  <c r="Z49" i="24"/>
  <c r="Y49" i="24"/>
  <c r="X49" i="24"/>
  <c r="W49" i="24"/>
  <c r="V49" i="24"/>
  <c r="U49" i="24"/>
  <c r="T49" i="24"/>
  <c r="S49" i="24"/>
  <c r="R49" i="24"/>
  <c r="Q49" i="24"/>
  <c r="P49" i="24"/>
  <c r="O49" i="24"/>
  <c r="N49" i="24"/>
  <c r="M49" i="24"/>
  <c r="L49" i="24"/>
  <c r="K49" i="24"/>
  <c r="J49" i="24"/>
  <c r="I49" i="24"/>
  <c r="H49" i="24"/>
  <c r="G49" i="24"/>
  <c r="F49" i="24"/>
  <c r="E49" i="24"/>
  <c r="D49" i="24"/>
  <c r="C49" i="24"/>
  <c r="BJ48" i="24"/>
  <c r="BI48" i="24"/>
  <c r="BH48" i="24"/>
  <c r="BG48" i="24"/>
  <c r="BF48" i="24"/>
  <c r="BE48" i="24"/>
  <c r="BD48" i="24"/>
  <c r="BC48" i="24"/>
  <c r="BB48" i="24"/>
  <c r="BA48" i="24"/>
  <c r="AZ48" i="24"/>
  <c r="AY48" i="24"/>
  <c r="AX48" i="24"/>
  <c r="AW48" i="24"/>
  <c r="AV48" i="24"/>
  <c r="AU48" i="24"/>
  <c r="AT48" i="24"/>
  <c r="AS48" i="24"/>
  <c r="AR48" i="24"/>
  <c r="AQ48" i="24"/>
  <c r="AP48" i="24"/>
  <c r="AO48" i="24"/>
  <c r="AN48" i="24"/>
  <c r="AM48" i="24"/>
  <c r="AL48" i="24"/>
  <c r="AK48" i="24"/>
  <c r="AJ48" i="24"/>
  <c r="AI48" i="24"/>
  <c r="AH48" i="24"/>
  <c r="AG48" i="24"/>
  <c r="AF48" i="24"/>
  <c r="AE48" i="24"/>
  <c r="AD48" i="24"/>
  <c r="AC48" i="24"/>
  <c r="AB48" i="24"/>
  <c r="AA48" i="24"/>
  <c r="Z48" i="24"/>
  <c r="Y48" i="24"/>
  <c r="X48" i="24"/>
  <c r="W48" i="24"/>
  <c r="V48" i="24"/>
  <c r="U48" i="24"/>
  <c r="T48" i="24"/>
  <c r="S48" i="24"/>
  <c r="R48" i="24"/>
  <c r="Q48" i="24"/>
  <c r="P48" i="24"/>
  <c r="O48" i="24"/>
  <c r="N48" i="24"/>
  <c r="M48" i="24"/>
  <c r="L48" i="24"/>
  <c r="K48" i="24"/>
  <c r="J48" i="24"/>
  <c r="I48" i="24"/>
  <c r="H48" i="24"/>
  <c r="G48" i="24"/>
  <c r="F48" i="24"/>
  <c r="E48" i="24"/>
  <c r="D48" i="24"/>
  <c r="C48" i="24"/>
  <c r="BJ47" i="24"/>
  <c r="BI47" i="24"/>
  <c r="BH47" i="24"/>
  <c r="BG47" i="24"/>
  <c r="BF47" i="24"/>
  <c r="BE47" i="24"/>
  <c r="BD47" i="24"/>
  <c r="BC47" i="24"/>
  <c r="BB47" i="24"/>
  <c r="BA47" i="24"/>
  <c r="AZ47" i="24"/>
  <c r="AY47" i="24"/>
  <c r="AX47" i="24"/>
  <c r="AW47" i="24"/>
  <c r="AV47" i="24"/>
  <c r="AU47" i="24"/>
  <c r="AT47" i="24"/>
  <c r="AS47" i="24"/>
  <c r="AR47" i="24"/>
  <c r="AQ47" i="24"/>
  <c r="AP47" i="24"/>
  <c r="AO47" i="24"/>
  <c r="AN47" i="24"/>
  <c r="AM47" i="24"/>
  <c r="AL47" i="24"/>
  <c r="AK47" i="24"/>
  <c r="AJ47" i="24"/>
  <c r="AI47" i="24"/>
  <c r="AH47" i="24"/>
  <c r="AG47" i="24"/>
  <c r="AF47" i="24"/>
  <c r="AE47" i="24"/>
  <c r="AD47" i="24"/>
  <c r="AC47" i="24"/>
  <c r="AB47" i="24"/>
  <c r="AA47" i="24"/>
  <c r="Z47" i="24"/>
  <c r="Y47" i="24"/>
  <c r="X47" i="24"/>
  <c r="W47" i="24"/>
  <c r="V47" i="24"/>
  <c r="U47" i="24"/>
  <c r="T47" i="24"/>
  <c r="S47" i="24"/>
  <c r="R47" i="24"/>
  <c r="Q47" i="24"/>
  <c r="P47" i="24"/>
  <c r="O47" i="24"/>
  <c r="N47" i="24"/>
  <c r="M47" i="24"/>
  <c r="L47" i="24"/>
  <c r="K47" i="24"/>
  <c r="J47" i="24"/>
  <c r="I47" i="24"/>
  <c r="H47" i="24"/>
  <c r="G47" i="24"/>
  <c r="F47" i="24"/>
  <c r="E47" i="24"/>
  <c r="D47" i="24"/>
  <c r="C47" i="24"/>
  <c r="BJ46" i="24"/>
  <c r="BI46" i="24"/>
  <c r="BH46" i="24"/>
  <c r="BG46" i="24"/>
  <c r="BF46" i="24"/>
  <c r="BE46" i="24"/>
  <c r="BD46" i="24"/>
  <c r="BC46" i="24"/>
  <c r="BB46" i="24"/>
  <c r="BA46" i="24"/>
  <c r="AZ46" i="24"/>
  <c r="AY46" i="24"/>
  <c r="AX46" i="24"/>
  <c r="AW46" i="24"/>
  <c r="AV46" i="24"/>
  <c r="AU46" i="24"/>
  <c r="AT46" i="24"/>
  <c r="AS46" i="24"/>
  <c r="AR46" i="24"/>
  <c r="AQ46" i="24"/>
  <c r="AP46" i="24"/>
  <c r="AO46" i="24"/>
  <c r="AN46" i="24"/>
  <c r="AM46" i="24"/>
  <c r="AL46" i="24"/>
  <c r="AK46" i="24"/>
  <c r="AJ46" i="24"/>
  <c r="AI46" i="24"/>
  <c r="AH46" i="24"/>
  <c r="AG46" i="24"/>
  <c r="AF46" i="24"/>
  <c r="AE46" i="24"/>
  <c r="AD46" i="24"/>
  <c r="AC46" i="24"/>
  <c r="AB46" i="24"/>
  <c r="AA46" i="24"/>
  <c r="Z46" i="24"/>
  <c r="Y46" i="24"/>
  <c r="X46" i="24"/>
  <c r="W46" i="24"/>
  <c r="V46" i="24"/>
  <c r="U46" i="24"/>
  <c r="T46" i="24"/>
  <c r="S46" i="24"/>
  <c r="R46" i="24"/>
  <c r="Q46" i="24"/>
  <c r="P46" i="24"/>
  <c r="O46" i="24"/>
  <c r="N46" i="24"/>
  <c r="M46" i="24"/>
  <c r="L46" i="24"/>
  <c r="K46" i="24"/>
  <c r="J46" i="24"/>
  <c r="I46" i="24"/>
  <c r="H46" i="24"/>
  <c r="G46" i="24"/>
  <c r="F46" i="24"/>
  <c r="E46" i="24"/>
  <c r="D46" i="24"/>
  <c r="C46" i="24"/>
  <c r="BJ45" i="24"/>
  <c r="BI45" i="24"/>
  <c r="BH45" i="24"/>
  <c r="BG45" i="24"/>
  <c r="BF45" i="24"/>
  <c r="BE45" i="24"/>
  <c r="BD45" i="24"/>
  <c r="BC45" i="24"/>
  <c r="BB45" i="24"/>
  <c r="BA45" i="24"/>
  <c r="AZ45" i="24"/>
  <c r="AY45" i="24"/>
  <c r="AX45" i="24"/>
  <c r="AW45" i="24"/>
  <c r="AV45" i="24"/>
  <c r="AU45" i="24"/>
  <c r="AT45" i="24"/>
  <c r="AS45" i="24"/>
  <c r="AR45" i="24"/>
  <c r="AQ45" i="24"/>
  <c r="AP45" i="24"/>
  <c r="AO45" i="24"/>
  <c r="AN45" i="24"/>
  <c r="AM45" i="24"/>
  <c r="AL45" i="24"/>
  <c r="AK45" i="24"/>
  <c r="AJ45" i="24"/>
  <c r="AI45" i="24"/>
  <c r="AH45" i="24"/>
  <c r="AG45" i="24"/>
  <c r="AF45" i="24"/>
  <c r="AE45" i="24"/>
  <c r="AD45" i="24"/>
  <c r="AC45" i="24"/>
  <c r="AB45" i="24"/>
  <c r="AA45" i="24"/>
  <c r="Z45" i="24"/>
  <c r="Y45" i="24"/>
  <c r="X45" i="24"/>
  <c r="W45" i="24"/>
  <c r="V45" i="24"/>
  <c r="U45" i="24"/>
  <c r="T45" i="24"/>
  <c r="S45" i="24"/>
  <c r="R45" i="24"/>
  <c r="Q45" i="24"/>
  <c r="P45" i="24"/>
  <c r="O45" i="24"/>
  <c r="N45" i="24"/>
  <c r="M45" i="24"/>
  <c r="L45" i="24"/>
  <c r="K45" i="24"/>
  <c r="J45" i="24"/>
  <c r="I45" i="24"/>
  <c r="H45" i="24"/>
  <c r="G45" i="24"/>
  <c r="F45" i="24"/>
  <c r="E45" i="24"/>
  <c r="D45" i="24"/>
  <c r="C45" i="24"/>
  <c r="BJ44" i="24"/>
  <c r="BI44" i="24"/>
  <c r="BH44" i="24"/>
  <c r="BG44" i="24"/>
  <c r="BF44" i="24"/>
  <c r="BE44" i="24"/>
  <c r="BD44" i="24"/>
  <c r="BC44" i="24"/>
  <c r="BB44" i="24"/>
  <c r="BA44" i="24"/>
  <c r="AZ44" i="24"/>
  <c r="AY44" i="24"/>
  <c r="AX44" i="24"/>
  <c r="AW44" i="24"/>
  <c r="AV44" i="24"/>
  <c r="AU44" i="24"/>
  <c r="AT44" i="24"/>
  <c r="AS44" i="24"/>
  <c r="AR44" i="24"/>
  <c r="AQ44" i="24"/>
  <c r="AP44" i="24"/>
  <c r="AO44" i="24"/>
  <c r="AN44" i="24"/>
  <c r="AM44" i="24"/>
  <c r="AL44" i="24"/>
  <c r="AK44" i="24"/>
  <c r="AJ44" i="24"/>
  <c r="AI44" i="24"/>
  <c r="AH44" i="24"/>
  <c r="AG44" i="24"/>
  <c r="AF44" i="24"/>
  <c r="AE44" i="24"/>
  <c r="AD44" i="24"/>
  <c r="AC44" i="24"/>
  <c r="AB44" i="24"/>
  <c r="AA44" i="24"/>
  <c r="Z44" i="24"/>
  <c r="Y44" i="24"/>
  <c r="X44" i="24"/>
  <c r="W44" i="24"/>
  <c r="V44" i="24"/>
  <c r="U44" i="24"/>
  <c r="T44" i="24"/>
  <c r="S44" i="24"/>
  <c r="R44" i="24"/>
  <c r="Q44" i="24"/>
  <c r="P44" i="24"/>
  <c r="O44" i="24"/>
  <c r="N44" i="24"/>
  <c r="M44" i="24"/>
  <c r="L44" i="24"/>
  <c r="K44" i="24"/>
  <c r="J44" i="24"/>
  <c r="I44" i="24"/>
  <c r="H44" i="24"/>
  <c r="G44" i="24"/>
  <c r="F44" i="24"/>
  <c r="E44" i="24"/>
  <c r="D44" i="24"/>
  <c r="C44" i="24"/>
  <c r="BJ43" i="24"/>
  <c r="BI43" i="24"/>
  <c r="BH43" i="24"/>
  <c r="BG43" i="24"/>
  <c r="BF43" i="24"/>
  <c r="BE43" i="24"/>
  <c r="BD43" i="24"/>
  <c r="BC43" i="24"/>
  <c r="BB43" i="24"/>
  <c r="BA43" i="24"/>
  <c r="AZ43" i="24"/>
  <c r="AY43" i="24"/>
  <c r="AX43" i="24"/>
  <c r="AW43" i="24"/>
  <c r="AV43" i="24"/>
  <c r="AU43" i="24"/>
  <c r="AT43" i="24"/>
  <c r="AS43" i="24"/>
  <c r="AR43" i="24"/>
  <c r="AQ43" i="24"/>
  <c r="AP43" i="24"/>
  <c r="AO43" i="24"/>
  <c r="AN43" i="24"/>
  <c r="AM43" i="24"/>
  <c r="AL43" i="24"/>
  <c r="AK43" i="24"/>
  <c r="AJ43" i="24"/>
  <c r="AI43" i="24"/>
  <c r="AH43" i="24"/>
  <c r="AG43" i="24"/>
  <c r="AF43" i="24"/>
  <c r="AE43" i="24"/>
  <c r="AD43" i="24"/>
  <c r="AC43" i="24"/>
  <c r="AB43" i="24"/>
  <c r="AA43" i="24"/>
  <c r="Z43" i="24"/>
  <c r="Y43" i="24"/>
  <c r="X43" i="24"/>
  <c r="W43" i="24"/>
  <c r="V43" i="24"/>
  <c r="U43" i="24"/>
  <c r="T43" i="24"/>
  <c r="S43" i="24"/>
  <c r="R43" i="24"/>
  <c r="Q43" i="24"/>
  <c r="P43" i="24"/>
  <c r="O43" i="24"/>
  <c r="N43" i="24"/>
  <c r="M43" i="24"/>
  <c r="L43" i="24"/>
  <c r="K43" i="24"/>
  <c r="J43" i="24"/>
  <c r="I43" i="24"/>
  <c r="H43" i="24"/>
  <c r="G43" i="24"/>
  <c r="F43" i="24"/>
  <c r="E43" i="24"/>
  <c r="D43" i="24"/>
  <c r="C43" i="24"/>
  <c r="BJ42" i="24"/>
  <c r="BI42" i="24"/>
  <c r="BH42" i="24"/>
  <c r="BG42" i="24"/>
  <c r="BF42" i="24"/>
  <c r="BE42" i="24"/>
  <c r="BD42" i="24"/>
  <c r="BC42" i="24"/>
  <c r="BB42" i="24"/>
  <c r="BA42" i="24"/>
  <c r="AZ42" i="24"/>
  <c r="AY42" i="24"/>
  <c r="AX42" i="24"/>
  <c r="AW42" i="24"/>
  <c r="AV42" i="24"/>
  <c r="AU42" i="24"/>
  <c r="AT42" i="24"/>
  <c r="AS42" i="24"/>
  <c r="AR42" i="24"/>
  <c r="AQ42" i="24"/>
  <c r="AP42" i="24"/>
  <c r="AO42" i="24"/>
  <c r="AN42" i="24"/>
  <c r="AM42" i="24"/>
  <c r="AL42" i="24"/>
  <c r="AK42" i="24"/>
  <c r="AJ42" i="24"/>
  <c r="AI42" i="24"/>
  <c r="AH42" i="24"/>
  <c r="AG42" i="24"/>
  <c r="AF42" i="24"/>
  <c r="AE42" i="24"/>
  <c r="AD42" i="24"/>
  <c r="AC42" i="24"/>
  <c r="AB42" i="24"/>
  <c r="AA42" i="24"/>
  <c r="Z42" i="24"/>
  <c r="Y42" i="24"/>
  <c r="X42" i="24"/>
  <c r="W42" i="24"/>
  <c r="V42" i="24"/>
  <c r="U42" i="24"/>
  <c r="T42" i="24"/>
  <c r="S42" i="24"/>
  <c r="R42" i="24"/>
  <c r="Q42" i="24"/>
  <c r="P42" i="24"/>
  <c r="O42" i="24"/>
  <c r="N42" i="24"/>
  <c r="M42" i="24"/>
  <c r="L42" i="24"/>
  <c r="K42" i="24"/>
  <c r="J42" i="24"/>
  <c r="I42" i="24"/>
  <c r="H42" i="24"/>
  <c r="G42" i="24"/>
  <c r="F42" i="24"/>
  <c r="E42" i="24"/>
  <c r="D42" i="24"/>
  <c r="C42" i="24"/>
  <c r="BJ41" i="24"/>
  <c r="BI41" i="24"/>
  <c r="BH41" i="24"/>
  <c r="BG41" i="24"/>
  <c r="BF41" i="24"/>
  <c r="BE41" i="24"/>
  <c r="BD41" i="24"/>
  <c r="BC41" i="24"/>
  <c r="BB41" i="24"/>
  <c r="BA41" i="24"/>
  <c r="AZ41" i="24"/>
  <c r="AY41" i="24"/>
  <c r="AX41" i="24"/>
  <c r="AW41" i="24"/>
  <c r="AV41" i="24"/>
  <c r="AU41" i="24"/>
  <c r="AT41" i="24"/>
  <c r="AS41" i="24"/>
  <c r="AR41" i="24"/>
  <c r="AQ41" i="24"/>
  <c r="AP41" i="24"/>
  <c r="AO41" i="24"/>
  <c r="AN41" i="24"/>
  <c r="AM41" i="24"/>
  <c r="AL41" i="24"/>
  <c r="AK41" i="24"/>
  <c r="AJ41" i="24"/>
  <c r="AI41" i="24"/>
  <c r="AH41" i="24"/>
  <c r="AG41" i="24"/>
  <c r="AF41" i="24"/>
  <c r="AE41" i="24"/>
  <c r="AD41" i="24"/>
  <c r="AC41" i="24"/>
  <c r="AB41" i="24"/>
  <c r="AA41" i="24"/>
  <c r="Z41" i="24"/>
  <c r="Y41" i="24"/>
  <c r="X41" i="24"/>
  <c r="W41" i="24"/>
  <c r="V41" i="24"/>
  <c r="U41" i="24"/>
  <c r="T41" i="24"/>
  <c r="S41" i="24"/>
  <c r="R41" i="24"/>
  <c r="Q41" i="24"/>
  <c r="P41" i="24"/>
  <c r="O41" i="24"/>
  <c r="N41" i="24"/>
  <c r="M41" i="24"/>
  <c r="L41" i="24"/>
  <c r="K41" i="24"/>
  <c r="J41" i="24"/>
  <c r="I41" i="24"/>
  <c r="H41" i="24"/>
  <c r="G41" i="24"/>
  <c r="F41" i="24"/>
  <c r="E41" i="24"/>
  <c r="D41" i="24"/>
  <c r="C41" i="24"/>
  <c r="BJ40" i="24"/>
  <c r="BI40" i="24"/>
  <c r="BH40" i="24"/>
  <c r="BG40" i="24"/>
  <c r="BF40" i="24"/>
  <c r="BE40" i="24"/>
  <c r="BD40" i="24"/>
  <c r="BC40" i="24"/>
  <c r="BB40" i="24"/>
  <c r="BA40" i="24"/>
  <c r="AZ40" i="24"/>
  <c r="AY40" i="24"/>
  <c r="AX40" i="24"/>
  <c r="AW40" i="24"/>
  <c r="AV40" i="24"/>
  <c r="AU40" i="24"/>
  <c r="AT40" i="24"/>
  <c r="AS40" i="24"/>
  <c r="AR40" i="24"/>
  <c r="AQ40" i="24"/>
  <c r="AP40" i="24"/>
  <c r="AO40" i="24"/>
  <c r="AN40" i="24"/>
  <c r="AM40" i="24"/>
  <c r="AL40" i="24"/>
  <c r="AK40" i="24"/>
  <c r="AJ40" i="24"/>
  <c r="AI40" i="24"/>
  <c r="AH40" i="24"/>
  <c r="AG40" i="24"/>
  <c r="AF40" i="24"/>
  <c r="AE40" i="24"/>
  <c r="AD40" i="24"/>
  <c r="AC40" i="24"/>
  <c r="AB40" i="24"/>
  <c r="AA40" i="24"/>
  <c r="Z40" i="24"/>
  <c r="Y40" i="24"/>
  <c r="X40" i="24"/>
  <c r="W40" i="24"/>
  <c r="V40" i="24"/>
  <c r="U40" i="24"/>
  <c r="T40" i="24"/>
  <c r="S40" i="24"/>
  <c r="R40" i="24"/>
  <c r="Q40" i="24"/>
  <c r="P40" i="24"/>
  <c r="O40" i="24"/>
  <c r="N40" i="24"/>
  <c r="M40" i="24"/>
  <c r="L40" i="24"/>
  <c r="K40" i="24"/>
  <c r="J40" i="24"/>
  <c r="I40" i="24"/>
  <c r="H40" i="24"/>
  <c r="G40" i="24"/>
  <c r="F40" i="24"/>
  <c r="E40" i="24"/>
  <c r="D40" i="24"/>
  <c r="C40" i="24"/>
  <c r="BJ39" i="24"/>
  <c r="BI39" i="24"/>
  <c r="BH39" i="24"/>
  <c r="BG39" i="24"/>
  <c r="BF39" i="24"/>
  <c r="BE39" i="24"/>
  <c r="BD39" i="24"/>
  <c r="BC39" i="24"/>
  <c r="BB39" i="24"/>
  <c r="BA39" i="24"/>
  <c r="AZ39" i="24"/>
  <c r="AY39" i="24"/>
  <c r="AX39" i="24"/>
  <c r="AW39" i="24"/>
  <c r="AV39" i="24"/>
  <c r="AU39" i="24"/>
  <c r="AT39" i="24"/>
  <c r="AS39" i="24"/>
  <c r="AR39" i="24"/>
  <c r="AQ39" i="24"/>
  <c r="AP39" i="24"/>
  <c r="AO39" i="24"/>
  <c r="AN39" i="24"/>
  <c r="AM39" i="24"/>
  <c r="AL39" i="24"/>
  <c r="AK39" i="24"/>
  <c r="AJ39" i="24"/>
  <c r="AI39" i="24"/>
  <c r="AH39" i="24"/>
  <c r="AG39" i="24"/>
  <c r="AF39" i="24"/>
  <c r="AE39" i="24"/>
  <c r="AD39" i="24"/>
  <c r="AC39" i="24"/>
  <c r="AB39" i="24"/>
  <c r="AA39" i="24"/>
  <c r="Z39" i="24"/>
  <c r="Y39" i="24"/>
  <c r="X39" i="24"/>
  <c r="W39" i="24"/>
  <c r="V39" i="24"/>
  <c r="U39" i="24"/>
  <c r="T39" i="24"/>
  <c r="S39" i="24"/>
  <c r="R39" i="24"/>
  <c r="Q39" i="24"/>
  <c r="P39" i="24"/>
  <c r="O39" i="24"/>
  <c r="N39" i="24"/>
  <c r="M39" i="24"/>
  <c r="L39" i="24"/>
  <c r="K39" i="24"/>
  <c r="J39" i="24"/>
  <c r="I39" i="24"/>
  <c r="H39" i="24"/>
  <c r="G39" i="24"/>
  <c r="F39" i="24"/>
  <c r="E39" i="24"/>
  <c r="D39" i="24"/>
  <c r="C39" i="24"/>
  <c r="BJ38" i="24"/>
  <c r="BI38" i="24"/>
  <c r="BH38" i="24"/>
  <c r="BG38" i="24"/>
  <c r="BF38" i="24"/>
  <c r="BE38" i="24"/>
  <c r="BD38" i="24"/>
  <c r="BC38" i="24"/>
  <c r="BB38" i="24"/>
  <c r="BA38" i="24"/>
  <c r="AZ38" i="24"/>
  <c r="AY38" i="24"/>
  <c r="AX38" i="24"/>
  <c r="AW38" i="24"/>
  <c r="AV38" i="24"/>
  <c r="AU38" i="24"/>
  <c r="AT38" i="24"/>
  <c r="AS38" i="24"/>
  <c r="AR38" i="24"/>
  <c r="AQ38" i="24"/>
  <c r="AP38" i="24"/>
  <c r="AO38" i="24"/>
  <c r="AN38" i="24"/>
  <c r="AM38" i="24"/>
  <c r="AL38" i="24"/>
  <c r="AK38" i="24"/>
  <c r="AJ38" i="24"/>
  <c r="AI38" i="24"/>
  <c r="AH38" i="24"/>
  <c r="AG38" i="24"/>
  <c r="AF38" i="24"/>
  <c r="AE38" i="24"/>
  <c r="AD38" i="24"/>
  <c r="AC38" i="24"/>
  <c r="AB38" i="24"/>
  <c r="AA38" i="24"/>
  <c r="Z38" i="24"/>
  <c r="Y38" i="24"/>
  <c r="X38" i="24"/>
  <c r="W38" i="24"/>
  <c r="V38" i="24"/>
  <c r="U38" i="24"/>
  <c r="T38" i="24"/>
  <c r="S38" i="24"/>
  <c r="R38" i="24"/>
  <c r="Q38" i="24"/>
  <c r="P38" i="24"/>
  <c r="O38" i="24"/>
  <c r="N38" i="24"/>
  <c r="M38" i="24"/>
  <c r="L38" i="24"/>
  <c r="K38" i="24"/>
  <c r="J38" i="24"/>
  <c r="I38" i="24"/>
  <c r="H38" i="24"/>
  <c r="G38" i="24"/>
  <c r="F38" i="24"/>
  <c r="E38" i="24"/>
  <c r="D38" i="24"/>
  <c r="C38" i="24"/>
  <c r="BJ37" i="24"/>
  <c r="BI37" i="24"/>
  <c r="BH37" i="24"/>
  <c r="BG37" i="24"/>
  <c r="BF37" i="24"/>
  <c r="BE37" i="24"/>
  <c r="BD37" i="24"/>
  <c r="BC37" i="24"/>
  <c r="BB37" i="24"/>
  <c r="BA37" i="24"/>
  <c r="AZ37" i="24"/>
  <c r="AY37" i="24"/>
  <c r="AX37" i="24"/>
  <c r="AW37" i="24"/>
  <c r="AV37" i="24"/>
  <c r="AU37" i="24"/>
  <c r="AT37" i="24"/>
  <c r="AS37" i="24"/>
  <c r="AR37" i="24"/>
  <c r="AQ37" i="24"/>
  <c r="AP37" i="24"/>
  <c r="AO37" i="24"/>
  <c r="AN37" i="24"/>
  <c r="AM37" i="24"/>
  <c r="AL37" i="24"/>
  <c r="AK37" i="24"/>
  <c r="AJ37" i="24"/>
  <c r="AI37" i="24"/>
  <c r="AH37" i="24"/>
  <c r="AG37" i="24"/>
  <c r="AF37" i="24"/>
  <c r="AE37" i="24"/>
  <c r="AD37" i="24"/>
  <c r="AC37" i="24"/>
  <c r="AB37" i="24"/>
  <c r="AA37" i="24"/>
  <c r="Z37" i="24"/>
  <c r="Y37" i="24"/>
  <c r="X37" i="24"/>
  <c r="W37" i="24"/>
  <c r="V37" i="24"/>
  <c r="U37" i="24"/>
  <c r="T37" i="24"/>
  <c r="S37" i="24"/>
  <c r="R37" i="24"/>
  <c r="Q37" i="24"/>
  <c r="P37" i="24"/>
  <c r="O37" i="24"/>
  <c r="N37" i="24"/>
  <c r="M37" i="24"/>
  <c r="L37" i="24"/>
  <c r="K37" i="24"/>
  <c r="J37" i="24"/>
  <c r="I37" i="24"/>
  <c r="H37" i="24"/>
  <c r="G37" i="24"/>
  <c r="F37" i="24"/>
  <c r="E37" i="24"/>
  <c r="D37" i="24"/>
  <c r="C37" i="24"/>
  <c r="BJ36" i="24"/>
  <c r="BI36" i="24"/>
  <c r="BH36" i="24"/>
  <c r="BG36" i="24"/>
  <c r="BF36" i="24"/>
  <c r="BE36" i="24"/>
  <c r="BD36" i="24"/>
  <c r="BC36" i="24"/>
  <c r="BB36" i="24"/>
  <c r="BA36" i="24"/>
  <c r="AZ36" i="24"/>
  <c r="AY36" i="24"/>
  <c r="AX36" i="24"/>
  <c r="AW36" i="24"/>
  <c r="AV36" i="24"/>
  <c r="AU36" i="24"/>
  <c r="AT36" i="24"/>
  <c r="AS36" i="24"/>
  <c r="AR36" i="24"/>
  <c r="AQ36" i="24"/>
  <c r="AP36" i="24"/>
  <c r="AO36" i="24"/>
  <c r="AN36" i="24"/>
  <c r="AM36" i="24"/>
  <c r="AL36" i="24"/>
  <c r="AK36" i="24"/>
  <c r="AJ36" i="24"/>
  <c r="AI36" i="24"/>
  <c r="AH36" i="24"/>
  <c r="AG36" i="24"/>
  <c r="AF36" i="24"/>
  <c r="AE36" i="24"/>
  <c r="AD36" i="24"/>
  <c r="AC36" i="24"/>
  <c r="AB36" i="24"/>
  <c r="AA36" i="24"/>
  <c r="Z36" i="24"/>
  <c r="Y36" i="24"/>
  <c r="X36" i="24"/>
  <c r="W36" i="24"/>
  <c r="V36" i="24"/>
  <c r="U36" i="24"/>
  <c r="T36" i="24"/>
  <c r="S36" i="24"/>
  <c r="R36" i="24"/>
  <c r="Q36" i="24"/>
  <c r="P36" i="24"/>
  <c r="O36" i="24"/>
  <c r="N36" i="24"/>
  <c r="M36" i="24"/>
  <c r="L36" i="24"/>
  <c r="K36" i="24"/>
  <c r="J36" i="24"/>
  <c r="I36" i="24"/>
  <c r="H36" i="24"/>
  <c r="G36" i="24"/>
  <c r="F36" i="24"/>
  <c r="E36" i="24"/>
  <c r="D36" i="24"/>
  <c r="C36" i="24"/>
  <c r="BJ35" i="24"/>
  <c r="BI35" i="24"/>
  <c r="BH35" i="24"/>
  <c r="BG35" i="24"/>
  <c r="BF35" i="24"/>
  <c r="BE35" i="24"/>
  <c r="BD35" i="24"/>
  <c r="BC35" i="24"/>
  <c r="BB35" i="24"/>
  <c r="BA35" i="24"/>
  <c r="AZ35" i="24"/>
  <c r="AY35" i="24"/>
  <c r="AX35" i="24"/>
  <c r="AW35" i="24"/>
  <c r="AV35" i="24"/>
  <c r="AU35" i="24"/>
  <c r="AT35" i="24"/>
  <c r="AS35" i="24"/>
  <c r="AR35" i="24"/>
  <c r="AQ35" i="24"/>
  <c r="AP35" i="24"/>
  <c r="AO35" i="24"/>
  <c r="AN35" i="24"/>
  <c r="AM35" i="24"/>
  <c r="AL35" i="24"/>
  <c r="AK35" i="24"/>
  <c r="AJ35" i="24"/>
  <c r="AI35" i="24"/>
  <c r="AH35" i="24"/>
  <c r="AG35" i="24"/>
  <c r="AF35" i="24"/>
  <c r="AE35" i="24"/>
  <c r="AD35" i="24"/>
  <c r="AC35" i="24"/>
  <c r="AB35" i="24"/>
  <c r="AA35" i="24"/>
  <c r="Z35" i="24"/>
  <c r="Y35" i="24"/>
  <c r="X35" i="24"/>
  <c r="W35" i="24"/>
  <c r="V35" i="24"/>
  <c r="U35" i="24"/>
  <c r="T35" i="24"/>
  <c r="S35" i="24"/>
  <c r="R35" i="24"/>
  <c r="Q35" i="24"/>
  <c r="P35" i="24"/>
  <c r="O35" i="24"/>
  <c r="N35" i="24"/>
  <c r="M35" i="24"/>
  <c r="L35" i="24"/>
  <c r="K35" i="24"/>
  <c r="J35" i="24"/>
  <c r="I35" i="24"/>
  <c r="H35" i="24"/>
  <c r="G35" i="24"/>
  <c r="F35" i="24"/>
  <c r="E35" i="24"/>
  <c r="D35" i="24"/>
  <c r="C35" i="24"/>
  <c r="BJ34" i="24"/>
  <c r="BI34" i="24"/>
  <c r="BH34" i="24"/>
  <c r="BG34" i="24"/>
  <c r="BF34" i="24"/>
  <c r="BE34" i="24"/>
  <c r="BD34" i="24"/>
  <c r="BC34" i="24"/>
  <c r="BB34" i="24"/>
  <c r="BA34" i="24"/>
  <c r="AZ34" i="24"/>
  <c r="AY34" i="24"/>
  <c r="AX34" i="24"/>
  <c r="AW34" i="24"/>
  <c r="AV34" i="24"/>
  <c r="AU34" i="24"/>
  <c r="AT34" i="24"/>
  <c r="AS34" i="24"/>
  <c r="AR34" i="24"/>
  <c r="AQ34" i="24"/>
  <c r="AP34" i="24"/>
  <c r="AO34" i="24"/>
  <c r="AN34" i="24"/>
  <c r="AM34" i="24"/>
  <c r="AL34" i="24"/>
  <c r="AK34" i="24"/>
  <c r="AJ34" i="24"/>
  <c r="AI34" i="24"/>
  <c r="AH34" i="24"/>
  <c r="AG34" i="24"/>
  <c r="AF34" i="24"/>
  <c r="AE34" i="24"/>
  <c r="AD34" i="24"/>
  <c r="AC34" i="24"/>
  <c r="AB34" i="24"/>
  <c r="AA34" i="24"/>
  <c r="Z34" i="24"/>
  <c r="Y34" i="24"/>
  <c r="X34" i="24"/>
  <c r="W34" i="24"/>
  <c r="V34" i="24"/>
  <c r="U34" i="24"/>
  <c r="T34" i="24"/>
  <c r="S34" i="24"/>
  <c r="R34" i="24"/>
  <c r="Q34" i="24"/>
  <c r="P34" i="24"/>
  <c r="O34" i="24"/>
  <c r="N34" i="24"/>
  <c r="M34" i="24"/>
  <c r="L34" i="24"/>
  <c r="K34" i="24"/>
  <c r="J34" i="24"/>
  <c r="I34" i="24"/>
  <c r="H34" i="24"/>
  <c r="G34" i="24"/>
  <c r="F34" i="24"/>
  <c r="E34" i="24"/>
  <c r="D34" i="24"/>
  <c r="C34" i="24"/>
  <c r="BJ33" i="24"/>
  <c r="BI33" i="24"/>
  <c r="BH33" i="24"/>
  <c r="BG33" i="24"/>
  <c r="BF33" i="24"/>
  <c r="BE33" i="24"/>
  <c r="BD33" i="24"/>
  <c r="BC33" i="24"/>
  <c r="BB33" i="24"/>
  <c r="BA33" i="24"/>
  <c r="AZ33" i="24"/>
  <c r="AY33" i="24"/>
  <c r="AX33" i="24"/>
  <c r="AW33" i="24"/>
  <c r="AV33" i="24"/>
  <c r="AU33" i="24"/>
  <c r="AT33" i="24"/>
  <c r="AS33" i="24"/>
  <c r="AR33" i="24"/>
  <c r="AQ33" i="24"/>
  <c r="AP33" i="24"/>
  <c r="AO33" i="24"/>
  <c r="AN33" i="24"/>
  <c r="AM33" i="24"/>
  <c r="AL33" i="24"/>
  <c r="AK33" i="24"/>
  <c r="AJ33" i="24"/>
  <c r="AI33" i="24"/>
  <c r="AH33" i="24"/>
  <c r="AG33" i="24"/>
  <c r="AF33" i="24"/>
  <c r="AE33" i="24"/>
  <c r="AD33" i="24"/>
  <c r="AC33" i="24"/>
  <c r="AB33" i="24"/>
  <c r="AA33" i="24"/>
  <c r="Z33" i="24"/>
  <c r="Y33" i="24"/>
  <c r="X33" i="24"/>
  <c r="W33" i="24"/>
  <c r="V33" i="24"/>
  <c r="U33" i="24"/>
  <c r="T33" i="24"/>
  <c r="S33" i="24"/>
  <c r="R33" i="24"/>
  <c r="Q33" i="24"/>
  <c r="P33" i="24"/>
  <c r="O33" i="24"/>
  <c r="N33" i="24"/>
  <c r="M33" i="24"/>
  <c r="L33" i="24"/>
  <c r="K33" i="24"/>
  <c r="J33" i="24"/>
  <c r="I33" i="24"/>
  <c r="H33" i="24"/>
  <c r="G33" i="24"/>
  <c r="F33" i="24"/>
  <c r="E33" i="24"/>
  <c r="D33" i="24"/>
  <c r="C33" i="24"/>
  <c r="BJ32" i="24"/>
  <c r="BI32" i="24"/>
  <c r="BH32" i="24"/>
  <c r="BG32" i="24"/>
  <c r="BF32" i="24"/>
  <c r="BE32" i="24"/>
  <c r="BD32" i="24"/>
  <c r="BC32" i="24"/>
  <c r="BB32" i="24"/>
  <c r="BA32" i="24"/>
  <c r="AZ32" i="24"/>
  <c r="AY32" i="24"/>
  <c r="AX32" i="24"/>
  <c r="AW32" i="24"/>
  <c r="AV32" i="24"/>
  <c r="AU32" i="24"/>
  <c r="AT32" i="24"/>
  <c r="AS32" i="24"/>
  <c r="AR32" i="24"/>
  <c r="AQ32" i="24"/>
  <c r="AP32" i="24"/>
  <c r="AO32" i="24"/>
  <c r="AN32" i="24"/>
  <c r="AM32" i="24"/>
  <c r="AL32" i="24"/>
  <c r="AK32" i="24"/>
  <c r="AJ32" i="24"/>
  <c r="AI32" i="24"/>
  <c r="AH32" i="24"/>
  <c r="AG32" i="24"/>
  <c r="AF32" i="24"/>
  <c r="AE32" i="24"/>
  <c r="AD32" i="24"/>
  <c r="AC32" i="24"/>
  <c r="AB32" i="24"/>
  <c r="AA32" i="24"/>
  <c r="Z32" i="24"/>
  <c r="Y32" i="24"/>
  <c r="X32" i="24"/>
  <c r="W32" i="24"/>
  <c r="V32" i="24"/>
  <c r="U32" i="24"/>
  <c r="T32" i="24"/>
  <c r="S32" i="24"/>
  <c r="R32" i="24"/>
  <c r="Q32" i="24"/>
  <c r="P32" i="24"/>
  <c r="O32" i="24"/>
  <c r="N32" i="24"/>
  <c r="M32" i="24"/>
  <c r="L32" i="24"/>
  <c r="K32" i="24"/>
  <c r="J32" i="24"/>
  <c r="I32" i="24"/>
  <c r="H32" i="24"/>
  <c r="G32" i="24"/>
  <c r="F32" i="24"/>
  <c r="E32" i="24"/>
  <c r="D32" i="24"/>
  <c r="C32" i="24"/>
  <c r="BJ31" i="24"/>
  <c r="BI31" i="24"/>
  <c r="BH31" i="24"/>
  <c r="BG31" i="24"/>
  <c r="BF31" i="24"/>
  <c r="BE31" i="24"/>
  <c r="BD31" i="24"/>
  <c r="BC31" i="24"/>
  <c r="BB31" i="24"/>
  <c r="BA31" i="24"/>
  <c r="AZ31" i="24"/>
  <c r="AY31" i="24"/>
  <c r="AX31" i="24"/>
  <c r="AW31" i="24"/>
  <c r="AV31" i="24"/>
  <c r="AU31" i="24"/>
  <c r="AT31" i="24"/>
  <c r="AS31" i="24"/>
  <c r="AR31" i="24"/>
  <c r="AQ31" i="24"/>
  <c r="AP31" i="24"/>
  <c r="AO31" i="24"/>
  <c r="AN31" i="24"/>
  <c r="AM31" i="24"/>
  <c r="AL31" i="24"/>
  <c r="AK31" i="24"/>
  <c r="AJ31" i="24"/>
  <c r="AI31" i="24"/>
  <c r="AH31" i="24"/>
  <c r="AG31" i="24"/>
  <c r="AF31" i="24"/>
  <c r="AE31" i="24"/>
  <c r="AD31" i="24"/>
  <c r="AC31" i="24"/>
  <c r="AB31" i="24"/>
  <c r="AA31" i="24"/>
  <c r="Z31" i="24"/>
  <c r="Y31" i="24"/>
  <c r="X31" i="24"/>
  <c r="W31" i="24"/>
  <c r="V31" i="24"/>
  <c r="U31" i="24"/>
  <c r="T31" i="24"/>
  <c r="S31" i="24"/>
  <c r="R31" i="24"/>
  <c r="Q31" i="24"/>
  <c r="P31" i="24"/>
  <c r="O31" i="24"/>
  <c r="N31" i="24"/>
  <c r="M31" i="24"/>
  <c r="L31" i="24"/>
  <c r="K31" i="24"/>
  <c r="J31" i="24"/>
  <c r="I31" i="24"/>
  <c r="H31" i="24"/>
  <c r="G31" i="24"/>
  <c r="F31" i="24"/>
  <c r="E31" i="24"/>
  <c r="D31" i="24"/>
  <c r="C31" i="24"/>
  <c r="BJ30" i="24"/>
  <c r="BI30" i="24"/>
  <c r="BH30" i="24"/>
  <c r="BG30" i="24"/>
  <c r="BF30" i="24"/>
  <c r="BE30" i="24"/>
  <c r="BD30" i="24"/>
  <c r="BC30" i="24"/>
  <c r="BB30" i="24"/>
  <c r="BA30" i="24"/>
  <c r="AZ30" i="24"/>
  <c r="AY30" i="24"/>
  <c r="AX30" i="24"/>
  <c r="AW30" i="24"/>
  <c r="AV30" i="24"/>
  <c r="AU30" i="24"/>
  <c r="AT30" i="24"/>
  <c r="AS30" i="24"/>
  <c r="AR30" i="24"/>
  <c r="AQ30" i="24"/>
  <c r="AP30" i="24"/>
  <c r="AO30" i="24"/>
  <c r="AN30" i="24"/>
  <c r="AM30" i="24"/>
  <c r="AL30" i="24"/>
  <c r="AK30" i="24"/>
  <c r="AJ30" i="24"/>
  <c r="AI30" i="24"/>
  <c r="AH30" i="24"/>
  <c r="AG30" i="24"/>
  <c r="AF30" i="24"/>
  <c r="AE30" i="24"/>
  <c r="AD30" i="24"/>
  <c r="AC30" i="24"/>
  <c r="AB30" i="24"/>
  <c r="AA30" i="24"/>
  <c r="Z30" i="24"/>
  <c r="Y30" i="24"/>
  <c r="X30" i="24"/>
  <c r="W30" i="24"/>
  <c r="V30" i="24"/>
  <c r="U30" i="24"/>
  <c r="T30" i="24"/>
  <c r="S30" i="24"/>
  <c r="R30" i="24"/>
  <c r="Q30" i="24"/>
  <c r="P30" i="24"/>
  <c r="O30" i="24"/>
  <c r="N30" i="24"/>
  <c r="M30" i="24"/>
  <c r="L30" i="24"/>
  <c r="K30" i="24"/>
  <c r="J30" i="24"/>
  <c r="I30" i="24"/>
  <c r="H30" i="24"/>
  <c r="G30" i="24"/>
  <c r="F30" i="24"/>
  <c r="E30" i="24"/>
  <c r="D30" i="24"/>
  <c r="C30" i="24"/>
  <c r="BJ29" i="24"/>
  <c r="BI29" i="24"/>
  <c r="BH29" i="24"/>
  <c r="BG29" i="24"/>
  <c r="BF29" i="24"/>
  <c r="BE29" i="24"/>
  <c r="BD29" i="24"/>
  <c r="BC29" i="24"/>
  <c r="BB29" i="24"/>
  <c r="BA29" i="24"/>
  <c r="AZ29" i="24"/>
  <c r="AY29" i="24"/>
  <c r="AX29" i="24"/>
  <c r="AW29" i="24"/>
  <c r="AV29" i="24"/>
  <c r="AU29" i="24"/>
  <c r="AT29" i="24"/>
  <c r="AS29" i="24"/>
  <c r="AR29" i="24"/>
  <c r="AQ29" i="24"/>
  <c r="AP29" i="24"/>
  <c r="AO29" i="24"/>
  <c r="AN29" i="24"/>
  <c r="AM29" i="24"/>
  <c r="AL29" i="24"/>
  <c r="AK29" i="24"/>
  <c r="AJ29" i="24"/>
  <c r="AI29" i="24"/>
  <c r="AH29" i="24"/>
  <c r="AG29" i="24"/>
  <c r="AF29" i="24"/>
  <c r="AE29" i="24"/>
  <c r="AD29" i="24"/>
  <c r="AC29" i="24"/>
  <c r="AB29" i="24"/>
  <c r="AA29" i="24"/>
  <c r="Z29" i="24"/>
  <c r="Y29" i="24"/>
  <c r="X29" i="24"/>
  <c r="W29" i="24"/>
  <c r="V29" i="24"/>
  <c r="U29" i="24"/>
  <c r="T29" i="24"/>
  <c r="S29" i="24"/>
  <c r="R29" i="24"/>
  <c r="Q29" i="24"/>
  <c r="P29" i="24"/>
  <c r="O29" i="24"/>
  <c r="N29" i="24"/>
  <c r="M29" i="24"/>
  <c r="L29" i="24"/>
  <c r="K29" i="24"/>
  <c r="J29" i="24"/>
  <c r="I29" i="24"/>
  <c r="H29" i="24"/>
  <c r="G29" i="24"/>
  <c r="F29" i="24"/>
  <c r="E29" i="24"/>
  <c r="D29" i="24"/>
  <c r="C29" i="24"/>
  <c r="BJ28" i="24"/>
  <c r="BI28" i="24"/>
  <c r="BH28" i="24"/>
  <c r="BG28" i="24"/>
  <c r="BF28" i="24"/>
  <c r="BE28" i="24"/>
  <c r="BD28" i="24"/>
  <c r="BC28" i="24"/>
  <c r="BB28" i="24"/>
  <c r="BA28" i="24"/>
  <c r="AZ28" i="24"/>
  <c r="AY28" i="24"/>
  <c r="AX28" i="24"/>
  <c r="AW28" i="24"/>
  <c r="AV28" i="24"/>
  <c r="AU28" i="24"/>
  <c r="AT28" i="24"/>
  <c r="AS28" i="24"/>
  <c r="AR28" i="24"/>
  <c r="AQ28" i="24"/>
  <c r="AP28" i="24"/>
  <c r="AO28" i="24"/>
  <c r="AN28" i="24"/>
  <c r="AM28" i="24"/>
  <c r="AL28" i="24"/>
  <c r="AK28" i="24"/>
  <c r="AJ28" i="24"/>
  <c r="AI28" i="24"/>
  <c r="AH28" i="24"/>
  <c r="AG28" i="24"/>
  <c r="AF28" i="24"/>
  <c r="AE28" i="24"/>
  <c r="AD28" i="24"/>
  <c r="AC28" i="24"/>
  <c r="AB28" i="24"/>
  <c r="AA28" i="24"/>
  <c r="Z28" i="24"/>
  <c r="Y28" i="24"/>
  <c r="X28" i="24"/>
  <c r="W28" i="24"/>
  <c r="V28" i="24"/>
  <c r="U28" i="24"/>
  <c r="T28" i="24"/>
  <c r="S28" i="24"/>
  <c r="R28" i="24"/>
  <c r="Q28" i="24"/>
  <c r="P28" i="24"/>
  <c r="O28" i="24"/>
  <c r="N28" i="24"/>
  <c r="M28" i="24"/>
  <c r="L28" i="24"/>
  <c r="K28" i="24"/>
  <c r="J28" i="24"/>
  <c r="I28" i="24"/>
  <c r="H28" i="24"/>
  <c r="G28" i="24"/>
  <c r="F28" i="24"/>
  <c r="E28" i="24"/>
  <c r="D28" i="24"/>
  <c r="C28" i="24"/>
  <c r="BJ27" i="24"/>
  <c r="BI27" i="24"/>
  <c r="BH27" i="24"/>
  <c r="BG27" i="24"/>
  <c r="BF27" i="24"/>
  <c r="BE27" i="24"/>
  <c r="BD27" i="24"/>
  <c r="BC27" i="24"/>
  <c r="BB27" i="24"/>
  <c r="BA27" i="24"/>
  <c r="AZ27" i="24"/>
  <c r="AY27" i="24"/>
  <c r="AX27" i="24"/>
  <c r="AW27" i="24"/>
  <c r="AV27" i="24"/>
  <c r="AU27" i="24"/>
  <c r="AT27" i="24"/>
  <c r="AS27" i="24"/>
  <c r="AR27" i="24"/>
  <c r="AQ27" i="24"/>
  <c r="AP27" i="24"/>
  <c r="AO27" i="24"/>
  <c r="AN27" i="24"/>
  <c r="AM27" i="24"/>
  <c r="AL27" i="24"/>
  <c r="AK27" i="24"/>
  <c r="AJ27" i="24"/>
  <c r="AI27" i="24"/>
  <c r="AH27" i="24"/>
  <c r="AG27" i="24"/>
  <c r="AF27" i="24"/>
  <c r="AE27" i="24"/>
  <c r="AD27" i="24"/>
  <c r="AC27" i="24"/>
  <c r="AB27" i="24"/>
  <c r="AA27" i="24"/>
  <c r="Z27" i="24"/>
  <c r="Y27" i="24"/>
  <c r="X27" i="24"/>
  <c r="W27" i="24"/>
  <c r="V27" i="24"/>
  <c r="U27" i="24"/>
  <c r="T27" i="24"/>
  <c r="S27" i="24"/>
  <c r="R27" i="24"/>
  <c r="Q27" i="24"/>
  <c r="P27" i="24"/>
  <c r="O27" i="24"/>
  <c r="N27" i="24"/>
  <c r="M27" i="24"/>
  <c r="L27" i="24"/>
  <c r="K27" i="24"/>
  <c r="J27" i="24"/>
  <c r="I27" i="24"/>
  <c r="H27" i="24"/>
  <c r="G27" i="24"/>
  <c r="F27" i="24"/>
  <c r="E27" i="24"/>
  <c r="D27" i="24"/>
  <c r="C27" i="24"/>
  <c r="BJ26" i="24"/>
  <c r="BI26" i="24"/>
  <c r="BH26" i="24"/>
  <c r="BG26" i="24"/>
  <c r="BF26" i="24"/>
  <c r="BE26" i="24"/>
  <c r="BD26" i="24"/>
  <c r="BC26" i="24"/>
  <c r="BB26" i="24"/>
  <c r="BA26" i="24"/>
  <c r="AZ26" i="24"/>
  <c r="AY26" i="24"/>
  <c r="AX26" i="24"/>
  <c r="AW26" i="24"/>
  <c r="AV26" i="24"/>
  <c r="AU26" i="24"/>
  <c r="AT26" i="24"/>
  <c r="AS26" i="24"/>
  <c r="AR26" i="24"/>
  <c r="AQ26" i="24"/>
  <c r="AP26" i="24"/>
  <c r="AO26" i="24"/>
  <c r="AN26" i="24"/>
  <c r="AM26" i="24"/>
  <c r="AL26" i="24"/>
  <c r="AK26" i="24"/>
  <c r="AJ26" i="24"/>
  <c r="AI26" i="24"/>
  <c r="AH26" i="24"/>
  <c r="AG26" i="24"/>
  <c r="AF26" i="24"/>
  <c r="AE26" i="24"/>
  <c r="AD26" i="24"/>
  <c r="AC26" i="24"/>
  <c r="AB26" i="24"/>
  <c r="AA26" i="24"/>
  <c r="Z26" i="24"/>
  <c r="Y26" i="24"/>
  <c r="X26" i="24"/>
  <c r="W26" i="24"/>
  <c r="V26" i="24"/>
  <c r="U26" i="24"/>
  <c r="T26" i="24"/>
  <c r="S26" i="24"/>
  <c r="R26" i="24"/>
  <c r="Q26" i="24"/>
  <c r="P26" i="24"/>
  <c r="O26" i="24"/>
  <c r="N26" i="24"/>
  <c r="M26" i="24"/>
  <c r="L26" i="24"/>
  <c r="K26" i="24"/>
  <c r="J26" i="24"/>
  <c r="I26" i="24"/>
  <c r="H26" i="24"/>
  <c r="G26" i="24"/>
  <c r="F26" i="24"/>
  <c r="E26" i="24"/>
  <c r="D26" i="24"/>
  <c r="C26" i="24"/>
  <c r="BJ25" i="24"/>
  <c r="BI25" i="24"/>
  <c r="BH25" i="24"/>
  <c r="BG25" i="24"/>
  <c r="BF25" i="24"/>
  <c r="BE25" i="24"/>
  <c r="BD25" i="24"/>
  <c r="BC25" i="24"/>
  <c r="BB25" i="24"/>
  <c r="BA25" i="24"/>
  <c r="AZ25" i="24"/>
  <c r="AY25" i="24"/>
  <c r="AX25" i="24"/>
  <c r="AW25" i="24"/>
  <c r="AV25" i="24"/>
  <c r="AU25" i="24"/>
  <c r="AT25" i="24"/>
  <c r="AS25" i="24"/>
  <c r="AR25" i="24"/>
  <c r="AQ25" i="24"/>
  <c r="AP25" i="24"/>
  <c r="AO25" i="24"/>
  <c r="AN25" i="24"/>
  <c r="AM25" i="24"/>
  <c r="AL25" i="24"/>
  <c r="AK25" i="24"/>
  <c r="AJ25" i="24"/>
  <c r="AI25" i="24"/>
  <c r="AH25" i="24"/>
  <c r="AG25" i="24"/>
  <c r="AF25" i="24"/>
  <c r="AE25" i="24"/>
  <c r="AD25" i="24"/>
  <c r="AC25" i="24"/>
  <c r="AB25" i="24"/>
  <c r="AA25" i="24"/>
  <c r="Z25" i="24"/>
  <c r="Y25" i="24"/>
  <c r="X25" i="24"/>
  <c r="W25" i="24"/>
  <c r="V25" i="24"/>
  <c r="U25" i="24"/>
  <c r="T25" i="24"/>
  <c r="S25" i="24"/>
  <c r="R25" i="24"/>
  <c r="Q25" i="24"/>
  <c r="P25" i="24"/>
  <c r="O25" i="24"/>
  <c r="N25" i="24"/>
  <c r="M25" i="24"/>
  <c r="L25" i="24"/>
  <c r="K25" i="24"/>
  <c r="J25" i="24"/>
  <c r="I25" i="24"/>
  <c r="H25" i="24"/>
  <c r="G25" i="24"/>
  <c r="F25" i="24"/>
  <c r="E25" i="24"/>
  <c r="D25" i="24"/>
  <c r="C25" i="24"/>
  <c r="BJ24" i="24"/>
  <c r="BI24" i="24"/>
  <c r="BH24" i="24"/>
  <c r="BG24" i="24"/>
  <c r="BF24" i="24"/>
  <c r="BE24" i="24"/>
  <c r="BD24" i="24"/>
  <c r="BC24" i="24"/>
  <c r="BB24" i="24"/>
  <c r="BA24" i="24"/>
  <c r="AZ24" i="24"/>
  <c r="AY24" i="24"/>
  <c r="AX24" i="24"/>
  <c r="AW24" i="24"/>
  <c r="AV24" i="24"/>
  <c r="AU24" i="24"/>
  <c r="AT24" i="24"/>
  <c r="AS24" i="24"/>
  <c r="AR24" i="24"/>
  <c r="AQ24" i="24"/>
  <c r="AP24" i="24"/>
  <c r="AO24" i="24"/>
  <c r="AN24" i="24"/>
  <c r="AM24" i="24"/>
  <c r="AL24" i="24"/>
  <c r="AK24" i="24"/>
  <c r="AJ24" i="24"/>
  <c r="AI24" i="24"/>
  <c r="AH24" i="24"/>
  <c r="AG24" i="24"/>
  <c r="AF24" i="24"/>
  <c r="AE24" i="24"/>
  <c r="AD24" i="24"/>
  <c r="AC24" i="24"/>
  <c r="AB24" i="24"/>
  <c r="AA24" i="24"/>
  <c r="Z24" i="24"/>
  <c r="Y24" i="24"/>
  <c r="X24" i="24"/>
  <c r="W24" i="24"/>
  <c r="V24" i="24"/>
  <c r="U24" i="24"/>
  <c r="T24" i="24"/>
  <c r="S24" i="24"/>
  <c r="R24" i="24"/>
  <c r="Q24" i="24"/>
  <c r="P24" i="24"/>
  <c r="O24" i="24"/>
  <c r="N24" i="24"/>
  <c r="M24" i="24"/>
  <c r="L24" i="24"/>
  <c r="K24" i="24"/>
  <c r="J24" i="24"/>
  <c r="I24" i="24"/>
  <c r="H24" i="24"/>
  <c r="G24" i="24"/>
  <c r="F24" i="24"/>
  <c r="E24" i="24"/>
  <c r="D24" i="24"/>
  <c r="C24" i="24"/>
  <c r="BJ23" i="24"/>
  <c r="BI23" i="24"/>
  <c r="BH23" i="24"/>
  <c r="BG23" i="24"/>
  <c r="BF23" i="24"/>
  <c r="BE23" i="24"/>
  <c r="BD23" i="24"/>
  <c r="BC23" i="24"/>
  <c r="BB23" i="24"/>
  <c r="BA23" i="24"/>
  <c r="AZ23" i="24"/>
  <c r="AY23" i="24"/>
  <c r="AX23" i="24"/>
  <c r="AW23" i="24"/>
  <c r="AV23" i="24"/>
  <c r="AU23" i="24"/>
  <c r="AT23" i="24"/>
  <c r="AS23" i="24"/>
  <c r="AR23" i="24"/>
  <c r="AQ23" i="24"/>
  <c r="AP23" i="24"/>
  <c r="AO23" i="24"/>
  <c r="AN23" i="24"/>
  <c r="AM23" i="24"/>
  <c r="AL23" i="24"/>
  <c r="AK23" i="24"/>
  <c r="AJ23" i="24"/>
  <c r="AI23" i="24"/>
  <c r="AH23" i="24"/>
  <c r="AG23" i="24"/>
  <c r="AF23" i="24"/>
  <c r="AE23" i="24"/>
  <c r="AD23" i="24"/>
  <c r="AC23" i="24"/>
  <c r="AB23" i="24"/>
  <c r="AA23" i="24"/>
  <c r="Z23" i="24"/>
  <c r="Y23" i="24"/>
  <c r="X23" i="24"/>
  <c r="W23" i="24"/>
  <c r="V23" i="24"/>
  <c r="U23" i="24"/>
  <c r="T23" i="24"/>
  <c r="S23" i="24"/>
  <c r="R23" i="24"/>
  <c r="Q23" i="24"/>
  <c r="P23" i="24"/>
  <c r="O23" i="24"/>
  <c r="N23" i="24"/>
  <c r="M23" i="24"/>
  <c r="L23" i="24"/>
  <c r="K23" i="24"/>
  <c r="J23" i="24"/>
  <c r="I23" i="24"/>
  <c r="H23" i="24"/>
  <c r="G23" i="24"/>
  <c r="F23" i="24"/>
  <c r="E23" i="24"/>
  <c r="D23" i="24"/>
  <c r="C23" i="24"/>
  <c r="BJ22" i="24"/>
  <c r="BI22" i="24"/>
  <c r="BH22" i="24"/>
  <c r="BG22" i="24"/>
  <c r="BF22" i="24"/>
  <c r="BE22" i="24"/>
  <c r="BD22" i="24"/>
  <c r="BC22" i="24"/>
  <c r="BB22" i="24"/>
  <c r="BA22" i="24"/>
  <c r="AZ22" i="24"/>
  <c r="AY22" i="24"/>
  <c r="AX22" i="24"/>
  <c r="AW22" i="24"/>
  <c r="AV22" i="24"/>
  <c r="AU22" i="24"/>
  <c r="AT22" i="24"/>
  <c r="AS22" i="24"/>
  <c r="AR22" i="24"/>
  <c r="AQ22" i="24"/>
  <c r="AP22" i="24"/>
  <c r="AO22" i="24"/>
  <c r="AN22" i="24"/>
  <c r="AM22" i="24"/>
  <c r="AL22" i="24"/>
  <c r="AK22" i="24"/>
  <c r="AJ22" i="24"/>
  <c r="AI22" i="24"/>
  <c r="AH22" i="24"/>
  <c r="AG22" i="24"/>
  <c r="AF22" i="24"/>
  <c r="AE22" i="24"/>
  <c r="AD22" i="24"/>
  <c r="AC22" i="24"/>
  <c r="AB22" i="24"/>
  <c r="AA22" i="24"/>
  <c r="Z22" i="24"/>
  <c r="Y22" i="24"/>
  <c r="X22" i="24"/>
  <c r="W22" i="24"/>
  <c r="V22" i="24"/>
  <c r="U22" i="24"/>
  <c r="T22" i="24"/>
  <c r="S22" i="24"/>
  <c r="R22" i="24"/>
  <c r="Q22" i="24"/>
  <c r="P22" i="24"/>
  <c r="O22" i="24"/>
  <c r="N22" i="24"/>
  <c r="M22" i="24"/>
  <c r="L22" i="24"/>
  <c r="K22" i="24"/>
  <c r="J22" i="24"/>
  <c r="I22" i="24"/>
  <c r="H22" i="24"/>
  <c r="G22" i="24"/>
  <c r="F22" i="24"/>
  <c r="E22" i="24"/>
  <c r="D22" i="24"/>
  <c r="C22" i="24"/>
  <c r="BJ21" i="24"/>
  <c r="BI21" i="24"/>
  <c r="BH21" i="24"/>
  <c r="BG21" i="24"/>
  <c r="BF21" i="24"/>
  <c r="BE21" i="24"/>
  <c r="BD21" i="24"/>
  <c r="BC21" i="24"/>
  <c r="BB21" i="24"/>
  <c r="BA21" i="24"/>
  <c r="AZ21" i="24"/>
  <c r="AY21" i="24"/>
  <c r="AX21" i="24"/>
  <c r="AW21" i="24"/>
  <c r="AV21" i="24"/>
  <c r="AU21" i="24"/>
  <c r="AT21" i="24"/>
  <c r="AS21" i="24"/>
  <c r="AR21" i="24"/>
  <c r="AQ21" i="24"/>
  <c r="AP21" i="24"/>
  <c r="AO21" i="24"/>
  <c r="AN21" i="24"/>
  <c r="AM21" i="24"/>
  <c r="AL21" i="24"/>
  <c r="AK21" i="24"/>
  <c r="AJ21" i="24"/>
  <c r="AI21" i="24"/>
  <c r="AH21" i="24"/>
  <c r="AG21" i="24"/>
  <c r="AF21" i="24"/>
  <c r="AE21" i="24"/>
  <c r="AD21" i="24"/>
  <c r="AC21" i="24"/>
  <c r="AB21" i="24"/>
  <c r="AA21" i="24"/>
  <c r="Z21" i="24"/>
  <c r="Y21" i="24"/>
  <c r="X21" i="24"/>
  <c r="W21" i="24"/>
  <c r="V21" i="24"/>
  <c r="U21" i="24"/>
  <c r="T21" i="24"/>
  <c r="S21" i="24"/>
  <c r="R21" i="24"/>
  <c r="Q21" i="24"/>
  <c r="P21" i="24"/>
  <c r="O21" i="24"/>
  <c r="N21" i="24"/>
  <c r="M21" i="24"/>
  <c r="L21" i="24"/>
  <c r="K21" i="24"/>
  <c r="J21" i="24"/>
  <c r="I21" i="24"/>
  <c r="H21" i="24"/>
  <c r="G21" i="24"/>
  <c r="F21" i="24"/>
  <c r="E21" i="24"/>
  <c r="D21" i="24"/>
  <c r="C21" i="24"/>
  <c r="BJ20" i="24"/>
  <c r="BI20" i="24"/>
  <c r="BH20" i="24"/>
  <c r="BG20" i="24"/>
  <c r="BF20" i="24"/>
  <c r="BE20" i="24"/>
  <c r="BD20" i="24"/>
  <c r="BC20" i="24"/>
  <c r="BB20" i="24"/>
  <c r="BA20" i="24"/>
  <c r="AZ20" i="24"/>
  <c r="AY20" i="24"/>
  <c r="AX20" i="24"/>
  <c r="AW20" i="24"/>
  <c r="AV20" i="24"/>
  <c r="AU20" i="24"/>
  <c r="AT20" i="24"/>
  <c r="AS20" i="24"/>
  <c r="AR20" i="24"/>
  <c r="AQ20" i="24"/>
  <c r="AP20" i="24"/>
  <c r="AO20" i="24"/>
  <c r="AN20" i="24"/>
  <c r="AM20" i="24"/>
  <c r="AL20" i="24"/>
  <c r="AK20" i="24"/>
  <c r="AJ20" i="24"/>
  <c r="AI20" i="24"/>
  <c r="AH20" i="24"/>
  <c r="AG20" i="24"/>
  <c r="AF20" i="24"/>
  <c r="AE20" i="24"/>
  <c r="AD20" i="24"/>
  <c r="AC20" i="24"/>
  <c r="AB20" i="24"/>
  <c r="AA20" i="24"/>
  <c r="Z20" i="24"/>
  <c r="Y20" i="24"/>
  <c r="X20" i="24"/>
  <c r="W20" i="24"/>
  <c r="V20" i="24"/>
  <c r="U20" i="24"/>
  <c r="T20" i="24"/>
  <c r="S20" i="24"/>
  <c r="R20" i="24"/>
  <c r="Q20" i="24"/>
  <c r="P20" i="24"/>
  <c r="O20" i="24"/>
  <c r="N20" i="24"/>
  <c r="M20" i="24"/>
  <c r="L20" i="24"/>
  <c r="K20" i="24"/>
  <c r="J20" i="24"/>
  <c r="I20" i="24"/>
  <c r="H20" i="24"/>
  <c r="G20" i="24"/>
  <c r="F20" i="24"/>
  <c r="E20" i="24"/>
  <c r="D20" i="24"/>
  <c r="C20" i="24"/>
  <c r="BJ19" i="24"/>
  <c r="BI19" i="24"/>
  <c r="BH19" i="24"/>
  <c r="BG19" i="24"/>
  <c r="BF19" i="24"/>
  <c r="BE19" i="24"/>
  <c r="BD19" i="24"/>
  <c r="BC19" i="24"/>
  <c r="BB19" i="24"/>
  <c r="BA19" i="24"/>
  <c r="AZ19" i="24"/>
  <c r="AY19" i="24"/>
  <c r="AX19" i="24"/>
  <c r="AW19" i="24"/>
  <c r="AV19" i="24"/>
  <c r="AU19" i="24"/>
  <c r="AT19" i="24"/>
  <c r="AS19" i="24"/>
  <c r="AR19" i="24"/>
  <c r="AQ19" i="24"/>
  <c r="AP19" i="24"/>
  <c r="AO19" i="24"/>
  <c r="AN19" i="24"/>
  <c r="AM19" i="24"/>
  <c r="AL19" i="24"/>
  <c r="AK19" i="24"/>
  <c r="AJ19" i="24"/>
  <c r="AI19" i="24"/>
  <c r="AH19" i="24"/>
  <c r="AG19" i="24"/>
  <c r="AF19" i="24"/>
  <c r="AE19" i="24"/>
  <c r="AD19" i="24"/>
  <c r="AC19" i="24"/>
  <c r="AB19" i="24"/>
  <c r="AA19" i="24"/>
  <c r="Z19" i="24"/>
  <c r="Y19" i="24"/>
  <c r="X19" i="24"/>
  <c r="W19" i="24"/>
  <c r="V19" i="24"/>
  <c r="U19" i="24"/>
  <c r="T19" i="24"/>
  <c r="S19" i="24"/>
  <c r="R19" i="24"/>
  <c r="Q19" i="24"/>
  <c r="P19" i="24"/>
  <c r="O19" i="24"/>
  <c r="N19" i="24"/>
  <c r="M19" i="24"/>
  <c r="L19" i="24"/>
  <c r="K19" i="24"/>
  <c r="J19" i="24"/>
  <c r="I19" i="24"/>
  <c r="H19" i="24"/>
  <c r="G19" i="24"/>
  <c r="F19" i="24"/>
  <c r="E19" i="24"/>
  <c r="D19" i="24"/>
  <c r="C19" i="24"/>
  <c r="BJ18" i="24"/>
  <c r="BI18" i="24"/>
  <c r="BH18" i="24"/>
  <c r="BG18" i="24"/>
  <c r="BF18" i="24"/>
  <c r="BE18" i="24"/>
  <c r="BD18" i="24"/>
  <c r="BC18" i="24"/>
  <c r="BB18" i="24"/>
  <c r="BA18" i="24"/>
  <c r="AZ18" i="24"/>
  <c r="AY18" i="24"/>
  <c r="AX18" i="24"/>
  <c r="AW18" i="24"/>
  <c r="AV18" i="24"/>
  <c r="AU18" i="24"/>
  <c r="AT18" i="24"/>
  <c r="AS18" i="24"/>
  <c r="AR18" i="24"/>
  <c r="AQ18" i="24"/>
  <c r="AP18" i="24"/>
  <c r="AO18" i="24"/>
  <c r="AN18" i="24"/>
  <c r="AM18" i="24"/>
  <c r="AL18" i="24"/>
  <c r="AK18" i="24"/>
  <c r="AJ18" i="24"/>
  <c r="AI18" i="24"/>
  <c r="AH18" i="24"/>
  <c r="AG18" i="24"/>
  <c r="AF18" i="24"/>
  <c r="AE18" i="24"/>
  <c r="AD18" i="24"/>
  <c r="AC18" i="24"/>
  <c r="AB18" i="24"/>
  <c r="AA18" i="24"/>
  <c r="Z18" i="24"/>
  <c r="Y18" i="24"/>
  <c r="X18" i="24"/>
  <c r="W18" i="24"/>
  <c r="V18" i="24"/>
  <c r="U18" i="24"/>
  <c r="T18" i="24"/>
  <c r="S18" i="24"/>
  <c r="R18" i="24"/>
  <c r="Q18" i="24"/>
  <c r="P18" i="24"/>
  <c r="O18" i="24"/>
  <c r="N18" i="24"/>
  <c r="M18" i="24"/>
  <c r="L18" i="24"/>
  <c r="K18" i="24"/>
  <c r="J18" i="24"/>
  <c r="I18" i="24"/>
  <c r="H18" i="24"/>
  <c r="G18" i="24"/>
  <c r="F18" i="24"/>
  <c r="E18" i="24"/>
  <c r="D18" i="24"/>
  <c r="C18" i="24"/>
  <c r="BJ17" i="24"/>
  <c r="BI17" i="24"/>
  <c r="BH17" i="24"/>
  <c r="BG17" i="24"/>
  <c r="BF17" i="24"/>
  <c r="BE17" i="24"/>
  <c r="BD17" i="24"/>
  <c r="BC17" i="24"/>
  <c r="BB17" i="24"/>
  <c r="BA17" i="24"/>
  <c r="AZ17" i="24"/>
  <c r="AY17" i="24"/>
  <c r="AX17" i="24"/>
  <c r="AW17" i="24"/>
  <c r="AV17" i="24"/>
  <c r="AU17" i="24"/>
  <c r="AT17" i="24"/>
  <c r="AS17" i="24"/>
  <c r="AR17" i="24"/>
  <c r="AQ17" i="24"/>
  <c r="AP17" i="24"/>
  <c r="AO17" i="24"/>
  <c r="AN17" i="24"/>
  <c r="AM17" i="24"/>
  <c r="AL17" i="24"/>
  <c r="AK17" i="24"/>
  <c r="AJ17" i="24"/>
  <c r="AI17" i="24"/>
  <c r="AH17" i="24"/>
  <c r="AG17" i="24"/>
  <c r="AF17" i="24"/>
  <c r="AE17" i="24"/>
  <c r="AD17" i="24"/>
  <c r="AC17" i="24"/>
  <c r="AB17" i="24"/>
  <c r="AA17" i="24"/>
  <c r="Z17" i="24"/>
  <c r="Y17" i="24"/>
  <c r="X17" i="24"/>
  <c r="W17" i="24"/>
  <c r="V17" i="24"/>
  <c r="U17" i="24"/>
  <c r="T17" i="24"/>
  <c r="S17" i="24"/>
  <c r="R17" i="24"/>
  <c r="Q17" i="24"/>
  <c r="P17" i="24"/>
  <c r="O17" i="24"/>
  <c r="N17" i="24"/>
  <c r="M17" i="24"/>
  <c r="L17" i="24"/>
  <c r="K17" i="24"/>
  <c r="J17" i="24"/>
  <c r="I17" i="24"/>
  <c r="H17" i="24"/>
  <c r="G17" i="24"/>
  <c r="F17" i="24"/>
  <c r="E17" i="24"/>
  <c r="D17" i="24"/>
  <c r="C17" i="24"/>
  <c r="BJ16" i="24"/>
  <c r="BI16" i="24"/>
  <c r="BH16" i="24"/>
  <c r="BG16" i="24"/>
  <c r="BF16" i="24"/>
  <c r="BE16" i="24"/>
  <c r="BD16" i="24"/>
  <c r="BC16" i="24"/>
  <c r="BB16" i="24"/>
  <c r="BA16" i="24"/>
  <c r="AZ16" i="24"/>
  <c r="AY16" i="24"/>
  <c r="AX16" i="24"/>
  <c r="AW16" i="24"/>
  <c r="AV16" i="24"/>
  <c r="AU16" i="24"/>
  <c r="AT16" i="24"/>
  <c r="AS16" i="24"/>
  <c r="AR16" i="24"/>
  <c r="AQ16" i="24"/>
  <c r="AP16" i="24"/>
  <c r="AO16" i="24"/>
  <c r="AN16" i="24"/>
  <c r="AM16" i="24"/>
  <c r="AL16" i="24"/>
  <c r="AK16" i="24"/>
  <c r="AJ16" i="24"/>
  <c r="AI16" i="24"/>
  <c r="AH16" i="24"/>
  <c r="AG16" i="24"/>
  <c r="AF16" i="24"/>
  <c r="AE16" i="24"/>
  <c r="AD16" i="24"/>
  <c r="AC16" i="24"/>
  <c r="AB16" i="24"/>
  <c r="AA16" i="24"/>
  <c r="Z16" i="24"/>
  <c r="Y16" i="24"/>
  <c r="X16" i="24"/>
  <c r="W16" i="24"/>
  <c r="V16" i="24"/>
  <c r="U16" i="24"/>
  <c r="T16" i="24"/>
  <c r="S16" i="24"/>
  <c r="R16" i="24"/>
  <c r="Q16" i="24"/>
  <c r="P16" i="24"/>
  <c r="O16" i="24"/>
  <c r="N16" i="24"/>
  <c r="M16" i="24"/>
  <c r="L16" i="24"/>
  <c r="K16" i="24"/>
  <c r="J16" i="24"/>
  <c r="I16" i="24"/>
  <c r="H16" i="24"/>
  <c r="G16" i="24"/>
  <c r="F16" i="24"/>
  <c r="E16" i="24"/>
  <c r="D16" i="24"/>
  <c r="C16" i="24"/>
  <c r="BJ15" i="24"/>
  <c r="BI15" i="24"/>
  <c r="BH15" i="24"/>
  <c r="BG15" i="24"/>
  <c r="BF15" i="24"/>
  <c r="BE15" i="24"/>
  <c r="BD15" i="24"/>
  <c r="BC15" i="24"/>
  <c r="BB15" i="24"/>
  <c r="BA15" i="24"/>
  <c r="AZ15" i="24"/>
  <c r="AY15" i="24"/>
  <c r="AX15" i="24"/>
  <c r="AW15" i="24"/>
  <c r="AV15" i="24"/>
  <c r="AU15" i="24"/>
  <c r="AT15" i="24"/>
  <c r="AS15" i="24"/>
  <c r="AR15" i="24"/>
  <c r="AQ15" i="24"/>
  <c r="AP15" i="24"/>
  <c r="AO15" i="24"/>
  <c r="AN15" i="24"/>
  <c r="AM15" i="24"/>
  <c r="AL15" i="24"/>
  <c r="AK15" i="24"/>
  <c r="AJ15" i="24"/>
  <c r="AI15" i="24"/>
  <c r="AH15" i="24"/>
  <c r="AG15" i="24"/>
  <c r="AF15" i="24"/>
  <c r="AE15" i="24"/>
  <c r="AD15" i="24"/>
  <c r="AC15" i="24"/>
  <c r="AB15" i="24"/>
  <c r="AA15" i="24"/>
  <c r="Z15" i="24"/>
  <c r="Y15" i="24"/>
  <c r="X15" i="24"/>
  <c r="W15" i="24"/>
  <c r="V15" i="24"/>
  <c r="U15" i="24"/>
  <c r="T15" i="24"/>
  <c r="S15" i="24"/>
  <c r="R15" i="24"/>
  <c r="Q15" i="24"/>
  <c r="P15" i="24"/>
  <c r="O15" i="24"/>
  <c r="N15" i="24"/>
  <c r="M15" i="24"/>
  <c r="L15" i="24"/>
  <c r="K15" i="24"/>
  <c r="J15" i="24"/>
  <c r="I15" i="24"/>
  <c r="H15" i="24"/>
  <c r="G15" i="24"/>
  <c r="F15" i="24"/>
  <c r="E15" i="24"/>
  <c r="D15" i="24"/>
  <c r="C15" i="24"/>
  <c r="BJ14" i="24"/>
  <c r="BI14" i="24"/>
  <c r="BH14" i="24"/>
  <c r="BG14" i="24"/>
  <c r="BF14" i="24"/>
  <c r="BE14" i="24"/>
  <c r="BD14" i="24"/>
  <c r="BC14" i="24"/>
  <c r="BB14" i="24"/>
  <c r="BA14" i="24"/>
  <c r="AZ14" i="24"/>
  <c r="AY14" i="24"/>
  <c r="AX14" i="24"/>
  <c r="AW14" i="24"/>
  <c r="AV14" i="24"/>
  <c r="AU14" i="24"/>
  <c r="AT14" i="24"/>
  <c r="AS14" i="24"/>
  <c r="AR14" i="24"/>
  <c r="AQ14" i="24"/>
  <c r="AP14" i="24"/>
  <c r="AO14" i="24"/>
  <c r="AN14" i="24"/>
  <c r="AM14" i="24"/>
  <c r="AL14" i="24"/>
  <c r="AK14" i="24"/>
  <c r="AJ14" i="24"/>
  <c r="AI14" i="24"/>
  <c r="AH14" i="24"/>
  <c r="AG14" i="24"/>
  <c r="AF14" i="24"/>
  <c r="AE14" i="24"/>
  <c r="AD14" i="24"/>
  <c r="AC14" i="24"/>
  <c r="AB14" i="24"/>
  <c r="AA14" i="24"/>
  <c r="Z14" i="24"/>
  <c r="Y14" i="24"/>
  <c r="X14" i="24"/>
  <c r="W14" i="24"/>
  <c r="V14" i="24"/>
  <c r="U14" i="24"/>
  <c r="T14" i="24"/>
  <c r="S14" i="24"/>
  <c r="R14" i="24"/>
  <c r="Q14" i="24"/>
  <c r="P14" i="24"/>
  <c r="O14" i="24"/>
  <c r="N14" i="24"/>
  <c r="M14" i="24"/>
  <c r="L14" i="24"/>
  <c r="K14" i="24"/>
  <c r="J14" i="24"/>
  <c r="I14" i="24"/>
  <c r="H14" i="24"/>
  <c r="G14" i="24"/>
  <c r="F14" i="24"/>
  <c r="E14" i="24"/>
  <c r="D14" i="24"/>
  <c r="C14" i="24"/>
  <c r="BJ13" i="24"/>
  <c r="BI13" i="24"/>
  <c r="BH13" i="24"/>
  <c r="BG13" i="24"/>
  <c r="BF13" i="24"/>
  <c r="BE13" i="24"/>
  <c r="BD13" i="24"/>
  <c r="BC13" i="24"/>
  <c r="BB13" i="24"/>
  <c r="BA13" i="24"/>
  <c r="AZ13" i="24"/>
  <c r="AY13" i="24"/>
  <c r="AX13" i="24"/>
  <c r="AW13" i="24"/>
  <c r="AV13" i="24"/>
  <c r="AU13" i="24"/>
  <c r="AT13" i="24"/>
  <c r="AS13" i="24"/>
  <c r="AR13" i="24"/>
  <c r="AQ13" i="24"/>
  <c r="AP13" i="24"/>
  <c r="AO13" i="24"/>
  <c r="AN13" i="24"/>
  <c r="AM13" i="24"/>
  <c r="AL13" i="24"/>
  <c r="AK13" i="24"/>
  <c r="AJ13" i="24"/>
  <c r="AI13" i="24"/>
  <c r="AH13" i="24"/>
  <c r="AG13" i="24"/>
  <c r="AF13" i="24"/>
  <c r="AE13" i="24"/>
  <c r="AD13" i="24"/>
  <c r="AC13" i="24"/>
  <c r="AB13" i="24"/>
  <c r="AA13" i="24"/>
  <c r="Z13" i="24"/>
  <c r="Y13" i="24"/>
  <c r="X13" i="24"/>
  <c r="W13" i="24"/>
  <c r="V13" i="24"/>
  <c r="U13" i="24"/>
  <c r="T13" i="24"/>
  <c r="S13" i="24"/>
  <c r="R13" i="24"/>
  <c r="Q13" i="24"/>
  <c r="P13" i="24"/>
  <c r="O13" i="24"/>
  <c r="N13" i="24"/>
  <c r="M13" i="24"/>
  <c r="L13" i="24"/>
  <c r="K13" i="24"/>
  <c r="J13" i="24"/>
  <c r="I13" i="24"/>
  <c r="H13" i="24"/>
  <c r="G13" i="24"/>
  <c r="F13" i="24"/>
  <c r="E13" i="24"/>
  <c r="D13" i="24"/>
  <c r="C13" i="24"/>
  <c r="BJ12" i="24"/>
  <c r="BI12" i="24"/>
  <c r="BH12" i="24"/>
  <c r="BG12" i="24"/>
  <c r="BF12" i="24"/>
  <c r="BE12" i="24"/>
  <c r="BD12" i="24"/>
  <c r="BC12" i="24"/>
  <c r="BB12" i="24"/>
  <c r="BA12" i="24"/>
  <c r="AZ12" i="24"/>
  <c r="AY12" i="24"/>
  <c r="AX12" i="24"/>
  <c r="AW12" i="24"/>
  <c r="AV12" i="24"/>
  <c r="AU12" i="24"/>
  <c r="AT12" i="24"/>
  <c r="AS12" i="24"/>
  <c r="AR12" i="24"/>
  <c r="AQ12" i="24"/>
  <c r="AP12" i="24"/>
  <c r="AO12" i="24"/>
  <c r="AO5" i="22" s="1"/>
  <c r="AN12" i="24"/>
  <c r="AM12" i="24"/>
  <c r="AL12" i="24"/>
  <c r="AK12" i="24"/>
  <c r="AJ12" i="24"/>
  <c r="AI12" i="24"/>
  <c r="AH12" i="24"/>
  <c r="AG12" i="24"/>
  <c r="AF12" i="24"/>
  <c r="AE12" i="24"/>
  <c r="AD12" i="24"/>
  <c r="AC12" i="24"/>
  <c r="AB12" i="24"/>
  <c r="AA12" i="24"/>
  <c r="Z12" i="24"/>
  <c r="Y12" i="24"/>
  <c r="X12" i="24"/>
  <c r="W12" i="24"/>
  <c r="V12" i="24"/>
  <c r="U12" i="24"/>
  <c r="T12" i="24"/>
  <c r="S12" i="24"/>
  <c r="R12" i="24"/>
  <c r="Q12" i="24"/>
  <c r="P12" i="24"/>
  <c r="O12" i="24"/>
  <c r="N12" i="24"/>
  <c r="M12" i="24"/>
  <c r="L12" i="24"/>
  <c r="K12" i="24"/>
  <c r="J12" i="24"/>
  <c r="I12" i="24"/>
  <c r="H12" i="24"/>
  <c r="G12" i="24"/>
  <c r="F12" i="24"/>
  <c r="E12" i="24"/>
  <c r="D12" i="24"/>
  <c r="C12" i="24"/>
  <c r="BJ11" i="24"/>
  <c r="BI11" i="24"/>
  <c r="BH11" i="24"/>
  <c r="BG11" i="24"/>
  <c r="BF11" i="24"/>
  <c r="BE11" i="24"/>
  <c r="BD11" i="24"/>
  <c r="BC11" i="24"/>
  <c r="BB11" i="24"/>
  <c r="BA11" i="24"/>
  <c r="AZ11" i="24"/>
  <c r="AY11" i="24"/>
  <c r="AX11" i="24"/>
  <c r="AW11" i="24"/>
  <c r="AV11" i="24"/>
  <c r="AU11" i="24"/>
  <c r="AT11" i="24"/>
  <c r="AS11" i="24"/>
  <c r="AR11" i="24"/>
  <c r="AQ11" i="24"/>
  <c r="AP11" i="24"/>
  <c r="AO11" i="24"/>
  <c r="AN11" i="24"/>
  <c r="AM11" i="24"/>
  <c r="AL11" i="24"/>
  <c r="AK11" i="24"/>
  <c r="AJ11" i="24"/>
  <c r="AI11" i="24"/>
  <c r="AH11" i="24"/>
  <c r="AG11" i="24"/>
  <c r="AF11" i="24"/>
  <c r="AE11" i="24"/>
  <c r="AD11" i="24"/>
  <c r="AC11" i="24"/>
  <c r="AB11" i="24"/>
  <c r="AA11" i="24"/>
  <c r="Z11" i="24"/>
  <c r="Y11" i="24"/>
  <c r="X11" i="24"/>
  <c r="W11" i="24"/>
  <c r="V11" i="24"/>
  <c r="U11" i="24"/>
  <c r="T11" i="24"/>
  <c r="S11" i="24"/>
  <c r="R11" i="24"/>
  <c r="Q11" i="24"/>
  <c r="P11" i="24"/>
  <c r="O11" i="24"/>
  <c r="N11" i="24"/>
  <c r="M11" i="24"/>
  <c r="L11" i="24"/>
  <c r="K11" i="24"/>
  <c r="J11" i="24"/>
  <c r="I11" i="24"/>
  <c r="H11" i="24"/>
  <c r="G11" i="24"/>
  <c r="F11" i="24"/>
  <c r="E11" i="24"/>
  <c r="D11" i="24"/>
  <c r="C11" i="24"/>
  <c r="BJ10" i="24"/>
  <c r="BI10" i="24"/>
  <c r="BH10" i="24"/>
  <c r="BG10" i="24"/>
  <c r="BF10" i="24"/>
  <c r="BE10" i="24"/>
  <c r="BD10" i="24"/>
  <c r="BC10" i="24"/>
  <c r="BB10" i="24"/>
  <c r="BA10" i="24"/>
  <c r="AZ10" i="24"/>
  <c r="AY10" i="24"/>
  <c r="AX10" i="24"/>
  <c r="AW10" i="24"/>
  <c r="AV10" i="24"/>
  <c r="AU10" i="24"/>
  <c r="AT10" i="24"/>
  <c r="AS10" i="24"/>
  <c r="AR10" i="24"/>
  <c r="AQ10" i="24"/>
  <c r="AP10" i="24"/>
  <c r="AO10" i="24"/>
  <c r="AN10" i="24"/>
  <c r="AM10" i="24"/>
  <c r="AL10" i="24"/>
  <c r="AK10" i="24"/>
  <c r="AJ10" i="24"/>
  <c r="AI10" i="24"/>
  <c r="AH10" i="24"/>
  <c r="AG10" i="24"/>
  <c r="AF10" i="24"/>
  <c r="AE10" i="24"/>
  <c r="AD10" i="24"/>
  <c r="AC10" i="24"/>
  <c r="AB10" i="24"/>
  <c r="AA10" i="24"/>
  <c r="Z10" i="24"/>
  <c r="Y10" i="24"/>
  <c r="X10" i="24"/>
  <c r="W10" i="24"/>
  <c r="V10" i="24"/>
  <c r="U10" i="24"/>
  <c r="T10" i="24"/>
  <c r="S10" i="24"/>
  <c r="R10" i="24"/>
  <c r="Q10" i="24"/>
  <c r="P10" i="24"/>
  <c r="O10" i="24"/>
  <c r="N10" i="24"/>
  <c r="M10" i="24"/>
  <c r="L10" i="24"/>
  <c r="K10" i="24"/>
  <c r="J10" i="24"/>
  <c r="I10" i="24"/>
  <c r="H10" i="24"/>
  <c r="G10" i="24"/>
  <c r="F10" i="24"/>
  <c r="E10" i="24"/>
  <c r="D10" i="24"/>
  <c r="C10" i="24"/>
  <c r="BJ9" i="24"/>
  <c r="BI9" i="24"/>
  <c r="BH9" i="24"/>
  <c r="BG9" i="24"/>
  <c r="BF9" i="24"/>
  <c r="BE9" i="24"/>
  <c r="BD9" i="24"/>
  <c r="BC9" i="24"/>
  <c r="BB9" i="24"/>
  <c r="BA9" i="24"/>
  <c r="AZ9" i="24"/>
  <c r="AY9" i="24"/>
  <c r="AX9" i="24"/>
  <c r="AW9" i="24"/>
  <c r="AV9" i="24"/>
  <c r="AU9" i="24"/>
  <c r="AT9" i="24"/>
  <c r="AS9" i="24"/>
  <c r="AR9" i="24"/>
  <c r="AQ9" i="24"/>
  <c r="AP9" i="24"/>
  <c r="AO9" i="24"/>
  <c r="AN9" i="24"/>
  <c r="AM9" i="24"/>
  <c r="AL9" i="24"/>
  <c r="AK9" i="24"/>
  <c r="AJ9" i="24"/>
  <c r="AI9" i="24"/>
  <c r="AH9" i="24"/>
  <c r="AG9" i="24"/>
  <c r="AF9" i="24"/>
  <c r="AE9" i="24"/>
  <c r="AD9" i="24"/>
  <c r="AD6" i="22" s="1"/>
  <c r="AC9" i="24"/>
  <c r="AB9" i="24"/>
  <c r="AA9" i="24"/>
  <c r="Z9" i="24"/>
  <c r="Y9" i="24"/>
  <c r="X9" i="24"/>
  <c r="W9" i="24"/>
  <c r="V9" i="24"/>
  <c r="U9" i="24"/>
  <c r="T9" i="24"/>
  <c r="S9" i="24"/>
  <c r="R9" i="24"/>
  <c r="Q9" i="24"/>
  <c r="P9" i="24"/>
  <c r="O9" i="24"/>
  <c r="N9" i="24"/>
  <c r="N6" i="22" s="1"/>
  <c r="M9" i="24"/>
  <c r="M6" i="22" s="1"/>
  <c r="L9" i="24"/>
  <c r="K9" i="24"/>
  <c r="J9" i="24"/>
  <c r="I9" i="24"/>
  <c r="H9" i="24"/>
  <c r="G9" i="24"/>
  <c r="F9" i="24"/>
  <c r="E9" i="24"/>
  <c r="D9" i="24"/>
  <c r="C9" i="24"/>
  <c r="BJ8" i="24"/>
  <c r="BI8" i="24"/>
  <c r="BH8" i="24"/>
  <c r="BG8" i="24"/>
  <c r="BF8" i="24"/>
  <c r="BE8" i="24"/>
  <c r="BE5" i="22" s="1"/>
  <c r="BD8" i="24"/>
  <c r="BC8" i="24"/>
  <c r="BB8" i="24"/>
  <c r="BA8" i="24"/>
  <c r="AZ8" i="24"/>
  <c r="AZ5" i="22" s="1"/>
  <c r="AY8" i="24"/>
  <c r="AX8" i="24"/>
  <c r="AW8" i="24"/>
  <c r="AV8" i="24"/>
  <c r="AV6" i="22" s="1"/>
  <c r="AU8" i="24"/>
  <c r="AT8" i="24"/>
  <c r="AS8" i="24"/>
  <c r="AR8" i="24"/>
  <c r="AQ8" i="24"/>
  <c r="AP8" i="24"/>
  <c r="AO8" i="24"/>
  <c r="AN8" i="24"/>
  <c r="AM8" i="24"/>
  <c r="AL8" i="24"/>
  <c r="AK8" i="24"/>
  <c r="AJ8" i="24"/>
  <c r="AJ5" i="22" s="1"/>
  <c r="AI8" i="24"/>
  <c r="AH8" i="24"/>
  <c r="AG8" i="24"/>
  <c r="AF8" i="24"/>
  <c r="AF6" i="22" s="1"/>
  <c r="AE8" i="24"/>
  <c r="AD8" i="24"/>
  <c r="AC8" i="24"/>
  <c r="AB8" i="24"/>
  <c r="AA8" i="24"/>
  <c r="Z8" i="24"/>
  <c r="Y8" i="24"/>
  <c r="X8" i="24"/>
  <c r="W8" i="24"/>
  <c r="V8" i="24"/>
  <c r="U8" i="24"/>
  <c r="T8" i="24"/>
  <c r="T5" i="22" s="1"/>
  <c r="S8" i="24"/>
  <c r="R8" i="24"/>
  <c r="Q8" i="24"/>
  <c r="P8" i="24"/>
  <c r="P6" i="22" s="1"/>
  <c r="O8" i="24"/>
  <c r="N8" i="24"/>
  <c r="M8" i="24"/>
  <c r="L8" i="24"/>
  <c r="K8" i="24"/>
  <c r="J8" i="24"/>
  <c r="J5" i="22" s="1"/>
  <c r="I8" i="24"/>
  <c r="H8" i="24"/>
  <c r="G8" i="24"/>
  <c r="F8" i="24"/>
  <c r="E8" i="24"/>
  <c r="D8" i="24"/>
  <c r="D5" i="22" s="1"/>
  <c r="C8" i="24"/>
  <c r="BJ7" i="24"/>
  <c r="BI7" i="24"/>
  <c r="BH7" i="24"/>
  <c r="BG7" i="24"/>
  <c r="BF7" i="24"/>
  <c r="BE7" i="24"/>
  <c r="BD7" i="24"/>
  <c r="BC7" i="24"/>
  <c r="BB7" i="24"/>
  <c r="BA7" i="24"/>
  <c r="AZ7" i="24"/>
  <c r="AY7" i="24"/>
  <c r="AX7" i="24"/>
  <c r="AW7" i="24"/>
  <c r="AV7" i="24"/>
  <c r="AU7" i="24"/>
  <c r="AU5" i="22" s="1"/>
  <c r="AT7" i="24"/>
  <c r="AS7" i="24"/>
  <c r="AR7" i="24"/>
  <c r="AR5" i="22" s="1"/>
  <c r="AQ7" i="24"/>
  <c r="AP7" i="24"/>
  <c r="AO7" i="24"/>
  <c r="AN7" i="24"/>
  <c r="AM7" i="24"/>
  <c r="AL7" i="24"/>
  <c r="AL8" i="22" s="1"/>
  <c r="AK7" i="24"/>
  <c r="AJ7" i="24"/>
  <c r="AI7" i="24"/>
  <c r="AH7" i="24"/>
  <c r="AG7" i="24"/>
  <c r="AF7" i="24"/>
  <c r="AE7" i="24"/>
  <c r="AE5" i="22" s="1"/>
  <c r="AD7" i="24"/>
  <c r="AC7" i="24"/>
  <c r="AC5" i="22" s="1"/>
  <c r="AB7" i="24"/>
  <c r="AB5" i="22" s="1"/>
  <c r="AA7" i="24"/>
  <c r="Z7" i="24"/>
  <c r="Y7" i="24"/>
  <c r="X7" i="24"/>
  <c r="W7" i="24"/>
  <c r="V7" i="24"/>
  <c r="V8" i="22" s="1"/>
  <c r="U7" i="24"/>
  <c r="U8" i="22" s="1"/>
  <c r="T7" i="24"/>
  <c r="S7" i="24"/>
  <c r="R7" i="24"/>
  <c r="Q7" i="24"/>
  <c r="P7" i="24"/>
  <c r="O7" i="24"/>
  <c r="O5" i="22" s="1"/>
  <c r="N7" i="24"/>
  <c r="M7" i="24"/>
  <c r="L7" i="24"/>
  <c r="L5" i="22" s="1"/>
  <c r="K7" i="24"/>
  <c r="J7" i="24"/>
  <c r="I7" i="24"/>
  <c r="H7" i="24"/>
  <c r="G7" i="24"/>
  <c r="F7" i="24"/>
  <c r="F8" i="22" s="1"/>
  <c r="E7" i="24"/>
  <c r="E8" i="22" s="1"/>
  <c r="D7" i="24"/>
  <c r="C7" i="24"/>
  <c r="C5" i="22" s="1"/>
  <c r="BJ6" i="24"/>
  <c r="BJ6" i="22" s="1"/>
  <c r="BI6" i="24"/>
  <c r="BI6" i="22" s="1"/>
  <c r="BH6" i="24"/>
  <c r="BH7" i="22" s="1"/>
  <c r="BG6" i="24"/>
  <c r="BG7" i="22" s="1"/>
  <c r="BF6" i="24"/>
  <c r="BF5" i="22" s="1"/>
  <c r="BE6" i="24"/>
  <c r="BD6" i="24"/>
  <c r="BD6" i="22" s="1"/>
  <c r="BC6" i="24"/>
  <c r="BC7" i="22" s="1"/>
  <c r="BB6" i="24"/>
  <c r="BA6" i="24"/>
  <c r="AZ6" i="24"/>
  <c r="AZ8" i="22" s="1"/>
  <c r="AY6" i="24"/>
  <c r="AX6" i="24"/>
  <c r="AW6" i="24"/>
  <c r="AV6" i="24"/>
  <c r="AU6" i="24"/>
  <c r="AT6" i="24"/>
  <c r="AS6" i="24"/>
  <c r="AR6" i="24"/>
  <c r="AQ6" i="24"/>
  <c r="AQ7" i="22" s="1"/>
  <c r="AP6" i="24"/>
  <c r="AO6" i="24"/>
  <c r="AN6" i="24"/>
  <c r="AN8" i="22" s="1"/>
  <c r="AM6" i="24"/>
  <c r="AM7" i="22" s="1"/>
  <c r="AL6" i="24"/>
  <c r="AK6" i="24"/>
  <c r="AK8" i="22" s="1"/>
  <c r="AJ6" i="24"/>
  <c r="AI6" i="24"/>
  <c r="AH6" i="24"/>
  <c r="AH7" i="22" s="1"/>
  <c r="AG6" i="24"/>
  <c r="AG7" i="22" s="1"/>
  <c r="AF6" i="24"/>
  <c r="AE6" i="24"/>
  <c r="AD6" i="24"/>
  <c r="AC6" i="24"/>
  <c r="AB6" i="24"/>
  <c r="AB6" i="22" s="1"/>
  <c r="AA6" i="24"/>
  <c r="AA7" i="22" s="1"/>
  <c r="Z6" i="24"/>
  <c r="Y6" i="24"/>
  <c r="X6" i="24"/>
  <c r="X6" i="22" s="1"/>
  <c r="W6" i="24"/>
  <c r="W6" i="22" s="1"/>
  <c r="V6" i="24"/>
  <c r="U6" i="24"/>
  <c r="T6" i="24"/>
  <c r="S6" i="24"/>
  <c r="R6" i="24"/>
  <c r="R7" i="22" s="1"/>
  <c r="Q6" i="24"/>
  <c r="Q7" i="22" s="1"/>
  <c r="P6" i="24"/>
  <c r="O6" i="24"/>
  <c r="N6" i="24"/>
  <c r="M6" i="24"/>
  <c r="L6" i="24"/>
  <c r="K6" i="24"/>
  <c r="K8" i="22" s="1"/>
  <c r="J6" i="24"/>
  <c r="I6" i="24"/>
  <c r="I5" i="22" s="1"/>
  <c r="H6" i="24"/>
  <c r="H8" i="22" s="1"/>
  <c r="G6" i="24"/>
  <c r="G8" i="22" s="1"/>
  <c r="F6" i="24"/>
  <c r="E6" i="24"/>
  <c r="D6" i="24"/>
  <c r="D6" i="22" s="1"/>
  <c r="C6" i="24"/>
  <c r="BB8" i="22"/>
  <c r="BA8" i="22"/>
  <c r="AY8" i="22"/>
  <c r="AJ8" i="22"/>
  <c r="AI8" i="22"/>
  <c r="T8" i="22"/>
  <c r="S8" i="22"/>
  <c r="AX7" i="22"/>
  <c r="AW7" i="22"/>
  <c r="AU7" i="22"/>
  <c r="AE7" i="22"/>
  <c r="P7" i="22"/>
  <c r="O7" i="22"/>
  <c r="AT6" i="22"/>
  <c r="AS6" i="22"/>
  <c r="AA6" i="22"/>
  <c r="L6" i="22"/>
  <c r="AP5" i="22"/>
  <c r="W5" i="22"/>
  <c r="H5" i="22"/>
  <c r="G5" i="22"/>
  <c r="I26" i="17"/>
  <c r="N21" i="17" s="1"/>
  <c r="K6" i="22" l="1"/>
  <c r="K5" i="22"/>
  <c r="AA5" i="22"/>
  <c r="AQ5" i="22"/>
  <c r="BG5" i="22"/>
  <c r="O6" i="22"/>
  <c r="AE6" i="22"/>
  <c r="AU6" i="22"/>
  <c r="C7" i="22"/>
  <c r="S7" i="22"/>
  <c r="AI7" i="22"/>
  <c r="AY7" i="22"/>
  <c r="D7" i="22"/>
  <c r="T7" i="22"/>
  <c r="AJ7" i="22"/>
  <c r="AZ7" i="22"/>
  <c r="AO6" i="22"/>
  <c r="M5" i="22"/>
  <c r="AS5" i="22"/>
  <c r="AG6" i="22"/>
  <c r="U7" i="22"/>
  <c r="E7" i="22"/>
  <c r="BA7" i="22"/>
  <c r="J6" i="22"/>
  <c r="Z6" i="22"/>
  <c r="AP6" i="22"/>
  <c r="BF6" i="22"/>
  <c r="N5" i="22"/>
  <c r="AD5" i="22"/>
  <c r="AT5" i="22"/>
  <c r="BJ5" i="22"/>
  <c r="R6" i="22"/>
  <c r="AH6" i="22"/>
  <c r="AX6" i="22"/>
  <c r="F7" i="22"/>
  <c r="V7" i="22"/>
  <c r="AL7" i="22"/>
  <c r="BB7" i="22"/>
  <c r="BH5" i="22"/>
  <c r="BE6" i="22"/>
  <c r="BI5" i="22"/>
  <c r="Q6" i="22"/>
  <c r="AW6" i="22"/>
  <c r="AK7" i="22"/>
  <c r="S6" i="22"/>
  <c r="AI6" i="22"/>
  <c r="AY6" i="22"/>
  <c r="AR7" i="22"/>
  <c r="AF8" i="22"/>
  <c r="Y6" i="22"/>
  <c r="X5" i="22"/>
  <c r="AF7" i="22"/>
  <c r="L7" i="22"/>
  <c r="BI7" i="22"/>
  <c r="AK5" i="22"/>
  <c r="AV8" i="22"/>
  <c r="AC7" i="22"/>
  <c r="E5" i="22"/>
  <c r="Z5" i="22"/>
  <c r="AD7" i="22"/>
  <c r="R8" i="22"/>
  <c r="V5" i="22"/>
  <c r="AL5" i="22"/>
  <c r="BB5" i="22"/>
  <c r="I6" i="22"/>
  <c r="AB7" i="22"/>
  <c r="P8" i="22"/>
  <c r="AS7" i="22"/>
  <c r="AW8" i="22"/>
  <c r="BA5" i="22"/>
  <c r="BJ7" i="22"/>
  <c r="F5" i="22"/>
  <c r="AQ6" i="22"/>
  <c r="AI5" i="22"/>
  <c r="AY5" i="22"/>
  <c r="Y5" i="22"/>
  <c r="AC6" i="22"/>
  <c r="M7" i="22"/>
  <c r="Q8" i="22"/>
  <c r="AG8" i="22"/>
  <c r="U5" i="22"/>
  <c r="N7" i="22"/>
  <c r="AT7" i="22"/>
  <c r="AH8" i="22"/>
  <c r="AX8" i="22"/>
  <c r="AM5" i="22"/>
  <c r="O8" i="22"/>
  <c r="AE8" i="22"/>
  <c r="AU8" i="22"/>
  <c r="S5" i="22"/>
  <c r="AN5" i="22"/>
  <c r="AR6" i="22"/>
  <c r="AV7" i="22"/>
  <c r="BC5" i="22"/>
  <c r="BG6" i="22"/>
  <c r="C8" i="22"/>
  <c r="BD5" i="22"/>
  <c r="BH6" i="22"/>
  <c r="D8" i="22"/>
  <c r="W8" i="22"/>
  <c r="BD8" i="22"/>
  <c r="AO8" i="22"/>
  <c r="Z8" i="22"/>
  <c r="G7" i="22"/>
  <c r="BG8" i="22"/>
  <c r="P5" i="22"/>
  <c r="AF5" i="22"/>
  <c r="AV5" i="22"/>
  <c r="T6" i="22"/>
  <c r="AJ6" i="22"/>
  <c r="AZ6" i="22"/>
  <c r="H7" i="22"/>
  <c r="X7" i="22"/>
  <c r="AN7" i="22"/>
  <c r="BD7" i="22"/>
  <c r="L8" i="22"/>
  <c r="AB8" i="22"/>
  <c r="AR8" i="22"/>
  <c r="BH8" i="22"/>
  <c r="AQ8" i="22"/>
  <c r="Q5" i="22"/>
  <c r="AG5" i="22"/>
  <c r="AW5" i="22"/>
  <c r="E6" i="22"/>
  <c r="D11" i="22" s="1" a="1"/>
  <c r="U6" i="22"/>
  <c r="AK6" i="22"/>
  <c r="BA6" i="22"/>
  <c r="I7" i="22"/>
  <c r="Y7" i="22"/>
  <c r="AO7" i="22"/>
  <c r="BE7" i="22"/>
  <c r="M8" i="22"/>
  <c r="AC8" i="22"/>
  <c r="AS8" i="22"/>
  <c r="BI8" i="22"/>
  <c r="AM8" i="22"/>
  <c r="J8" i="22"/>
  <c r="AA8" i="22"/>
  <c r="R5" i="22"/>
  <c r="AH5" i="22"/>
  <c r="AX5" i="22"/>
  <c r="F6" i="22"/>
  <c r="V6" i="22"/>
  <c r="AL6" i="22"/>
  <c r="BB6" i="22"/>
  <c r="J7" i="22"/>
  <c r="Z7" i="22"/>
  <c r="AP7" i="22"/>
  <c r="BF7" i="22"/>
  <c r="N8" i="22"/>
  <c r="AD8" i="22"/>
  <c r="AT8" i="22"/>
  <c r="BJ8" i="22"/>
  <c r="BC8" i="22"/>
  <c r="X8" i="22"/>
  <c r="I8" i="22"/>
  <c r="BF8" i="22"/>
  <c r="W7" i="22"/>
  <c r="G6" i="22"/>
  <c r="AM6" i="22"/>
  <c r="BC6" i="22"/>
  <c r="K7" i="22"/>
  <c r="Y8" i="22"/>
  <c r="H6" i="22"/>
  <c r="AN6" i="22"/>
  <c r="BE8" i="22"/>
  <c r="AP8" i="22"/>
  <c r="N7" i="17"/>
  <c r="N11" i="17"/>
  <c r="N15" i="17"/>
  <c r="N19" i="17"/>
  <c r="N10" i="17"/>
  <c r="N18" i="17"/>
  <c r="N4" i="17"/>
  <c r="N8" i="17"/>
  <c r="N12" i="17"/>
  <c r="N16" i="17"/>
  <c r="N20" i="17"/>
  <c r="N6" i="17"/>
  <c r="N14" i="17"/>
  <c r="N5" i="17"/>
  <c r="N9" i="17"/>
  <c r="N13" i="17"/>
  <c r="N17" i="17"/>
  <c r="M27" i="17"/>
  <c r="M26" i="17"/>
  <c r="M22" i="17"/>
  <c r="Y8" i="17" s="1"/>
  <c r="H22" i="17"/>
  <c r="Q9" i="10"/>
  <c r="P9" i="10"/>
  <c r="O9" i="10"/>
  <c r="N9" i="10"/>
  <c r="M9" i="10"/>
  <c r="L9" i="10"/>
  <c r="K9" i="10"/>
  <c r="J9" i="10"/>
  <c r="I9" i="10"/>
  <c r="H9" i="10"/>
  <c r="G9" i="10"/>
  <c r="F9" i="10"/>
  <c r="E9" i="10"/>
  <c r="D9" i="10"/>
  <c r="C9" i="10"/>
  <c r="Q9" i="9"/>
  <c r="P9" i="9"/>
  <c r="O9" i="9"/>
  <c r="N9" i="9"/>
  <c r="M9" i="9"/>
  <c r="L9" i="9"/>
  <c r="K9" i="9"/>
  <c r="J9" i="9"/>
  <c r="I9" i="9"/>
  <c r="H9" i="9"/>
  <c r="G9" i="9"/>
  <c r="F9" i="9"/>
  <c r="E9" i="9"/>
  <c r="D9" i="9"/>
  <c r="C9" i="9"/>
  <c r="Q9" i="7"/>
  <c r="P9" i="7"/>
  <c r="O9" i="7"/>
  <c r="N9" i="7"/>
  <c r="M9" i="7"/>
  <c r="L9" i="7"/>
  <c r="K9" i="7"/>
  <c r="J9" i="7"/>
  <c r="I9" i="7"/>
  <c r="H9" i="7"/>
  <c r="G9" i="7"/>
  <c r="F9" i="7"/>
  <c r="E9" i="7"/>
  <c r="D9" i="7"/>
  <c r="C9" i="7"/>
  <c r="Q9" i="12"/>
  <c r="P9" i="12"/>
  <c r="O9" i="12"/>
  <c r="N9" i="12"/>
  <c r="M9" i="12"/>
  <c r="L9" i="12"/>
  <c r="K9" i="12"/>
  <c r="J9" i="12"/>
  <c r="I9" i="12"/>
  <c r="H9" i="12"/>
  <c r="G9" i="12"/>
  <c r="F9" i="12"/>
  <c r="E9" i="12"/>
  <c r="D9" i="12"/>
  <c r="C9" i="12"/>
  <c r="Q9" i="11"/>
  <c r="P9" i="11"/>
  <c r="O9" i="11"/>
  <c r="N9" i="11"/>
  <c r="M9" i="11"/>
  <c r="L9" i="11"/>
  <c r="K9" i="11"/>
  <c r="J9" i="11"/>
  <c r="I9" i="11"/>
  <c r="H9" i="11"/>
  <c r="G9" i="11"/>
  <c r="F9" i="11"/>
  <c r="E9" i="11"/>
  <c r="D9" i="11"/>
  <c r="C9" i="11"/>
  <c r="Q9" i="8"/>
  <c r="P9" i="8"/>
  <c r="O9" i="8"/>
  <c r="N9" i="8"/>
  <c r="M9" i="8"/>
  <c r="L9" i="8"/>
  <c r="K9" i="8"/>
  <c r="J9" i="8"/>
  <c r="I9" i="8"/>
  <c r="H9" i="8"/>
  <c r="G9" i="8"/>
  <c r="F9" i="8"/>
  <c r="E9" i="8"/>
  <c r="D9" i="8"/>
  <c r="C9" i="8"/>
  <c r="Q9" i="13"/>
  <c r="P9" i="13"/>
  <c r="O9" i="13"/>
  <c r="N9" i="13"/>
  <c r="M9" i="13"/>
  <c r="L9" i="13"/>
  <c r="K9" i="13"/>
  <c r="J9" i="13"/>
  <c r="I9" i="13"/>
  <c r="H9" i="13"/>
  <c r="G9" i="13"/>
  <c r="F9" i="13"/>
  <c r="E9" i="13"/>
  <c r="D9" i="13"/>
  <c r="C9" i="13"/>
  <c r="Q9" i="14"/>
  <c r="P9" i="14"/>
  <c r="O9" i="14"/>
  <c r="N9" i="14"/>
  <c r="M9" i="14"/>
  <c r="L9" i="14"/>
  <c r="K9" i="14"/>
  <c r="J9" i="14"/>
  <c r="I9" i="14"/>
  <c r="H9" i="14"/>
  <c r="G9" i="14"/>
  <c r="F9" i="14"/>
  <c r="E9" i="14"/>
  <c r="D9" i="14"/>
  <c r="C9" i="14"/>
  <c r="Q9" i="6"/>
  <c r="P9" i="6"/>
  <c r="O9" i="6"/>
  <c r="N9" i="6"/>
  <c r="M9" i="6"/>
  <c r="L9" i="6"/>
  <c r="K9" i="6"/>
  <c r="J9" i="6"/>
  <c r="I9" i="6"/>
  <c r="H9" i="6"/>
  <c r="G9" i="6"/>
  <c r="F9" i="6"/>
  <c r="E9" i="6"/>
  <c r="D9" i="6"/>
  <c r="C9" i="6"/>
  <c r="Q9" i="21"/>
  <c r="P9" i="21"/>
  <c r="O9" i="21"/>
  <c r="N9" i="21"/>
  <c r="M9" i="21"/>
  <c r="L9" i="21"/>
  <c r="K9" i="21"/>
  <c r="J9" i="21"/>
  <c r="I9" i="21"/>
  <c r="H9" i="21"/>
  <c r="G9" i="21"/>
  <c r="F9" i="21"/>
  <c r="E9" i="21"/>
  <c r="D9" i="21"/>
  <c r="C9" i="21"/>
  <c r="Q9" i="20"/>
  <c r="P9" i="20"/>
  <c r="O9" i="20"/>
  <c r="N9" i="20"/>
  <c r="M9" i="20"/>
  <c r="L9" i="20"/>
  <c r="K9" i="20"/>
  <c r="J9" i="20"/>
  <c r="I9" i="20"/>
  <c r="H9" i="20"/>
  <c r="G9" i="20"/>
  <c r="F9" i="20"/>
  <c r="E9" i="20"/>
  <c r="D9" i="20"/>
  <c r="C9" i="20"/>
  <c r="Q9" i="19"/>
  <c r="P9" i="19"/>
  <c r="O9" i="19"/>
  <c r="N9" i="19"/>
  <c r="M9" i="19"/>
  <c r="L9" i="19"/>
  <c r="K9" i="19"/>
  <c r="J9" i="19"/>
  <c r="I9" i="19"/>
  <c r="H9" i="19"/>
  <c r="G9" i="19"/>
  <c r="F9" i="19"/>
  <c r="E9" i="19"/>
  <c r="D9" i="19"/>
  <c r="C9" i="19"/>
  <c r="K19" i="16"/>
  <c r="J19" i="16"/>
  <c r="I19" i="16"/>
  <c r="H19" i="16"/>
  <c r="G19" i="16"/>
  <c r="F19" i="16"/>
  <c r="E19" i="16"/>
  <c r="D19" i="16"/>
  <c r="M24" i="17"/>
  <c r="H24" i="17"/>
  <c r="Y7" i="17" s="1"/>
  <c r="L17" i="18"/>
  <c r="I13" i="18"/>
  <c r="U6" i="3"/>
  <c r="U7" i="3"/>
  <c r="U8" i="3"/>
  <c r="U9" i="3"/>
  <c r="U10" i="3"/>
  <c r="U11" i="3"/>
  <c r="U12" i="3"/>
  <c r="U13" i="3"/>
  <c r="U14" i="3"/>
  <c r="U15" i="3"/>
  <c r="U16" i="3"/>
  <c r="U17" i="3"/>
  <c r="U18" i="3"/>
  <c r="U19" i="3"/>
  <c r="U20" i="3"/>
  <c r="U21" i="3"/>
  <c r="U22" i="3"/>
  <c r="U23" i="3"/>
  <c r="U24" i="3"/>
  <c r="U25" i="3"/>
  <c r="U26" i="3"/>
  <c r="U27" i="3"/>
  <c r="U28" i="3"/>
  <c r="U29" i="3"/>
  <c r="U30" i="3"/>
  <c r="U31"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5" i="3"/>
  <c r="L50" i="3"/>
  <c r="L51" i="3"/>
  <c r="L52" i="3"/>
  <c r="L53" i="3"/>
  <c r="L54" i="3"/>
  <c r="L55" i="3"/>
  <c r="L56" i="3"/>
  <c r="L57" i="3"/>
  <c r="L58" i="3"/>
  <c r="L59" i="3"/>
  <c r="L60" i="3"/>
  <c r="L61" i="3"/>
  <c r="L62" i="3"/>
  <c r="L63" i="3"/>
  <c r="L64" i="3"/>
  <c r="F11" i="22" l="1" a="1"/>
  <c r="F11" i="22" s="1"/>
  <c r="C11" i="22" a="1"/>
  <c r="E11" i="22" a="1"/>
  <c r="E11" i="22" s="1"/>
  <c r="D11" i="22"/>
  <c r="F5" i="3" s="1"/>
  <c r="F49" i="3"/>
  <c r="F33" i="3"/>
  <c r="F17" i="3"/>
  <c r="F29" i="3"/>
  <c r="F28" i="3"/>
  <c r="F43" i="3"/>
  <c r="F42" i="3"/>
  <c r="F9" i="3"/>
  <c r="F24" i="3"/>
  <c r="F55" i="3"/>
  <c r="F6" i="3"/>
  <c r="F52" i="3"/>
  <c r="F19" i="3"/>
  <c r="F64" i="3"/>
  <c r="F48" i="3"/>
  <c r="F32" i="3"/>
  <c r="F16" i="3"/>
  <c r="F13" i="3"/>
  <c r="F60" i="3"/>
  <c r="F27" i="3"/>
  <c r="F10" i="3"/>
  <c r="F41" i="3"/>
  <c r="F40" i="3"/>
  <c r="F23" i="3"/>
  <c r="F38" i="3"/>
  <c r="F53" i="3"/>
  <c r="F20" i="3"/>
  <c r="F35" i="3"/>
  <c r="F18" i="3"/>
  <c r="F63" i="3"/>
  <c r="F47" i="3"/>
  <c r="F31" i="3"/>
  <c r="F15" i="3"/>
  <c r="F61" i="3"/>
  <c r="F12" i="3"/>
  <c r="F59" i="3"/>
  <c r="F58" i="3"/>
  <c r="F25" i="3"/>
  <c r="F8" i="3"/>
  <c r="F39" i="3"/>
  <c r="F22" i="3"/>
  <c r="F21" i="3"/>
  <c r="F36" i="3"/>
  <c r="F50" i="3"/>
  <c r="F62" i="3"/>
  <c r="F46" i="3"/>
  <c r="F30" i="3"/>
  <c r="F14" i="3"/>
  <c r="F45" i="3"/>
  <c r="F44" i="3"/>
  <c r="F11" i="3"/>
  <c r="F26" i="3"/>
  <c r="F57" i="3"/>
  <c r="F56" i="3"/>
  <c r="F7" i="3"/>
  <c r="F54" i="3"/>
  <c r="F37" i="3"/>
  <c r="F51" i="3"/>
  <c r="F34" i="3"/>
  <c r="L9" i="17"/>
  <c r="L6" i="17"/>
  <c r="L12" i="17"/>
  <c r="L16" i="17"/>
  <c r="L20" i="17"/>
  <c r="L13" i="17"/>
  <c r="L17" i="17"/>
  <c r="L21" i="17"/>
  <c r="L11" i="17"/>
  <c r="L8" i="17"/>
  <c r="L14" i="17"/>
  <c r="L18" i="17"/>
  <c r="L4" i="17"/>
  <c r="L5" i="17"/>
  <c r="L10" i="17"/>
  <c r="L15" i="17"/>
  <c r="L19" i="17"/>
  <c r="L7" i="17"/>
  <c r="N26" i="17"/>
  <c r="Y4" i="17" s="1"/>
  <c r="N27" i="17"/>
  <c r="Y5" i="17" s="1"/>
  <c r="Q12" i="19"/>
  <c r="Q15" i="19" s="1"/>
  <c r="N10" i="19"/>
  <c r="I10" i="21"/>
  <c r="Q10" i="19"/>
  <c r="G10" i="19"/>
  <c r="N10" i="20"/>
  <c r="H10" i="20"/>
  <c r="P10" i="21"/>
  <c r="M10" i="21"/>
  <c r="Q10" i="21"/>
  <c r="K10" i="19"/>
  <c r="L10" i="20"/>
  <c r="P10" i="20"/>
  <c r="G10" i="20"/>
  <c r="F10" i="19"/>
  <c r="K10" i="20"/>
  <c r="O10" i="19"/>
  <c r="J10" i="19"/>
  <c r="O10" i="20"/>
  <c r="E10" i="21"/>
  <c r="E12" i="20"/>
  <c r="E17" i="20" s="1"/>
  <c r="F12" i="20"/>
  <c r="F14" i="20" s="1"/>
  <c r="N12" i="20"/>
  <c r="N15" i="20" s="1"/>
  <c r="N21" i="20" s="1"/>
  <c r="E12" i="21"/>
  <c r="E17" i="21" s="1"/>
  <c r="E12" i="19"/>
  <c r="E15" i="19" s="1"/>
  <c r="I12" i="19"/>
  <c r="I17" i="19" s="1"/>
  <c r="I12" i="21"/>
  <c r="I17" i="21" s="1"/>
  <c r="I23" i="21" s="1"/>
  <c r="E14" i="21"/>
  <c r="P12" i="19"/>
  <c r="P18" i="19" s="1"/>
  <c r="C10" i="19"/>
  <c r="D10" i="20"/>
  <c r="F10" i="21"/>
  <c r="J10" i="21"/>
  <c r="N10" i="21"/>
  <c r="D10" i="19"/>
  <c r="H10" i="19"/>
  <c r="L10" i="19"/>
  <c r="P10" i="19"/>
  <c r="E10" i="20"/>
  <c r="I10" i="20"/>
  <c r="M10" i="20"/>
  <c r="Q10" i="20"/>
  <c r="C10" i="21"/>
  <c r="G10" i="21"/>
  <c r="K10" i="21"/>
  <c r="O10" i="21"/>
  <c r="E10" i="19"/>
  <c r="I10" i="19"/>
  <c r="M10" i="19"/>
  <c r="F10" i="20"/>
  <c r="J10" i="20"/>
  <c r="D10" i="21"/>
  <c r="H10" i="21"/>
  <c r="L10" i="21"/>
  <c r="F12" i="21"/>
  <c r="F15" i="21" s="1"/>
  <c r="F21" i="21" s="1"/>
  <c r="J12" i="21"/>
  <c r="J16" i="21" s="1"/>
  <c r="N12" i="21"/>
  <c r="N16" i="21" s="1"/>
  <c r="N22" i="21" s="1"/>
  <c r="C12" i="21"/>
  <c r="C15" i="21" s="1"/>
  <c r="G12" i="21"/>
  <c r="G15" i="21" s="1"/>
  <c r="K12" i="21"/>
  <c r="K15" i="21" s="1"/>
  <c r="O12" i="21"/>
  <c r="O15" i="21" s="1"/>
  <c r="O21" i="21" s="1"/>
  <c r="M12" i="21"/>
  <c r="M17" i="21" s="1"/>
  <c r="D12" i="21"/>
  <c r="D16" i="21" s="1"/>
  <c r="H12" i="21"/>
  <c r="H16" i="21" s="1"/>
  <c r="L12" i="21"/>
  <c r="L16" i="21" s="1"/>
  <c r="P12" i="21"/>
  <c r="P16" i="21" s="1"/>
  <c r="Q12" i="21"/>
  <c r="Q17" i="21" s="1"/>
  <c r="D12" i="20"/>
  <c r="D14" i="20" s="1"/>
  <c r="L12" i="20"/>
  <c r="L16" i="20" s="1"/>
  <c r="P12" i="20"/>
  <c r="P14" i="20" s="1"/>
  <c r="P20" i="20" s="1"/>
  <c r="H12" i="20"/>
  <c r="H16" i="20" s="1"/>
  <c r="J12" i="20"/>
  <c r="J16" i="20" s="1"/>
  <c r="M12" i="20"/>
  <c r="M17" i="20" s="1"/>
  <c r="C12" i="20"/>
  <c r="C18" i="20" s="1"/>
  <c r="G12" i="20"/>
  <c r="G15" i="20" s="1"/>
  <c r="K12" i="20"/>
  <c r="K16" i="20" s="1"/>
  <c r="O12" i="20"/>
  <c r="O15" i="20" s="1"/>
  <c r="I12" i="20"/>
  <c r="I17" i="20" s="1"/>
  <c r="Q12" i="20"/>
  <c r="Q17" i="20" s="1"/>
  <c r="H12" i="19"/>
  <c r="H15" i="19" s="1"/>
  <c r="D12" i="19"/>
  <c r="D17" i="19" s="1"/>
  <c r="F12" i="19"/>
  <c r="F15" i="19" s="1"/>
  <c r="J12" i="19"/>
  <c r="J15" i="19" s="1"/>
  <c r="N12" i="19"/>
  <c r="C12" i="19"/>
  <c r="G12" i="19"/>
  <c r="G16" i="19" s="1"/>
  <c r="G22" i="19" s="1"/>
  <c r="K12" i="19"/>
  <c r="K16" i="19" s="1"/>
  <c r="O12" i="19"/>
  <c r="O14" i="19" s="1"/>
  <c r="L12" i="19"/>
  <c r="M12" i="19"/>
  <c r="M18" i="19" s="1"/>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 i="3"/>
  <c r="E18" i="20" l="1"/>
  <c r="E24" i="20" s="1"/>
  <c r="O20" i="19"/>
  <c r="C11" i="22"/>
  <c r="E5" i="3" s="1"/>
  <c r="E21" i="3"/>
  <c r="E37" i="3"/>
  <c r="E53" i="3"/>
  <c r="E24" i="3"/>
  <c r="E6" i="3"/>
  <c r="E22" i="3"/>
  <c r="E38" i="3"/>
  <c r="E54" i="3"/>
  <c r="E56" i="3"/>
  <c r="E7" i="3"/>
  <c r="E23" i="3"/>
  <c r="E39" i="3"/>
  <c r="E55" i="3"/>
  <c r="E40" i="3"/>
  <c r="E8" i="3"/>
  <c r="E9" i="3"/>
  <c r="E25" i="3"/>
  <c r="E41" i="3"/>
  <c r="E57" i="3"/>
  <c r="E10" i="3"/>
  <c r="E26" i="3"/>
  <c r="E42" i="3"/>
  <c r="E58" i="3"/>
  <c r="E11" i="3"/>
  <c r="E27" i="3"/>
  <c r="E43" i="3"/>
  <c r="E59" i="3"/>
  <c r="E12" i="3"/>
  <c r="E28" i="3"/>
  <c r="E44" i="3"/>
  <c r="E60" i="3"/>
  <c r="E13" i="3"/>
  <c r="E29" i="3"/>
  <c r="E45" i="3"/>
  <c r="E61" i="3"/>
  <c r="E14" i="3"/>
  <c r="E30" i="3"/>
  <c r="E46" i="3"/>
  <c r="E62" i="3"/>
  <c r="E15" i="3"/>
  <c r="E31" i="3"/>
  <c r="E47" i="3"/>
  <c r="E63" i="3"/>
  <c r="E16" i="3"/>
  <c r="E32" i="3"/>
  <c r="E48" i="3"/>
  <c r="E64" i="3"/>
  <c r="E17" i="3"/>
  <c r="E33" i="3"/>
  <c r="E49" i="3"/>
  <c r="E18" i="3"/>
  <c r="E34" i="3"/>
  <c r="E50" i="3"/>
  <c r="E19" i="3"/>
  <c r="E35" i="3"/>
  <c r="E51" i="3"/>
  <c r="E20" i="3"/>
  <c r="E36" i="3"/>
  <c r="E52" i="3"/>
  <c r="C21" i="21"/>
  <c r="L22" i="20"/>
  <c r="L22" i="21"/>
  <c r="N15" i="21"/>
  <c r="N21" i="21" s="1"/>
  <c r="P22" i="21"/>
  <c r="M23" i="21"/>
  <c r="J21" i="19"/>
  <c r="G21" i="20"/>
  <c r="Q23" i="21"/>
  <c r="F18" i="20"/>
  <c r="F24" i="20" s="1"/>
  <c r="I16" i="19"/>
  <c r="N28" i="17"/>
  <c r="Y6" i="17" s="1"/>
  <c r="E14" i="19"/>
  <c r="E20" i="19" s="1"/>
  <c r="E16" i="19"/>
  <c r="E22" i="19" s="1"/>
  <c r="E16" i="20"/>
  <c r="E22" i="20" s="1"/>
  <c r="E23" i="20"/>
  <c r="P16" i="19"/>
  <c r="P22" i="19" s="1"/>
  <c r="P15" i="19"/>
  <c r="P21" i="19" s="1"/>
  <c r="E17" i="19"/>
  <c r="E23" i="19" s="1"/>
  <c r="E14" i="20"/>
  <c r="E20" i="20" s="1"/>
  <c r="E16" i="21"/>
  <c r="E22" i="21" s="1"/>
  <c r="Q14" i="19"/>
  <c r="Q20" i="19" s="1"/>
  <c r="Q21" i="19"/>
  <c r="Q16" i="19"/>
  <c r="Q22" i="19" s="1"/>
  <c r="E18" i="21"/>
  <c r="E24" i="21" s="1"/>
  <c r="G18" i="21"/>
  <c r="G24" i="21" s="1"/>
  <c r="Q17" i="19"/>
  <c r="Q23" i="19" s="1"/>
  <c r="Q18" i="19"/>
  <c r="Q24" i="19" s="1"/>
  <c r="D23" i="19"/>
  <c r="H22" i="20"/>
  <c r="D20" i="20"/>
  <c r="I15" i="19"/>
  <c r="I21" i="19" s="1"/>
  <c r="P14" i="21"/>
  <c r="P20" i="21" s="1"/>
  <c r="I14" i="19"/>
  <c r="I20" i="19" s="1"/>
  <c r="F17" i="20"/>
  <c r="F23" i="20" s="1"/>
  <c r="G14" i="21"/>
  <c r="G20" i="21" s="1"/>
  <c r="P18" i="21"/>
  <c r="P24" i="21" s="1"/>
  <c r="I18" i="19"/>
  <c r="I24" i="19" s="1"/>
  <c r="H18" i="20"/>
  <c r="H24" i="20" s="1"/>
  <c r="I15" i="21"/>
  <c r="I21" i="21" s="1"/>
  <c r="N17" i="21"/>
  <c r="N23" i="21" s="1"/>
  <c r="H14" i="20"/>
  <c r="H20" i="20" s="1"/>
  <c r="E20" i="21"/>
  <c r="E23" i="21"/>
  <c r="G21" i="21"/>
  <c r="I22" i="19"/>
  <c r="K22" i="20"/>
  <c r="Q23" i="20"/>
  <c r="C24" i="20"/>
  <c r="K22" i="19"/>
  <c r="J22" i="20"/>
  <c r="K21" i="21"/>
  <c r="F21" i="19"/>
  <c r="H21" i="19"/>
  <c r="F20" i="20"/>
  <c r="I23" i="19"/>
  <c r="I23" i="20"/>
  <c r="O21" i="20"/>
  <c r="D22" i="21"/>
  <c r="P24" i="19"/>
  <c r="E21" i="19"/>
  <c r="K18" i="20"/>
  <c r="K24" i="20" s="1"/>
  <c r="D17" i="20"/>
  <c r="D23" i="20" s="1"/>
  <c r="N14" i="20"/>
  <c r="N20" i="20" s="1"/>
  <c r="F16" i="20"/>
  <c r="F22" i="20" s="1"/>
  <c r="N18" i="20"/>
  <c r="N24" i="20" s="1"/>
  <c r="D14" i="21"/>
  <c r="D20" i="21" s="1"/>
  <c r="K17" i="21"/>
  <c r="K23" i="21" s="1"/>
  <c r="K16" i="21"/>
  <c r="K22" i="21" s="1"/>
  <c r="F17" i="19"/>
  <c r="F23" i="19" s="1"/>
  <c r="G14" i="19"/>
  <c r="G20" i="19" s="1"/>
  <c r="D15" i="19"/>
  <c r="D21" i="19" s="1"/>
  <c r="E18" i="19"/>
  <c r="E24" i="19" s="1"/>
  <c r="J17" i="20"/>
  <c r="J23" i="20" s="1"/>
  <c r="E15" i="20"/>
  <c r="E21" i="20" s="1"/>
  <c r="F15" i="20"/>
  <c r="F21" i="20" s="1"/>
  <c r="P15" i="21"/>
  <c r="P21" i="21" s="1"/>
  <c r="D18" i="20"/>
  <c r="D24" i="20" s="1"/>
  <c r="G18" i="20"/>
  <c r="G24" i="20" s="1"/>
  <c r="H15" i="20"/>
  <c r="H21" i="20" s="1"/>
  <c r="I18" i="20"/>
  <c r="I24" i="20" s="1"/>
  <c r="K17" i="20"/>
  <c r="K23" i="20" s="1"/>
  <c r="P17" i="20"/>
  <c r="P23" i="20" s="1"/>
  <c r="L14" i="21"/>
  <c r="L20" i="21" s="1"/>
  <c r="L18" i="21"/>
  <c r="L24" i="21" s="1"/>
  <c r="G18" i="19"/>
  <c r="G24" i="19" s="1"/>
  <c r="N17" i="20"/>
  <c r="N23" i="20" s="1"/>
  <c r="P18" i="20"/>
  <c r="P24" i="20" s="1"/>
  <c r="N16" i="20"/>
  <c r="N22" i="20" s="1"/>
  <c r="G16" i="20"/>
  <c r="G22" i="20" s="1"/>
  <c r="I15" i="20"/>
  <c r="I21" i="20" s="1"/>
  <c r="H14" i="21"/>
  <c r="H20" i="21" s="1"/>
  <c r="E15" i="21"/>
  <c r="E21" i="21" s="1"/>
  <c r="I18" i="21"/>
  <c r="I24" i="21" s="1"/>
  <c r="Q15" i="20"/>
  <c r="Q21" i="20" s="1"/>
  <c r="I14" i="21"/>
  <c r="I20" i="21" s="1"/>
  <c r="J17" i="19"/>
  <c r="J23" i="19" s="1"/>
  <c r="Q18" i="20"/>
  <c r="Q24" i="20" s="1"/>
  <c r="G17" i="21"/>
  <c r="G23" i="21" s="1"/>
  <c r="M18" i="21"/>
  <c r="M24" i="21" s="1"/>
  <c r="I16" i="21"/>
  <c r="I22" i="21" s="1"/>
  <c r="G16" i="21"/>
  <c r="G22" i="21" s="1"/>
  <c r="K18" i="19"/>
  <c r="K24" i="19" s="1"/>
  <c r="P14" i="19"/>
  <c r="P20" i="19" s="1"/>
  <c r="P17" i="19"/>
  <c r="P23" i="19" s="1"/>
  <c r="I16" i="20"/>
  <c r="I22" i="20" s="1"/>
  <c r="I14" i="20"/>
  <c r="I20" i="20" s="1"/>
  <c r="O18" i="21"/>
  <c r="O24" i="21" s="1"/>
  <c r="Q16" i="21"/>
  <c r="Q22" i="21" s="1"/>
  <c r="D15" i="21"/>
  <c r="D21" i="21" s="1"/>
  <c r="Q14" i="21"/>
  <c r="Q20" i="21" s="1"/>
  <c r="C16" i="20"/>
  <c r="C22" i="20" s="1"/>
  <c r="J17" i="21"/>
  <c r="J23" i="21" s="1"/>
  <c r="J15" i="21"/>
  <c r="J21" i="21" s="1"/>
  <c r="H17" i="19"/>
  <c r="H23" i="19" s="1"/>
  <c r="H17" i="20"/>
  <c r="H23" i="20" s="1"/>
  <c r="G17" i="20"/>
  <c r="G23" i="20" s="1"/>
  <c r="G14" i="20"/>
  <c r="G20" i="20" s="1"/>
  <c r="O17" i="21"/>
  <c r="O23" i="21" s="1"/>
  <c r="O14" i="21"/>
  <c r="O20" i="21" s="1"/>
  <c r="P17" i="21"/>
  <c r="P23" i="21" s="1"/>
  <c r="M24" i="19"/>
  <c r="J22" i="21"/>
  <c r="M23" i="20"/>
  <c r="H22" i="21"/>
  <c r="F17" i="21"/>
  <c r="F23" i="21" s="1"/>
  <c r="H18" i="21"/>
  <c r="H24" i="21" s="1"/>
  <c r="F16" i="21"/>
  <c r="F22" i="21" s="1"/>
  <c r="C16" i="21"/>
  <c r="C22" i="21" s="1"/>
  <c r="C18" i="21"/>
  <c r="C24" i="21" s="1"/>
  <c r="H17" i="21"/>
  <c r="H23" i="21" s="1"/>
  <c r="D18" i="21"/>
  <c r="D24" i="21" s="1"/>
  <c r="C17" i="21"/>
  <c r="C23" i="21" s="1"/>
  <c r="Q15" i="21"/>
  <c r="Q21" i="21" s="1"/>
  <c r="L17" i="21"/>
  <c r="L23" i="21" s="1"/>
  <c r="M16" i="21"/>
  <c r="M22" i="21" s="1"/>
  <c r="L15" i="21"/>
  <c r="L21" i="21" s="1"/>
  <c r="N14" i="21"/>
  <c r="N20" i="21" s="1"/>
  <c r="N18" i="21"/>
  <c r="N24" i="21" s="1"/>
  <c r="Q18" i="21"/>
  <c r="Q24" i="21" s="1"/>
  <c r="O16" i="21"/>
  <c r="O22" i="21" s="1"/>
  <c r="F18" i="21"/>
  <c r="F24" i="21" s="1"/>
  <c r="F14" i="21"/>
  <c r="F20" i="21" s="1"/>
  <c r="M15" i="21"/>
  <c r="M21" i="21" s="1"/>
  <c r="D17" i="21"/>
  <c r="D23" i="21" s="1"/>
  <c r="M14" i="21"/>
  <c r="M20" i="21" s="1"/>
  <c r="K18" i="21"/>
  <c r="K24" i="21" s="1"/>
  <c r="H15" i="21"/>
  <c r="H21" i="21" s="1"/>
  <c r="K14" i="21"/>
  <c r="K20" i="21" s="1"/>
  <c r="C14" i="21"/>
  <c r="C20" i="21" s="1"/>
  <c r="J14" i="21"/>
  <c r="J20" i="21" s="1"/>
  <c r="J18" i="21"/>
  <c r="J24" i="21" s="1"/>
  <c r="K14" i="20"/>
  <c r="K20" i="20" s="1"/>
  <c r="K15" i="20"/>
  <c r="K21" i="20" s="1"/>
  <c r="L17" i="20"/>
  <c r="L23" i="20" s="1"/>
  <c r="J15" i="20"/>
  <c r="J21" i="20" s="1"/>
  <c r="Q16" i="20"/>
  <c r="Q22" i="20" s="1"/>
  <c r="L15" i="20"/>
  <c r="L21" i="20" s="1"/>
  <c r="Q14" i="20"/>
  <c r="Q20" i="20" s="1"/>
  <c r="P15" i="20"/>
  <c r="P21" i="20" s="1"/>
  <c r="P16" i="20"/>
  <c r="P22" i="20" s="1"/>
  <c r="D16" i="20"/>
  <c r="D22" i="20" s="1"/>
  <c r="D15" i="20"/>
  <c r="D21" i="20" s="1"/>
  <c r="O18" i="20"/>
  <c r="O24" i="20" s="1"/>
  <c r="M16" i="20"/>
  <c r="M22" i="20" s="1"/>
  <c r="C15" i="20"/>
  <c r="C21" i="20" s="1"/>
  <c r="C14" i="20"/>
  <c r="C20" i="20" s="1"/>
  <c r="M18" i="20"/>
  <c r="M24" i="20" s="1"/>
  <c r="M15" i="20"/>
  <c r="M21" i="20" s="1"/>
  <c r="L18" i="20"/>
  <c r="L24" i="20" s="1"/>
  <c r="L14" i="20"/>
  <c r="L20" i="20" s="1"/>
  <c r="C17" i="20"/>
  <c r="C23" i="20" s="1"/>
  <c r="O14" i="20"/>
  <c r="O20" i="20" s="1"/>
  <c r="J14" i="20"/>
  <c r="J20" i="20" s="1"/>
  <c r="J18" i="20"/>
  <c r="J24" i="20" s="1"/>
  <c r="O16" i="20"/>
  <c r="O22" i="20" s="1"/>
  <c r="M14" i="20"/>
  <c r="M20" i="20" s="1"/>
  <c r="O17" i="20"/>
  <c r="O23" i="20" s="1"/>
  <c r="L18" i="19"/>
  <c r="L24" i="19" s="1"/>
  <c r="L14" i="19"/>
  <c r="L20" i="19" s="1"/>
  <c r="L16" i="19"/>
  <c r="L22" i="19" s="1"/>
  <c r="C17" i="19"/>
  <c r="C23" i="19" s="1"/>
  <c r="C15" i="19"/>
  <c r="C21" i="19" s="1"/>
  <c r="L17" i="19"/>
  <c r="L23" i="19" s="1"/>
  <c r="M15" i="19"/>
  <c r="M21" i="19" s="1"/>
  <c r="M17" i="19"/>
  <c r="M23" i="19" s="1"/>
  <c r="C18" i="19"/>
  <c r="C24" i="19" s="1"/>
  <c r="O17" i="19"/>
  <c r="O23" i="19" s="1"/>
  <c r="O15" i="19"/>
  <c r="O21" i="19" s="1"/>
  <c r="G17" i="19"/>
  <c r="G23" i="19" s="1"/>
  <c r="G15" i="19"/>
  <c r="G21" i="19" s="1"/>
  <c r="J16" i="19"/>
  <c r="J22" i="19" s="1"/>
  <c r="J14" i="19"/>
  <c r="J20" i="19" s="1"/>
  <c r="J18" i="19"/>
  <c r="J24" i="19" s="1"/>
  <c r="C16" i="19"/>
  <c r="C22" i="19" s="1"/>
  <c r="K17" i="19"/>
  <c r="K23" i="19" s="1"/>
  <c r="K15" i="19"/>
  <c r="K21" i="19" s="1"/>
  <c r="N16" i="19"/>
  <c r="N22" i="19" s="1"/>
  <c r="N14" i="19"/>
  <c r="N20" i="19" s="1"/>
  <c r="N18" i="19"/>
  <c r="N24" i="19" s="1"/>
  <c r="O18" i="19"/>
  <c r="O24" i="19" s="1"/>
  <c r="N17" i="19"/>
  <c r="N23" i="19" s="1"/>
  <c r="M16" i="19"/>
  <c r="M22" i="19" s="1"/>
  <c r="L15" i="19"/>
  <c r="L21" i="19" s="1"/>
  <c r="K14" i="19"/>
  <c r="K20" i="19" s="1"/>
  <c r="C14" i="19"/>
  <c r="C20" i="19" s="1"/>
  <c r="F16" i="19"/>
  <c r="F22" i="19" s="1"/>
  <c r="F14" i="19"/>
  <c r="F20" i="19" s="1"/>
  <c r="F18" i="19"/>
  <c r="F24" i="19" s="1"/>
  <c r="D18" i="19"/>
  <c r="D24" i="19" s="1"/>
  <c r="D14" i="19"/>
  <c r="D20" i="19" s="1"/>
  <c r="D16" i="19"/>
  <c r="D22" i="19" s="1"/>
  <c r="O16" i="19"/>
  <c r="O22" i="19" s="1"/>
  <c r="N15" i="19"/>
  <c r="N21" i="19" s="1"/>
  <c r="M14" i="19"/>
  <c r="M20" i="19" s="1"/>
  <c r="H18" i="19"/>
  <c r="H24" i="19" s="1"/>
  <c r="H14" i="19"/>
  <c r="H20" i="19" s="1"/>
  <c r="H16" i="19"/>
  <c r="H22" i="19" s="1"/>
  <c r="E28" i="21" l="1"/>
  <c r="P38" i="21"/>
  <c r="E28" i="20"/>
  <c r="Q30" i="19"/>
  <c r="E34" i="20"/>
  <c r="Q29" i="19"/>
  <c r="E30" i="20"/>
  <c r="Q34" i="19"/>
  <c r="E38" i="19"/>
  <c r="Q38" i="19"/>
  <c r="Q28" i="19"/>
  <c r="E35" i="19"/>
  <c r="F34" i="20"/>
  <c r="E27" i="19"/>
  <c r="P36" i="21"/>
  <c r="I36" i="19"/>
  <c r="I28" i="21"/>
  <c r="Q35" i="19"/>
  <c r="Q27" i="19"/>
  <c r="Q36" i="19"/>
  <c r="E29" i="19"/>
  <c r="Q37" i="19"/>
  <c r="E35" i="21"/>
  <c r="E36" i="20"/>
  <c r="P27" i="19"/>
  <c r="F31" i="20"/>
  <c r="Q31" i="19"/>
  <c r="G28" i="21"/>
  <c r="I36" i="21"/>
  <c r="I35" i="19"/>
  <c r="E28" i="19"/>
  <c r="E34" i="19"/>
  <c r="I34" i="19"/>
  <c r="I30" i="19"/>
  <c r="E36" i="19"/>
  <c r="E30" i="19"/>
  <c r="I29" i="19"/>
  <c r="I37" i="19"/>
  <c r="I28" i="19"/>
  <c r="E37" i="19"/>
  <c r="H36" i="20"/>
  <c r="E31" i="19"/>
  <c r="I31" i="19"/>
  <c r="I31" i="20"/>
  <c r="G38" i="21"/>
  <c r="N34" i="20"/>
  <c r="G31" i="21"/>
  <c r="E29" i="20"/>
  <c r="I28" i="20"/>
  <c r="E37" i="20"/>
  <c r="K31" i="20"/>
  <c r="E35" i="20"/>
  <c r="G35" i="21"/>
  <c r="I27" i="19"/>
  <c r="I38" i="19"/>
  <c r="H30" i="20"/>
  <c r="E31" i="20"/>
  <c r="E38" i="20"/>
  <c r="I34" i="21"/>
  <c r="H35" i="20"/>
  <c r="N31" i="20"/>
  <c r="H34" i="20"/>
  <c r="H29" i="20"/>
  <c r="I30" i="21"/>
  <c r="E27" i="20"/>
  <c r="I37" i="20"/>
  <c r="F27" i="20"/>
  <c r="F35" i="20"/>
  <c r="P27" i="20"/>
  <c r="F36" i="20"/>
  <c r="N35" i="20"/>
  <c r="F38" i="20"/>
  <c r="O27" i="21"/>
  <c r="G34" i="21"/>
  <c r="G36" i="21"/>
  <c r="G37" i="21"/>
  <c r="G37" i="20"/>
  <c r="Q37" i="21"/>
  <c r="P37" i="19"/>
  <c r="I29" i="21"/>
  <c r="N28" i="20"/>
  <c r="P34" i="19"/>
  <c r="F30" i="20"/>
  <c r="C35" i="21"/>
  <c r="H31" i="20"/>
  <c r="F28" i="20"/>
  <c r="P31" i="20"/>
  <c r="F29" i="20"/>
  <c r="F37" i="20"/>
  <c r="G27" i="21"/>
  <c r="G29" i="21"/>
  <c r="G30" i="21"/>
  <c r="P28" i="19"/>
  <c r="G27" i="20"/>
  <c r="N38" i="20"/>
  <c r="Q30" i="21"/>
  <c r="E31" i="21"/>
  <c r="I35" i="21"/>
  <c r="P30" i="19"/>
  <c r="P35" i="19"/>
  <c r="P38" i="19"/>
  <c r="P36" i="19"/>
  <c r="N29" i="20"/>
  <c r="N30" i="20"/>
  <c r="H27" i="20"/>
  <c r="H37" i="20"/>
  <c r="E30" i="21"/>
  <c r="E27" i="21"/>
  <c r="I31" i="21"/>
  <c r="E29" i="21"/>
  <c r="I27" i="21"/>
  <c r="E38" i="21"/>
  <c r="P31" i="19"/>
  <c r="P29" i="19"/>
  <c r="I37" i="21"/>
  <c r="H38" i="20"/>
  <c r="N36" i="20"/>
  <c r="H28" i="20"/>
  <c r="N37" i="20"/>
  <c r="D27" i="20"/>
  <c r="N27" i="20"/>
  <c r="E37" i="21"/>
  <c r="E34" i="21"/>
  <c r="I38" i="21"/>
  <c r="E36" i="21"/>
  <c r="P28" i="21"/>
  <c r="I36" i="20"/>
  <c r="G31" i="19"/>
  <c r="G34" i="20"/>
  <c r="I38" i="20"/>
  <c r="G29" i="20"/>
  <c r="P34" i="20"/>
  <c r="I35" i="20"/>
  <c r="D36" i="21"/>
  <c r="P29" i="21"/>
  <c r="P30" i="21"/>
  <c r="P35" i="21"/>
  <c r="G36" i="20"/>
  <c r="G28" i="20"/>
  <c r="G31" i="20"/>
  <c r="G30" i="20"/>
  <c r="I27" i="20"/>
  <c r="I29" i="20"/>
  <c r="J29" i="21"/>
  <c r="H34" i="21"/>
  <c r="M37" i="21"/>
  <c r="P37" i="21"/>
  <c r="P27" i="21"/>
  <c r="P31" i="21"/>
  <c r="K29" i="19"/>
  <c r="J35" i="19"/>
  <c r="I30" i="20"/>
  <c r="O35" i="20"/>
  <c r="C36" i="20"/>
  <c r="D30" i="20"/>
  <c r="G35" i="20"/>
  <c r="K29" i="20"/>
  <c r="G38" i="20"/>
  <c r="I34" i="20"/>
  <c r="D35" i="21"/>
  <c r="P34" i="21"/>
  <c r="F28" i="19"/>
  <c r="K38" i="20"/>
  <c r="D37" i="20"/>
  <c r="J28" i="21"/>
  <c r="H35" i="19"/>
  <c r="O34" i="19"/>
  <c r="D28" i="19"/>
  <c r="M30" i="20"/>
  <c r="D31" i="20"/>
  <c r="Q35" i="20"/>
  <c r="Q27" i="21"/>
  <c r="Q36" i="21"/>
  <c r="D27" i="21"/>
  <c r="J37" i="20"/>
  <c r="D38" i="20"/>
  <c r="P37" i="20"/>
  <c r="L27" i="21"/>
  <c r="Q34" i="21"/>
  <c r="D34" i="21"/>
  <c r="F37" i="19"/>
  <c r="G36" i="19"/>
  <c r="G34" i="19"/>
  <c r="G38" i="19"/>
  <c r="J30" i="19"/>
  <c r="D30" i="19"/>
  <c r="D37" i="19"/>
  <c r="H30" i="19"/>
  <c r="J28" i="19"/>
  <c r="O27" i="19"/>
  <c r="G29" i="19"/>
  <c r="G27" i="19"/>
  <c r="P38" i="20"/>
  <c r="L29" i="20"/>
  <c r="D34" i="20"/>
  <c r="P30" i="20"/>
  <c r="O28" i="20"/>
  <c r="Q30" i="20"/>
  <c r="Q31" i="20"/>
  <c r="C31" i="20"/>
  <c r="M37" i="20"/>
  <c r="O37" i="21"/>
  <c r="L38" i="21"/>
  <c r="H29" i="21"/>
  <c r="O31" i="21"/>
  <c r="O34" i="21"/>
  <c r="L29" i="21"/>
  <c r="L34" i="21"/>
  <c r="O28" i="21"/>
  <c r="J30" i="21"/>
  <c r="N28" i="21"/>
  <c r="O38" i="21"/>
  <c r="Q29" i="21"/>
  <c r="L36" i="21"/>
  <c r="M38" i="21"/>
  <c r="D28" i="21"/>
  <c r="O30" i="21"/>
  <c r="L31" i="21"/>
  <c r="D29" i="21"/>
  <c r="O35" i="21"/>
  <c r="H27" i="21"/>
  <c r="J36" i="21"/>
  <c r="C28" i="21"/>
  <c r="H36" i="21"/>
  <c r="K34" i="21"/>
  <c r="K27" i="21"/>
  <c r="F34" i="21"/>
  <c r="F27" i="21"/>
  <c r="C36" i="21"/>
  <c r="C29" i="21"/>
  <c r="J38" i="21"/>
  <c r="J31" i="21"/>
  <c r="H35" i="21"/>
  <c r="H28" i="21"/>
  <c r="J37" i="21"/>
  <c r="M35" i="21"/>
  <c r="M28" i="21"/>
  <c r="F38" i="21"/>
  <c r="F31" i="21"/>
  <c r="Q38" i="21"/>
  <c r="Q31" i="21"/>
  <c r="M36" i="21"/>
  <c r="M29" i="21"/>
  <c r="D38" i="21"/>
  <c r="D31" i="21"/>
  <c r="F36" i="21"/>
  <c r="F29" i="21"/>
  <c r="M30" i="21"/>
  <c r="F37" i="21"/>
  <c r="F30" i="21"/>
  <c r="J35" i="21"/>
  <c r="F35" i="21"/>
  <c r="K37" i="21"/>
  <c r="D37" i="21"/>
  <c r="D30" i="21"/>
  <c r="O36" i="21"/>
  <c r="O29" i="21"/>
  <c r="H37" i="21"/>
  <c r="H30" i="21"/>
  <c r="F28" i="21"/>
  <c r="K30" i="21"/>
  <c r="J34" i="21"/>
  <c r="J27" i="21"/>
  <c r="K38" i="21"/>
  <c r="K31" i="21"/>
  <c r="K29" i="21"/>
  <c r="N38" i="21"/>
  <c r="N31" i="21"/>
  <c r="N30" i="21"/>
  <c r="L37" i="21"/>
  <c r="L30" i="21"/>
  <c r="H38" i="21"/>
  <c r="H31" i="21"/>
  <c r="N29" i="21"/>
  <c r="K28" i="21"/>
  <c r="L35" i="21"/>
  <c r="L28" i="21"/>
  <c r="C37" i="21"/>
  <c r="C30" i="21"/>
  <c r="C34" i="21"/>
  <c r="C27" i="21"/>
  <c r="M34" i="21"/>
  <c r="M27" i="21"/>
  <c r="K36" i="21"/>
  <c r="N34" i="21"/>
  <c r="N27" i="21"/>
  <c r="N37" i="21"/>
  <c r="Q35" i="21"/>
  <c r="Q28" i="21"/>
  <c r="C38" i="21"/>
  <c r="C31" i="21"/>
  <c r="M31" i="21"/>
  <c r="N36" i="21"/>
  <c r="N35" i="21"/>
  <c r="K35" i="21"/>
  <c r="C37" i="20"/>
  <c r="C30" i="20"/>
  <c r="M38" i="20"/>
  <c r="M31" i="20"/>
  <c r="O38" i="20"/>
  <c r="O31" i="20"/>
  <c r="J35" i="20"/>
  <c r="J28" i="20"/>
  <c r="J38" i="20"/>
  <c r="J31" i="20"/>
  <c r="M35" i="20"/>
  <c r="M28" i="20"/>
  <c r="M36" i="20"/>
  <c r="M29" i="20"/>
  <c r="P36" i="20"/>
  <c r="P29" i="20"/>
  <c r="O37" i="20"/>
  <c r="O30" i="20"/>
  <c r="O36" i="20"/>
  <c r="O29" i="20"/>
  <c r="J34" i="20"/>
  <c r="J27" i="20"/>
  <c r="L38" i="20"/>
  <c r="L31" i="20"/>
  <c r="C35" i="20"/>
  <c r="C28" i="20"/>
  <c r="P35" i="20"/>
  <c r="P28" i="20"/>
  <c r="L28" i="20"/>
  <c r="L35" i="20"/>
  <c r="K35" i="20"/>
  <c r="K28" i="20"/>
  <c r="J29" i="20"/>
  <c r="K30" i="20"/>
  <c r="D36" i="20"/>
  <c r="D29" i="20"/>
  <c r="M34" i="20"/>
  <c r="M27" i="20"/>
  <c r="L34" i="20"/>
  <c r="L27" i="20"/>
  <c r="C34" i="20"/>
  <c r="C27" i="20"/>
  <c r="Q34" i="20"/>
  <c r="Q27" i="20"/>
  <c r="L37" i="20"/>
  <c r="L30" i="20"/>
  <c r="Q37" i="20"/>
  <c r="Q38" i="20"/>
  <c r="J30" i="20"/>
  <c r="C29" i="20"/>
  <c r="O34" i="20"/>
  <c r="O27" i="20"/>
  <c r="Q28" i="20"/>
  <c r="D35" i="20"/>
  <c r="D28" i="20"/>
  <c r="Q36" i="20"/>
  <c r="Q29" i="20"/>
  <c r="K34" i="20"/>
  <c r="K27" i="20"/>
  <c r="J36" i="20"/>
  <c r="L36" i="20"/>
  <c r="C38" i="20"/>
  <c r="K37" i="20"/>
  <c r="K36" i="20"/>
  <c r="H38" i="19"/>
  <c r="H31" i="19"/>
  <c r="D38" i="19"/>
  <c r="D31" i="19"/>
  <c r="C34" i="19"/>
  <c r="C27" i="19"/>
  <c r="N37" i="19"/>
  <c r="N30" i="19"/>
  <c r="N36" i="19"/>
  <c r="N29" i="19"/>
  <c r="J36" i="19"/>
  <c r="J29" i="19"/>
  <c r="O37" i="19"/>
  <c r="O30" i="19"/>
  <c r="M37" i="19"/>
  <c r="M30" i="19"/>
  <c r="C37" i="19"/>
  <c r="C30" i="19"/>
  <c r="M34" i="19"/>
  <c r="M27" i="19"/>
  <c r="F38" i="19"/>
  <c r="F31" i="19"/>
  <c r="K34" i="19"/>
  <c r="K27" i="19"/>
  <c r="O38" i="19"/>
  <c r="O31" i="19"/>
  <c r="M31" i="19"/>
  <c r="K35" i="19"/>
  <c r="K28" i="19"/>
  <c r="H28" i="19"/>
  <c r="C36" i="19"/>
  <c r="C29" i="19"/>
  <c r="G35" i="19"/>
  <c r="G28" i="19"/>
  <c r="M35" i="19"/>
  <c r="M28" i="19"/>
  <c r="H37" i="19"/>
  <c r="L36" i="19"/>
  <c r="L29" i="19"/>
  <c r="J37" i="19"/>
  <c r="K36" i="19"/>
  <c r="H36" i="19"/>
  <c r="H29" i="19"/>
  <c r="N35" i="19"/>
  <c r="N28" i="19"/>
  <c r="D36" i="19"/>
  <c r="D29" i="19"/>
  <c r="F34" i="19"/>
  <c r="F27" i="19"/>
  <c r="L28" i="19"/>
  <c r="L35" i="19"/>
  <c r="N38" i="19"/>
  <c r="N31" i="19"/>
  <c r="F35" i="19"/>
  <c r="M38" i="19"/>
  <c r="K37" i="19"/>
  <c r="K30" i="19"/>
  <c r="J38" i="19"/>
  <c r="J31" i="19"/>
  <c r="G37" i="19"/>
  <c r="G30" i="19"/>
  <c r="L30" i="19"/>
  <c r="L37" i="19"/>
  <c r="L34" i="19"/>
  <c r="L27" i="19"/>
  <c r="K31" i="19"/>
  <c r="H34" i="19"/>
  <c r="H27" i="19"/>
  <c r="O36" i="19"/>
  <c r="O29" i="19"/>
  <c r="D34" i="19"/>
  <c r="D27" i="19"/>
  <c r="F36" i="19"/>
  <c r="F29" i="19"/>
  <c r="M36" i="19"/>
  <c r="M29" i="19"/>
  <c r="D35" i="19"/>
  <c r="N34" i="19"/>
  <c r="N27" i="19"/>
  <c r="F30" i="19"/>
  <c r="J34" i="19"/>
  <c r="J27" i="19"/>
  <c r="O35" i="19"/>
  <c r="O28" i="19"/>
  <c r="C38" i="19"/>
  <c r="C31" i="19"/>
  <c r="C35" i="19"/>
  <c r="C28" i="19"/>
  <c r="L38" i="19"/>
  <c r="L31" i="19"/>
  <c r="K38" i="19"/>
  <c r="U6" i="15"/>
  <c r="T6" i="15" s="1"/>
  <c r="U7" i="15"/>
  <c r="T7" i="15" s="1"/>
  <c r="K8" i="16" s="1"/>
  <c r="U8" i="15"/>
  <c r="T8" i="15" s="1"/>
  <c r="K9" i="16" s="1"/>
  <c r="U9" i="15"/>
  <c r="T9" i="15" s="1"/>
  <c r="K10" i="16" s="1"/>
  <c r="U10" i="15"/>
  <c r="T10" i="15" s="1"/>
  <c r="K11" i="16" s="1"/>
  <c r="U11" i="15"/>
  <c r="T11" i="15" s="1"/>
  <c r="K12" i="16" s="1"/>
  <c r="U12" i="15"/>
  <c r="T12" i="15" s="1"/>
  <c r="K13" i="16" s="1"/>
  <c r="U13" i="15"/>
  <c r="T13" i="15" s="1"/>
  <c r="U14" i="15"/>
  <c r="T14" i="15" s="1"/>
  <c r="K15" i="16" s="1"/>
  <c r="U15" i="15"/>
  <c r="T15" i="15" s="1"/>
  <c r="K16" i="16" s="1"/>
  <c r="U16" i="15"/>
  <c r="T16" i="15" s="1"/>
  <c r="U5" i="15"/>
  <c r="T5" i="15" s="1"/>
  <c r="K6" i="16" s="1"/>
  <c r="R6" i="15"/>
  <c r="R7" i="15"/>
  <c r="R8" i="15"/>
  <c r="Q8" i="15" s="1"/>
  <c r="R9" i="15"/>
  <c r="R10" i="15"/>
  <c r="R11" i="15"/>
  <c r="R12" i="15"/>
  <c r="R13" i="15"/>
  <c r="R14" i="15"/>
  <c r="R15" i="15"/>
  <c r="R16" i="15"/>
  <c r="R5" i="15"/>
  <c r="Q5" i="15" s="1"/>
  <c r="P6" i="15"/>
  <c r="O6" i="15" s="1"/>
  <c r="P7" i="15"/>
  <c r="P8" i="15"/>
  <c r="P9" i="15"/>
  <c r="P10" i="15"/>
  <c r="P11" i="15"/>
  <c r="P12" i="15"/>
  <c r="O12" i="15" s="1"/>
  <c r="P13" i="15"/>
  <c r="P14" i="15"/>
  <c r="P15" i="15"/>
  <c r="P16" i="15"/>
  <c r="P5" i="15"/>
  <c r="N6" i="15"/>
  <c r="N7" i="15"/>
  <c r="N8" i="15"/>
  <c r="N9" i="15"/>
  <c r="N10" i="15"/>
  <c r="M10" i="15" s="1"/>
  <c r="N11" i="15"/>
  <c r="N12" i="15"/>
  <c r="M12" i="15" s="1"/>
  <c r="H13" i="16" s="1"/>
  <c r="N13" i="15"/>
  <c r="N14" i="15"/>
  <c r="N15" i="15"/>
  <c r="N16" i="15"/>
  <c r="N5" i="15"/>
  <c r="L6" i="15"/>
  <c r="L7" i="15"/>
  <c r="L8" i="15"/>
  <c r="L9" i="15"/>
  <c r="L10" i="15"/>
  <c r="L11" i="15"/>
  <c r="L12" i="15"/>
  <c r="L13" i="15"/>
  <c r="L14" i="15"/>
  <c r="L15" i="15"/>
  <c r="L16" i="15"/>
  <c r="L5" i="15"/>
  <c r="K6" i="15"/>
  <c r="J6" i="15" s="1"/>
  <c r="G7" i="16" s="1"/>
  <c r="K7" i="15"/>
  <c r="J7" i="15" s="1"/>
  <c r="G8" i="16" s="1"/>
  <c r="K8" i="15"/>
  <c r="J8" i="15" s="1"/>
  <c r="G9" i="16" s="1"/>
  <c r="K9" i="15"/>
  <c r="J9" i="15" s="1"/>
  <c r="G10" i="16" s="1"/>
  <c r="K10" i="15"/>
  <c r="J10" i="15" s="1"/>
  <c r="G11" i="16" s="1"/>
  <c r="K11" i="15"/>
  <c r="J11" i="15" s="1"/>
  <c r="G12" i="16" s="1"/>
  <c r="K12" i="15"/>
  <c r="J12" i="15" s="1"/>
  <c r="G13" i="16" s="1"/>
  <c r="K13" i="15"/>
  <c r="J13" i="15" s="1"/>
  <c r="G14" i="16" s="1"/>
  <c r="K14" i="15"/>
  <c r="J14" i="15" s="1"/>
  <c r="G15" i="16" s="1"/>
  <c r="K15" i="15"/>
  <c r="J15" i="15" s="1"/>
  <c r="G16" i="16" s="1"/>
  <c r="K16" i="15"/>
  <c r="J16" i="15" s="1"/>
  <c r="G17" i="16" s="1"/>
  <c r="K5" i="15"/>
  <c r="J5" i="15" s="1"/>
  <c r="G6" i="16" s="1"/>
  <c r="I16" i="15"/>
  <c r="I15" i="15"/>
  <c r="F16" i="16" s="1"/>
  <c r="I14" i="15"/>
  <c r="F15" i="16" s="1"/>
  <c r="I13" i="15"/>
  <c r="F14" i="16" s="1"/>
  <c r="I12" i="15"/>
  <c r="F13" i="16" s="1"/>
  <c r="I11" i="15"/>
  <c r="F12" i="16" s="1"/>
  <c r="I10" i="15"/>
  <c r="F11" i="16" s="1"/>
  <c r="I9" i="15"/>
  <c r="F10" i="16" s="1"/>
  <c r="I8" i="15"/>
  <c r="F9" i="16" s="1"/>
  <c r="I7" i="15"/>
  <c r="F8" i="16" s="1"/>
  <c r="I6" i="15"/>
  <c r="F7" i="16" s="1"/>
  <c r="I5" i="15"/>
  <c r="F17" i="16"/>
  <c r="G6" i="15"/>
  <c r="E7" i="16" s="1"/>
  <c r="G7" i="15"/>
  <c r="E8" i="16" s="1"/>
  <c r="G8" i="15"/>
  <c r="E9" i="16" s="1"/>
  <c r="G9" i="15"/>
  <c r="G10" i="15"/>
  <c r="G11" i="15"/>
  <c r="G12" i="15"/>
  <c r="E13" i="16" s="1"/>
  <c r="G13" i="15"/>
  <c r="E14" i="16" s="1"/>
  <c r="G14" i="15"/>
  <c r="E15" i="16" s="1"/>
  <c r="G15" i="15"/>
  <c r="E16" i="16" s="1"/>
  <c r="G16" i="15"/>
  <c r="E17" i="16" s="1"/>
  <c r="G5" i="15"/>
  <c r="E6" i="16" s="1"/>
  <c r="E6" i="15"/>
  <c r="D7" i="16" s="1"/>
  <c r="E7" i="15"/>
  <c r="D8" i="16" s="1"/>
  <c r="E8" i="15"/>
  <c r="D9" i="16" s="1"/>
  <c r="E9" i="15"/>
  <c r="D10" i="16" s="1"/>
  <c r="E10" i="15"/>
  <c r="D11" i="16" s="1"/>
  <c r="E11" i="15"/>
  <c r="D12" i="16" s="1"/>
  <c r="E12" i="15"/>
  <c r="E13" i="15"/>
  <c r="E14" i="15"/>
  <c r="D15" i="16" s="1"/>
  <c r="E15" i="15"/>
  <c r="D16" i="16" s="1"/>
  <c r="E16" i="15"/>
  <c r="D17" i="16" s="1"/>
  <c r="E5" i="15"/>
  <c r="D6" i="16" s="1"/>
  <c r="C6" i="15"/>
  <c r="C7" i="16" s="1"/>
  <c r="D80" i="16" s="1"/>
  <c r="C7" i="15"/>
  <c r="C8" i="16" s="1"/>
  <c r="D81" i="16" s="1"/>
  <c r="C8" i="15"/>
  <c r="C9" i="16" s="1"/>
  <c r="D82" i="16" s="1"/>
  <c r="C9" i="15"/>
  <c r="C10" i="16" s="1"/>
  <c r="D83" i="16" s="1"/>
  <c r="C10" i="15"/>
  <c r="C11" i="16" s="1"/>
  <c r="D84" i="16" s="1"/>
  <c r="C11" i="15"/>
  <c r="C12" i="16" s="1"/>
  <c r="D85" i="16" s="1"/>
  <c r="C12" i="15"/>
  <c r="C13" i="16" s="1"/>
  <c r="D86" i="16" s="1"/>
  <c r="C13" i="15"/>
  <c r="C14" i="16" s="1"/>
  <c r="D87" i="16" s="1"/>
  <c r="C14" i="15"/>
  <c r="C15" i="16" s="1"/>
  <c r="D88" i="16" s="1"/>
  <c r="C15" i="15"/>
  <c r="C16" i="16" s="1"/>
  <c r="D89" i="16" s="1"/>
  <c r="C16" i="15"/>
  <c r="C17" i="16" s="1"/>
  <c r="D90" i="16" s="1"/>
  <c r="C5" i="15"/>
  <c r="C6" i="16" s="1"/>
  <c r="D79" i="16" s="1"/>
  <c r="K20" i="16"/>
  <c r="J20" i="16"/>
  <c r="I20" i="16"/>
  <c r="H20" i="16"/>
  <c r="G20" i="16"/>
  <c r="F20" i="16"/>
  <c r="E20" i="16"/>
  <c r="D20" i="16"/>
  <c r="D14" i="16"/>
  <c r="D13" i="16"/>
  <c r="E12" i="16"/>
  <c r="E11" i="16"/>
  <c r="E10" i="16"/>
  <c r="H17" i="16"/>
  <c r="H16" i="16"/>
  <c r="I13" i="16"/>
  <c r="H11" i="16"/>
  <c r="J9" i="16"/>
  <c r="I7" i="16"/>
  <c r="J6" i="16"/>
  <c r="Q10" i="14"/>
  <c r="P10" i="14"/>
  <c r="O10" i="14"/>
  <c r="N10" i="14"/>
  <c r="M10" i="14"/>
  <c r="L10" i="14"/>
  <c r="K10" i="14"/>
  <c r="J10" i="14"/>
  <c r="I10" i="14"/>
  <c r="H10" i="14"/>
  <c r="G10" i="14"/>
  <c r="F10" i="14"/>
  <c r="E10" i="14"/>
  <c r="D10" i="14"/>
  <c r="C10" i="14"/>
  <c r="Q10" i="13"/>
  <c r="P10" i="13"/>
  <c r="O10" i="13"/>
  <c r="N10" i="13"/>
  <c r="M10" i="13"/>
  <c r="L10" i="13"/>
  <c r="K10" i="13"/>
  <c r="J10" i="13"/>
  <c r="I10" i="13"/>
  <c r="H10" i="13"/>
  <c r="G10" i="13"/>
  <c r="F10" i="13"/>
  <c r="E10" i="13"/>
  <c r="D10" i="13"/>
  <c r="C10" i="13"/>
  <c r="Q10" i="12"/>
  <c r="P10" i="12"/>
  <c r="O10" i="12"/>
  <c r="N10" i="12"/>
  <c r="M10" i="12"/>
  <c r="L10" i="12"/>
  <c r="K10" i="12"/>
  <c r="J10" i="12"/>
  <c r="I10" i="12"/>
  <c r="H10" i="12"/>
  <c r="G10" i="12"/>
  <c r="F10" i="12"/>
  <c r="E10" i="12"/>
  <c r="D10" i="12"/>
  <c r="C10" i="12"/>
  <c r="Q10" i="11"/>
  <c r="P10" i="11"/>
  <c r="O10" i="11"/>
  <c r="N10" i="11"/>
  <c r="M10" i="11"/>
  <c r="L10" i="11"/>
  <c r="K10" i="11"/>
  <c r="J10" i="11"/>
  <c r="I10" i="11"/>
  <c r="H10" i="11"/>
  <c r="G10" i="11"/>
  <c r="F10" i="11"/>
  <c r="E10" i="11"/>
  <c r="D10" i="11"/>
  <c r="C10" i="11"/>
  <c r="Q10" i="10"/>
  <c r="P10" i="10"/>
  <c r="O10" i="10"/>
  <c r="N10" i="10"/>
  <c r="M10" i="10"/>
  <c r="L10" i="10"/>
  <c r="K10" i="10"/>
  <c r="J10" i="10"/>
  <c r="I10" i="10"/>
  <c r="H10" i="10"/>
  <c r="G10" i="10"/>
  <c r="F10" i="10"/>
  <c r="E10" i="10"/>
  <c r="D10" i="10"/>
  <c r="C10" i="10"/>
  <c r="Q10" i="9"/>
  <c r="P10" i="9"/>
  <c r="O10" i="9"/>
  <c r="N10" i="9"/>
  <c r="M10" i="9"/>
  <c r="L10" i="9"/>
  <c r="K10" i="9"/>
  <c r="J10" i="9"/>
  <c r="I10" i="9"/>
  <c r="H10" i="9"/>
  <c r="G10" i="9"/>
  <c r="F10" i="9"/>
  <c r="E10" i="9"/>
  <c r="D10" i="9"/>
  <c r="C10" i="9"/>
  <c r="Q10" i="8"/>
  <c r="P10" i="8"/>
  <c r="O10" i="8"/>
  <c r="N10" i="8"/>
  <c r="M10" i="8"/>
  <c r="L10" i="8"/>
  <c r="K10" i="8"/>
  <c r="J10" i="8"/>
  <c r="I10" i="8"/>
  <c r="H10" i="8"/>
  <c r="G10" i="8"/>
  <c r="F10" i="8"/>
  <c r="E10" i="8"/>
  <c r="D10" i="8"/>
  <c r="C10" i="8"/>
  <c r="C47" i="7"/>
  <c r="C46" i="7"/>
  <c r="C45" i="7"/>
  <c r="C44" i="7"/>
  <c r="C43" i="7"/>
  <c r="Q10" i="7"/>
  <c r="P10" i="7"/>
  <c r="O10" i="7"/>
  <c r="N10" i="7"/>
  <c r="M10" i="7"/>
  <c r="L10" i="7"/>
  <c r="K10" i="7"/>
  <c r="J10" i="7"/>
  <c r="I10" i="7"/>
  <c r="H10" i="7"/>
  <c r="G10" i="7"/>
  <c r="F10" i="7"/>
  <c r="E10" i="7"/>
  <c r="D10" i="7"/>
  <c r="C10" i="7"/>
  <c r="Q10" i="6"/>
  <c r="P10" i="6"/>
  <c r="O10" i="6"/>
  <c r="N10" i="6"/>
  <c r="M10" i="6"/>
  <c r="L10" i="6"/>
  <c r="K10" i="6"/>
  <c r="J10" i="6"/>
  <c r="I10" i="6"/>
  <c r="H10" i="6"/>
  <c r="G10" i="6"/>
  <c r="F10" i="6"/>
  <c r="E10" i="6"/>
  <c r="D10" i="6"/>
  <c r="C10" i="6"/>
  <c r="Q7" i="15" l="1"/>
  <c r="J8" i="16" s="1"/>
  <c r="O10" i="15"/>
  <c r="I11" i="16" s="1"/>
  <c r="M13" i="15"/>
  <c r="H14" i="16" s="1"/>
  <c r="O5" i="15"/>
  <c r="I6" i="16" s="1"/>
  <c r="Q13" i="15"/>
  <c r="J14" i="16" s="1"/>
  <c r="O8" i="15"/>
  <c r="I9" i="16" s="1"/>
  <c r="M11" i="15"/>
  <c r="H12" i="16" s="1"/>
  <c r="O14" i="15"/>
  <c r="I15" i="16" s="1"/>
  <c r="Q10" i="15"/>
  <c r="J11" i="16" s="1"/>
  <c r="O11" i="15"/>
  <c r="I12" i="16" s="1"/>
  <c r="M6" i="15"/>
  <c r="H7" i="16" s="1"/>
  <c r="Q14" i="15"/>
  <c r="J15" i="16" s="1"/>
  <c r="O16" i="15"/>
  <c r="I17" i="16" s="1"/>
  <c r="Q12" i="15"/>
  <c r="J13" i="16" s="1"/>
  <c r="O15" i="15"/>
  <c r="I16" i="16" s="1"/>
  <c r="O7" i="15"/>
  <c r="I8" i="16" s="1"/>
  <c r="Q11" i="15"/>
  <c r="J12" i="16" s="1"/>
  <c r="M5" i="15"/>
  <c r="H6" i="16" s="1"/>
  <c r="H22" i="16" s="1"/>
  <c r="H24" i="16" s="1"/>
  <c r="H37" i="16" s="1"/>
  <c r="M9" i="15"/>
  <c r="H10" i="16" s="1"/>
  <c r="O13" i="15"/>
  <c r="I14" i="16" s="1"/>
  <c r="Q9" i="15"/>
  <c r="J10" i="16" s="1"/>
  <c r="M7" i="15"/>
  <c r="H8" i="16" s="1"/>
  <c r="Q15" i="15"/>
  <c r="J16" i="16" s="1"/>
  <c r="M14" i="15"/>
  <c r="H15" i="16" s="1"/>
  <c r="Q6" i="15"/>
  <c r="J7" i="16" s="1"/>
  <c r="J22" i="16" s="1"/>
  <c r="J27" i="16" s="1"/>
  <c r="J40" i="16" s="1"/>
  <c r="O9" i="15"/>
  <c r="I10" i="16" s="1"/>
  <c r="M8" i="15"/>
  <c r="H9" i="16" s="1"/>
  <c r="Q16" i="15"/>
  <c r="J17" i="16" s="1"/>
  <c r="D13" i="15"/>
  <c r="D16" i="15"/>
  <c r="D11" i="15"/>
  <c r="D12" i="15"/>
  <c r="S16" i="15"/>
  <c r="S15" i="15"/>
  <c r="K17" i="16"/>
  <c r="F11" i="15"/>
  <c r="F12" i="15"/>
  <c r="D9" i="15"/>
  <c r="F8" i="15"/>
  <c r="F16" i="15"/>
  <c r="D6" i="15"/>
  <c r="S9" i="15"/>
  <c r="D14" i="15"/>
  <c r="F10" i="15"/>
  <c r="F14" i="15"/>
  <c r="S6" i="15"/>
  <c r="F7" i="15"/>
  <c r="D5" i="15"/>
  <c r="F13" i="15"/>
  <c r="D10" i="15"/>
  <c r="D8" i="15"/>
  <c r="D15" i="15"/>
  <c r="F9" i="15"/>
  <c r="F15" i="15"/>
  <c r="R28" i="19"/>
  <c r="R31" i="21"/>
  <c r="R30" i="21"/>
  <c r="R35" i="21"/>
  <c r="R35" i="19"/>
  <c r="R36" i="20"/>
  <c r="R38" i="19"/>
  <c r="R37" i="19"/>
  <c r="R34" i="19"/>
  <c r="R29" i="19"/>
  <c r="R36" i="19"/>
  <c r="R31" i="19"/>
  <c r="R30" i="19"/>
  <c r="R27" i="19"/>
  <c r="R38" i="20"/>
  <c r="R29" i="20"/>
  <c r="R27" i="20"/>
  <c r="R28" i="20"/>
  <c r="R30" i="20"/>
  <c r="R34" i="20"/>
  <c r="R35" i="20"/>
  <c r="R37" i="20"/>
  <c r="R31" i="20"/>
  <c r="R38" i="21"/>
  <c r="R37" i="21"/>
  <c r="R28" i="21"/>
  <c r="R29" i="21"/>
  <c r="R27" i="21"/>
  <c r="R34" i="21"/>
  <c r="R36" i="21"/>
  <c r="F5" i="15"/>
  <c r="F6" i="15"/>
  <c r="D7" i="15"/>
  <c r="F12" i="7"/>
  <c r="F15" i="7" s="1"/>
  <c r="F21" i="7" s="1"/>
  <c r="J12" i="7"/>
  <c r="J14" i="7" s="1"/>
  <c r="J20" i="7" s="1"/>
  <c r="E12" i="14"/>
  <c r="E14" i="14" s="1"/>
  <c r="E20" i="14" s="1"/>
  <c r="N12" i="7"/>
  <c r="N15" i="7" s="1"/>
  <c r="N21" i="7" s="1"/>
  <c r="K12" i="8"/>
  <c r="K18" i="8" s="1"/>
  <c r="K24" i="8" s="1"/>
  <c r="E12" i="9"/>
  <c r="E16" i="9" s="1"/>
  <c r="E22" i="9" s="1"/>
  <c r="M12" i="9"/>
  <c r="M17" i="9" s="1"/>
  <c r="M23" i="9" s="1"/>
  <c r="J12" i="13"/>
  <c r="J14" i="13" s="1"/>
  <c r="J20" i="13" s="1"/>
  <c r="O12" i="12"/>
  <c r="O18" i="12" s="1"/>
  <c r="O24" i="12" s="1"/>
  <c r="M12" i="14"/>
  <c r="M17" i="14" s="1"/>
  <c r="M23" i="14" s="1"/>
  <c r="J12" i="6"/>
  <c r="J15" i="6" s="1"/>
  <c r="J21" i="6" s="1"/>
  <c r="E12" i="8"/>
  <c r="E15" i="8" s="1"/>
  <c r="E21" i="8" s="1"/>
  <c r="M12" i="8"/>
  <c r="M15" i="8" s="1"/>
  <c r="M21" i="8" s="1"/>
  <c r="C12" i="8"/>
  <c r="C16" i="8" s="1"/>
  <c r="C22" i="8" s="1"/>
  <c r="I12" i="10"/>
  <c r="I14" i="10" s="1"/>
  <c r="I20" i="10" s="1"/>
  <c r="Q12" i="10"/>
  <c r="Q18" i="10" s="1"/>
  <c r="Q24" i="10" s="1"/>
  <c r="H12" i="13"/>
  <c r="H14" i="13" s="1"/>
  <c r="H20" i="13" s="1"/>
  <c r="P12" i="13"/>
  <c r="P18" i="13" s="1"/>
  <c r="P24" i="13" s="1"/>
  <c r="F12" i="14"/>
  <c r="F14" i="14" s="1"/>
  <c r="F20" i="14" s="1"/>
  <c r="N12" i="14"/>
  <c r="N14" i="14" s="1"/>
  <c r="N20" i="14" s="1"/>
  <c r="F12" i="6"/>
  <c r="F15" i="6" s="1"/>
  <c r="F21" i="6" s="1"/>
  <c r="N12" i="6"/>
  <c r="N14" i="6" s="1"/>
  <c r="N20" i="6" s="1"/>
  <c r="P12" i="6"/>
  <c r="P16" i="6" s="1"/>
  <c r="P22" i="6" s="1"/>
  <c r="I12" i="8"/>
  <c r="I15" i="8" s="1"/>
  <c r="I21" i="8" s="1"/>
  <c r="Q12" i="8"/>
  <c r="Q18" i="8" s="1"/>
  <c r="Q24" i="8" s="1"/>
  <c r="F12" i="12"/>
  <c r="F15" i="12" s="1"/>
  <c r="F21" i="12" s="1"/>
  <c r="J12" i="12"/>
  <c r="J16" i="12" s="1"/>
  <c r="J22" i="12" s="1"/>
  <c r="N12" i="12"/>
  <c r="N15" i="12" s="1"/>
  <c r="N21" i="12" s="1"/>
  <c r="O16" i="12"/>
  <c r="O22" i="12" s="1"/>
  <c r="C12" i="6"/>
  <c r="C16" i="6" s="1"/>
  <c r="C22" i="6" s="1"/>
  <c r="G12" i="6"/>
  <c r="G18" i="6" s="1"/>
  <c r="G24" i="6" s="1"/>
  <c r="K12" i="6"/>
  <c r="K16" i="6" s="1"/>
  <c r="K22" i="6" s="1"/>
  <c r="O12" i="6"/>
  <c r="O15" i="6" s="1"/>
  <c r="O21" i="6" s="1"/>
  <c r="C12" i="7"/>
  <c r="C15" i="7" s="1"/>
  <c r="C21" i="7" s="1"/>
  <c r="G12" i="7"/>
  <c r="G16" i="7" s="1"/>
  <c r="G22" i="7" s="1"/>
  <c r="K12" i="7"/>
  <c r="K15" i="7" s="1"/>
  <c r="K21" i="7" s="1"/>
  <c r="O12" i="7"/>
  <c r="O16" i="7" s="1"/>
  <c r="O22" i="7" s="1"/>
  <c r="F12" i="8"/>
  <c r="F16" i="8" s="1"/>
  <c r="F22" i="8" s="1"/>
  <c r="J12" i="8"/>
  <c r="J17" i="8" s="1"/>
  <c r="J23" i="8" s="1"/>
  <c r="N12" i="8"/>
  <c r="N16" i="8" s="1"/>
  <c r="N22" i="8" s="1"/>
  <c r="N12" i="9"/>
  <c r="N15" i="9" s="1"/>
  <c r="N21" i="9" s="1"/>
  <c r="C12" i="12"/>
  <c r="C17" i="12" s="1"/>
  <c r="C23" i="12" s="1"/>
  <c r="K12" i="12"/>
  <c r="K17" i="12" s="1"/>
  <c r="K23" i="12" s="1"/>
  <c r="I12" i="13"/>
  <c r="I15" i="13" s="1"/>
  <c r="I21" i="13" s="1"/>
  <c r="F12" i="9"/>
  <c r="F15" i="9" s="1"/>
  <c r="F21" i="9" s="1"/>
  <c r="O12" i="8"/>
  <c r="O17" i="8" s="1"/>
  <c r="O23" i="8" s="1"/>
  <c r="G12" i="9"/>
  <c r="G14" i="9" s="1"/>
  <c r="G20" i="9" s="1"/>
  <c r="O12" i="9"/>
  <c r="O14" i="9" s="1"/>
  <c r="O20" i="9" s="1"/>
  <c r="C12" i="10"/>
  <c r="C14" i="10" s="1"/>
  <c r="C20" i="10" s="1"/>
  <c r="K12" i="10"/>
  <c r="K14" i="10" s="1"/>
  <c r="K20" i="10" s="1"/>
  <c r="L12" i="12"/>
  <c r="L18" i="12" s="1"/>
  <c r="L24" i="12" s="1"/>
  <c r="E12" i="12"/>
  <c r="E14" i="12" s="1"/>
  <c r="E20" i="12" s="1"/>
  <c r="D12" i="6"/>
  <c r="D17" i="6" s="1"/>
  <c r="D23" i="6" s="1"/>
  <c r="L12" i="6"/>
  <c r="L17" i="6" s="1"/>
  <c r="L23" i="6" s="1"/>
  <c r="H12" i="7"/>
  <c r="H17" i="7" s="1"/>
  <c r="H23" i="7" s="1"/>
  <c r="P12" i="7"/>
  <c r="P17" i="7" s="1"/>
  <c r="P23" i="7" s="1"/>
  <c r="G12" i="8"/>
  <c r="G17" i="8" s="1"/>
  <c r="G23" i="8" s="1"/>
  <c r="E12" i="6"/>
  <c r="E18" i="6" s="1"/>
  <c r="E24" i="6" s="1"/>
  <c r="I12" i="6"/>
  <c r="I14" i="6" s="1"/>
  <c r="I20" i="6" s="1"/>
  <c r="M12" i="6"/>
  <c r="M18" i="6" s="1"/>
  <c r="M24" i="6" s="1"/>
  <c r="Q12" i="6"/>
  <c r="Q14" i="6" s="1"/>
  <c r="H12" i="6"/>
  <c r="H16" i="6" s="1"/>
  <c r="H22" i="6" s="1"/>
  <c r="E12" i="7"/>
  <c r="E14" i="7" s="1"/>
  <c r="E20" i="7" s="1"/>
  <c r="I12" i="7"/>
  <c r="I18" i="7" s="1"/>
  <c r="I24" i="7" s="1"/>
  <c r="M12" i="7"/>
  <c r="M14" i="7" s="1"/>
  <c r="M20" i="7" s="1"/>
  <c r="Q12" i="7"/>
  <c r="Q18" i="7" s="1"/>
  <c r="Q24" i="7" s="1"/>
  <c r="D12" i="7"/>
  <c r="D16" i="7" s="1"/>
  <c r="D22" i="7" s="1"/>
  <c r="D12" i="8"/>
  <c r="D14" i="8" s="1"/>
  <c r="H12" i="8"/>
  <c r="H18" i="8" s="1"/>
  <c r="H24" i="8" s="1"/>
  <c r="L12" i="8"/>
  <c r="L14" i="8" s="1"/>
  <c r="L20" i="8" s="1"/>
  <c r="P12" i="8"/>
  <c r="P18" i="8" s="1"/>
  <c r="P24" i="8" s="1"/>
  <c r="D18" i="8"/>
  <c r="D24" i="8" s="1"/>
  <c r="D12" i="9"/>
  <c r="D15" i="9" s="1"/>
  <c r="D21" i="9" s="1"/>
  <c r="L12" i="9"/>
  <c r="L18" i="9" s="1"/>
  <c r="L24" i="9" s="1"/>
  <c r="E12" i="11"/>
  <c r="E15" i="11" s="1"/>
  <c r="E21" i="11" s="1"/>
  <c r="M12" i="11"/>
  <c r="M15" i="11" s="1"/>
  <c r="M21" i="11" s="1"/>
  <c r="F12" i="11"/>
  <c r="F16" i="11" s="1"/>
  <c r="F22" i="11" s="1"/>
  <c r="D12" i="12"/>
  <c r="D18" i="12" s="1"/>
  <c r="Q12" i="13"/>
  <c r="Q15" i="13" s="1"/>
  <c r="Q21" i="13" s="1"/>
  <c r="D12" i="14"/>
  <c r="D17" i="14" s="1"/>
  <c r="D23" i="14" s="1"/>
  <c r="L12" i="14"/>
  <c r="L15" i="14" s="1"/>
  <c r="L21" i="14" s="1"/>
  <c r="L12" i="7"/>
  <c r="L16" i="7" s="1"/>
  <c r="L22" i="7" s="1"/>
  <c r="J12" i="10"/>
  <c r="J15" i="10" s="1"/>
  <c r="J21" i="10" s="1"/>
  <c r="N12" i="11"/>
  <c r="N16" i="11" s="1"/>
  <c r="N22" i="11" s="1"/>
  <c r="S8" i="15"/>
  <c r="S14" i="15"/>
  <c r="S7" i="15"/>
  <c r="S11" i="15"/>
  <c r="K7" i="16"/>
  <c r="K14" i="16"/>
  <c r="S12" i="15"/>
  <c r="S13" i="15"/>
  <c r="S10" i="15"/>
  <c r="S5" i="15"/>
  <c r="H13" i="15"/>
  <c r="H11" i="15"/>
  <c r="F6" i="16"/>
  <c r="F22" i="16" s="1"/>
  <c r="F28" i="16" s="1"/>
  <c r="F41" i="16" s="1"/>
  <c r="H14" i="15"/>
  <c r="H5" i="15"/>
  <c r="H6" i="15"/>
  <c r="H7" i="15"/>
  <c r="H8" i="15"/>
  <c r="H9" i="15"/>
  <c r="H10" i="15"/>
  <c r="H12" i="15"/>
  <c r="H15" i="15"/>
  <c r="H16" i="15"/>
  <c r="G22" i="16"/>
  <c r="G26" i="16" s="1"/>
  <c r="G39" i="16" s="1"/>
  <c r="D22" i="16"/>
  <c r="D31" i="16" s="1"/>
  <c r="D44" i="16" s="1"/>
  <c r="E22" i="16"/>
  <c r="E24" i="16" s="1"/>
  <c r="E37" i="16" s="1"/>
  <c r="L18" i="6"/>
  <c r="L24" i="6" s="1"/>
  <c r="J18" i="7"/>
  <c r="J24" i="7" s="1"/>
  <c r="K18" i="7"/>
  <c r="K24" i="7" s="1"/>
  <c r="H16" i="8"/>
  <c r="H22" i="8" s="1"/>
  <c r="J14" i="6"/>
  <c r="J20" i="6" s="1"/>
  <c r="F14" i="7"/>
  <c r="F20" i="7" s="1"/>
  <c r="H12" i="11"/>
  <c r="H14" i="11" s="1"/>
  <c r="H20" i="11" s="1"/>
  <c r="P12" i="11"/>
  <c r="P14" i="11" s="1"/>
  <c r="P20" i="11" s="1"/>
  <c r="D12" i="10"/>
  <c r="D15" i="10" s="1"/>
  <c r="D21" i="10" s="1"/>
  <c r="L12" i="10"/>
  <c r="L15" i="10" s="1"/>
  <c r="L21" i="10" s="1"/>
  <c r="I12" i="11"/>
  <c r="I16" i="11" s="1"/>
  <c r="I22" i="11" s="1"/>
  <c r="Q12" i="11"/>
  <c r="Q16" i="11" s="1"/>
  <c r="Q22" i="11" s="1"/>
  <c r="Q20" i="6"/>
  <c r="D20" i="8"/>
  <c r="H12" i="9"/>
  <c r="H15" i="9" s="1"/>
  <c r="H21" i="9" s="1"/>
  <c r="P12" i="9"/>
  <c r="P15" i="9" s="1"/>
  <c r="P21" i="9" s="1"/>
  <c r="E12" i="10"/>
  <c r="E16" i="10" s="1"/>
  <c r="E22" i="10" s="1"/>
  <c r="M12" i="10"/>
  <c r="M16" i="10" s="1"/>
  <c r="M22" i="10" s="1"/>
  <c r="J12" i="11"/>
  <c r="J17" i="11" s="1"/>
  <c r="J23" i="11" s="1"/>
  <c r="C12" i="11"/>
  <c r="C18" i="11" s="1"/>
  <c r="C24" i="11" s="1"/>
  <c r="K12" i="11"/>
  <c r="K18" i="11" s="1"/>
  <c r="I12" i="9"/>
  <c r="I16" i="9" s="1"/>
  <c r="Q12" i="9"/>
  <c r="Q16" i="9" s="1"/>
  <c r="Q22" i="9" s="1"/>
  <c r="E18" i="9"/>
  <c r="E24" i="9" s="1"/>
  <c r="F12" i="10"/>
  <c r="F17" i="10" s="1"/>
  <c r="F23" i="10" s="1"/>
  <c r="N12" i="10"/>
  <c r="N17" i="10" s="1"/>
  <c r="N23" i="10" s="1"/>
  <c r="J12" i="9"/>
  <c r="J17" i="9" s="1"/>
  <c r="J23" i="9" s="1"/>
  <c r="E17" i="9"/>
  <c r="E23" i="9" s="1"/>
  <c r="G12" i="10"/>
  <c r="G18" i="10" s="1"/>
  <c r="G24" i="10" s="1"/>
  <c r="O12" i="10"/>
  <c r="O18" i="10" s="1"/>
  <c r="O24" i="10" s="1"/>
  <c r="D12" i="11"/>
  <c r="D14" i="11" s="1"/>
  <c r="D20" i="11" s="1"/>
  <c r="L12" i="11"/>
  <c r="L14" i="11" s="1"/>
  <c r="L20" i="11" s="1"/>
  <c r="O15" i="12"/>
  <c r="O21" i="12" s="1"/>
  <c r="K14" i="7"/>
  <c r="K20" i="7" s="1"/>
  <c r="C12" i="9"/>
  <c r="C18" i="9" s="1"/>
  <c r="C24" i="9" s="1"/>
  <c r="K12" i="9"/>
  <c r="K18" i="9" s="1"/>
  <c r="K24" i="9" s="1"/>
  <c r="H12" i="10"/>
  <c r="H18" i="10" s="1"/>
  <c r="H24" i="10" s="1"/>
  <c r="P12" i="10"/>
  <c r="P18" i="10" s="1"/>
  <c r="P24" i="10" s="1"/>
  <c r="H17" i="11"/>
  <c r="H23" i="11" s="1"/>
  <c r="G12" i="11"/>
  <c r="G16" i="11" s="1"/>
  <c r="G22" i="11" s="1"/>
  <c r="O12" i="11"/>
  <c r="O18" i="11" s="1"/>
  <c r="O24" i="11" s="1"/>
  <c r="C12" i="13"/>
  <c r="C15" i="13" s="1"/>
  <c r="C21" i="13" s="1"/>
  <c r="K12" i="13"/>
  <c r="K15" i="13" s="1"/>
  <c r="K21" i="13" s="1"/>
  <c r="I22" i="9"/>
  <c r="K24" i="11"/>
  <c r="D24" i="12"/>
  <c r="G12" i="12"/>
  <c r="G14" i="12" s="1"/>
  <c r="G20" i="12" s="1"/>
  <c r="G12" i="14"/>
  <c r="G15" i="14" s="1"/>
  <c r="G21" i="14" s="1"/>
  <c r="O12" i="14"/>
  <c r="O15" i="14" s="1"/>
  <c r="O21" i="14" s="1"/>
  <c r="H12" i="12"/>
  <c r="P12" i="12"/>
  <c r="I12" i="12"/>
  <c r="I14" i="12" s="1"/>
  <c r="I20" i="12" s="1"/>
  <c r="Q12" i="12"/>
  <c r="Q16" i="12" s="1"/>
  <c r="Q22" i="12" s="1"/>
  <c r="M12" i="12"/>
  <c r="M14" i="12" s="1"/>
  <c r="M20" i="12" s="1"/>
  <c r="D12" i="13"/>
  <c r="D16" i="13" s="1"/>
  <c r="D22" i="13" s="1"/>
  <c r="L12" i="13"/>
  <c r="L16" i="13" s="1"/>
  <c r="L22" i="13" s="1"/>
  <c r="H12" i="14"/>
  <c r="H16" i="14" s="1"/>
  <c r="H22" i="14" s="1"/>
  <c r="P12" i="14"/>
  <c r="P16" i="14" s="1"/>
  <c r="P22" i="14" s="1"/>
  <c r="E12" i="13"/>
  <c r="E17" i="13" s="1"/>
  <c r="E23" i="13" s="1"/>
  <c r="M12" i="13"/>
  <c r="M17" i="13" s="1"/>
  <c r="M23" i="13" s="1"/>
  <c r="H17" i="13"/>
  <c r="H23" i="13" s="1"/>
  <c r="P17" i="13"/>
  <c r="P23" i="13" s="1"/>
  <c r="I12" i="14"/>
  <c r="I17" i="14" s="1"/>
  <c r="I23" i="14" s="1"/>
  <c r="Q12" i="14"/>
  <c r="Q17" i="14" s="1"/>
  <c r="Q23" i="14" s="1"/>
  <c r="F12" i="13"/>
  <c r="F18" i="13" s="1"/>
  <c r="F24" i="13" s="1"/>
  <c r="N12" i="13"/>
  <c r="N18" i="13" s="1"/>
  <c r="N24" i="13" s="1"/>
  <c r="H16" i="13"/>
  <c r="H22" i="13" s="1"/>
  <c r="P16" i="13"/>
  <c r="P22" i="13" s="1"/>
  <c r="J12" i="14"/>
  <c r="J18" i="14" s="1"/>
  <c r="J24" i="14" s="1"/>
  <c r="G12" i="13"/>
  <c r="G17" i="13" s="1"/>
  <c r="G23" i="13" s="1"/>
  <c r="O12" i="13"/>
  <c r="O18" i="13" s="1"/>
  <c r="O24" i="13" s="1"/>
  <c r="P15" i="13"/>
  <c r="P21" i="13" s="1"/>
  <c r="C12" i="14"/>
  <c r="C18" i="14" s="1"/>
  <c r="C24" i="14" s="1"/>
  <c r="K12" i="14"/>
  <c r="K18" i="14" s="1"/>
  <c r="K24" i="14" s="1"/>
  <c r="M16" i="14"/>
  <c r="M22" i="14" s="1"/>
  <c r="O16" i="14"/>
  <c r="O22" i="14" s="1"/>
  <c r="H17" i="14"/>
  <c r="H23" i="14" s="1"/>
  <c r="O14" i="13"/>
  <c r="O20" i="13" s="1"/>
  <c r="I22" i="16" l="1"/>
  <c r="I30" i="16" s="1"/>
  <c r="I43" i="16" s="1"/>
  <c r="F14" i="9"/>
  <c r="F20" i="9" s="1"/>
  <c r="F16" i="12"/>
  <c r="F22" i="12" s="1"/>
  <c r="F17" i="9"/>
  <c r="F23" i="9" s="1"/>
  <c r="P16" i="7"/>
  <c r="P22" i="7" s="1"/>
  <c r="P18" i="7"/>
  <c r="P24" i="7" s="1"/>
  <c r="F16" i="7"/>
  <c r="F22" i="7" s="1"/>
  <c r="F17" i="7"/>
  <c r="F23" i="7" s="1"/>
  <c r="J16" i="7"/>
  <c r="J22" i="7" s="1"/>
  <c r="J36" i="7" s="1"/>
  <c r="I14" i="11"/>
  <c r="I20" i="11" s="1"/>
  <c r="E14" i="9"/>
  <c r="E20" i="9" s="1"/>
  <c r="E37" i="9" s="1"/>
  <c r="I17" i="11"/>
  <c r="I23" i="11" s="1"/>
  <c r="E15" i="9"/>
  <c r="E21" i="9" s="1"/>
  <c r="H16" i="7"/>
  <c r="H22" i="7" s="1"/>
  <c r="H36" i="7" s="1"/>
  <c r="I18" i="11"/>
  <c r="I24" i="11" s="1"/>
  <c r="H14" i="7"/>
  <c r="H20" i="7" s="1"/>
  <c r="O15" i="7"/>
  <c r="O21" i="7" s="1"/>
  <c r="K17" i="7"/>
  <c r="K23" i="7" s="1"/>
  <c r="F17" i="12"/>
  <c r="F23" i="12" s="1"/>
  <c r="F37" i="12" s="1"/>
  <c r="H18" i="7"/>
  <c r="H24" i="7" s="1"/>
  <c r="J15" i="7"/>
  <c r="J21" i="7" s="1"/>
  <c r="J28" i="7" s="1"/>
  <c r="F18" i="11"/>
  <c r="F24" i="11" s="1"/>
  <c r="K14" i="8"/>
  <c r="K20" i="8" s="1"/>
  <c r="K16" i="8"/>
  <c r="K22" i="8" s="1"/>
  <c r="K17" i="8"/>
  <c r="K23" i="8" s="1"/>
  <c r="M14" i="8"/>
  <c r="M20" i="8" s="1"/>
  <c r="Q17" i="8"/>
  <c r="Q23" i="8" s="1"/>
  <c r="K15" i="8"/>
  <c r="K21" i="8" s="1"/>
  <c r="H15" i="13"/>
  <c r="H21" i="13" s="1"/>
  <c r="H27" i="13" s="1"/>
  <c r="H18" i="13"/>
  <c r="H24" i="13" s="1"/>
  <c r="H37" i="13" s="1"/>
  <c r="P14" i="13"/>
  <c r="P20" i="13" s="1"/>
  <c r="P36" i="13" s="1"/>
  <c r="M18" i="14"/>
  <c r="M24" i="14" s="1"/>
  <c r="M14" i="14"/>
  <c r="M20" i="14" s="1"/>
  <c r="M37" i="14" s="1"/>
  <c r="M15" i="14"/>
  <c r="M21" i="14" s="1"/>
  <c r="M30" i="14" s="1"/>
  <c r="E15" i="14"/>
  <c r="E21" i="14" s="1"/>
  <c r="E16" i="14"/>
  <c r="E22" i="14" s="1"/>
  <c r="D15" i="14"/>
  <c r="D21" i="14" s="1"/>
  <c r="O17" i="6"/>
  <c r="O23" i="6" s="1"/>
  <c r="O14" i="6"/>
  <c r="O20" i="6" s="1"/>
  <c r="O18" i="6"/>
  <c r="O24" i="6" s="1"/>
  <c r="O16" i="6"/>
  <c r="O22" i="6" s="1"/>
  <c r="O30" i="6" s="1"/>
  <c r="F14" i="6"/>
  <c r="F20" i="6" s="1"/>
  <c r="N15" i="6"/>
  <c r="N21" i="6" s="1"/>
  <c r="N17" i="6"/>
  <c r="N23" i="6" s="1"/>
  <c r="L15" i="6"/>
  <c r="L21" i="6" s="1"/>
  <c r="N16" i="6"/>
  <c r="N22" i="6" s="1"/>
  <c r="F16" i="6"/>
  <c r="F22" i="6" s="1"/>
  <c r="N18" i="6"/>
  <c r="N24" i="6" s="1"/>
  <c r="N38" i="6" s="1"/>
  <c r="F18" i="6"/>
  <c r="F24" i="6" s="1"/>
  <c r="F37" i="6" s="1"/>
  <c r="K22" i="16"/>
  <c r="K30" i="16" s="1"/>
  <c r="K43" i="16" s="1"/>
  <c r="C18" i="8"/>
  <c r="C24" i="8" s="1"/>
  <c r="Q16" i="8"/>
  <c r="Q22" i="8" s="1"/>
  <c r="J17" i="7"/>
  <c r="J23" i="7" s="1"/>
  <c r="M16" i="8"/>
  <c r="M22" i="8" s="1"/>
  <c r="L16" i="9"/>
  <c r="L22" i="9" s="1"/>
  <c r="C18" i="13"/>
  <c r="C24" i="13" s="1"/>
  <c r="Q14" i="8"/>
  <c r="Q20" i="8" s="1"/>
  <c r="H15" i="7"/>
  <c r="H21" i="7" s="1"/>
  <c r="Q15" i="8"/>
  <c r="Q21" i="8" s="1"/>
  <c r="F14" i="12"/>
  <c r="F20" i="12" s="1"/>
  <c r="H18" i="9"/>
  <c r="H24" i="9" s="1"/>
  <c r="D18" i="13"/>
  <c r="D24" i="13" s="1"/>
  <c r="P16" i="8"/>
  <c r="P22" i="8" s="1"/>
  <c r="O17" i="12"/>
  <c r="O23" i="12" s="1"/>
  <c r="Q14" i="9"/>
  <c r="Q20" i="9" s="1"/>
  <c r="K16" i="7"/>
  <c r="K22" i="7" s="1"/>
  <c r="K35" i="7" s="1"/>
  <c r="F18" i="12"/>
  <c r="F24" i="12" s="1"/>
  <c r="C14" i="8"/>
  <c r="C20" i="8" s="1"/>
  <c r="C14" i="12"/>
  <c r="C20" i="12" s="1"/>
  <c r="L17" i="9"/>
  <c r="L23" i="9" s="1"/>
  <c r="D17" i="9"/>
  <c r="D23" i="9" s="1"/>
  <c r="C17" i="8"/>
  <c r="C23" i="8" s="1"/>
  <c r="K14" i="14"/>
  <c r="K20" i="14" s="1"/>
  <c r="O14" i="12"/>
  <c r="O20" i="12" s="1"/>
  <c r="O28" i="12" s="1"/>
  <c r="F17" i="6"/>
  <c r="F23" i="6" s="1"/>
  <c r="M18" i="8"/>
  <c r="M24" i="8" s="1"/>
  <c r="C15" i="8"/>
  <c r="C21" i="8" s="1"/>
  <c r="I14" i="9"/>
  <c r="I20" i="9" s="1"/>
  <c r="L15" i="9"/>
  <c r="L21" i="9" s="1"/>
  <c r="L14" i="9"/>
  <c r="L20" i="9" s="1"/>
  <c r="J14" i="14"/>
  <c r="J20" i="14" s="1"/>
  <c r="D14" i="9"/>
  <c r="D20" i="9" s="1"/>
  <c r="C14" i="11"/>
  <c r="C20" i="11" s="1"/>
  <c r="D43" i="19"/>
  <c r="D44" i="20"/>
  <c r="D44" i="19"/>
  <c r="D47" i="19"/>
  <c r="D46" i="19"/>
  <c r="D47" i="21"/>
  <c r="D45" i="20"/>
  <c r="D46" i="21"/>
  <c r="D44" i="21"/>
  <c r="L15" i="12"/>
  <c r="L21" i="12" s="1"/>
  <c r="O18" i="14"/>
  <c r="O24" i="14" s="1"/>
  <c r="O14" i="10"/>
  <c r="O20" i="10" s="1"/>
  <c r="O17" i="9"/>
  <c r="O23" i="9" s="1"/>
  <c r="F18" i="9"/>
  <c r="F24" i="9" s="1"/>
  <c r="M17" i="11"/>
  <c r="M23" i="11" s="1"/>
  <c r="I18" i="10"/>
  <c r="I24" i="10" s="1"/>
  <c r="O14" i="8"/>
  <c r="O20" i="8" s="1"/>
  <c r="P14" i="7"/>
  <c r="P20" i="7" s="1"/>
  <c r="O16" i="8"/>
  <c r="O22" i="8" s="1"/>
  <c r="O18" i="8"/>
  <c r="O24" i="8" s="1"/>
  <c r="J17" i="6"/>
  <c r="J23" i="6" s="1"/>
  <c r="E18" i="7"/>
  <c r="E24" i="7" s="1"/>
  <c r="P14" i="10"/>
  <c r="P20" i="10" s="1"/>
  <c r="O17" i="14"/>
  <c r="O23" i="14" s="1"/>
  <c r="G18" i="14"/>
  <c r="G24" i="14" s="1"/>
  <c r="C14" i="9"/>
  <c r="C20" i="9" s="1"/>
  <c r="C15" i="11"/>
  <c r="C21" i="11" s="1"/>
  <c r="F16" i="9"/>
  <c r="F22" i="9" s="1"/>
  <c r="O18" i="9"/>
  <c r="O24" i="9" s="1"/>
  <c r="F14" i="8"/>
  <c r="F20" i="8" s="1"/>
  <c r="O15" i="9"/>
  <c r="O21" i="9" s="1"/>
  <c r="P15" i="7"/>
  <c r="P21" i="7" s="1"/>
  <c r="F15" i="8"/>
  <c r="F21" i="8" s="1"/>
  <c r="F17" i="8"/>
  <c r="F23" i="8" s="1"/>
  <c r="O14" i="14"/>
  <c r="O20" i="14" s="1"/>
  <c r="M16" i="11"/>
  <c r="M22" i="11" s="1"/>
  <c r="F17" i="14"/>
  <c r="F23" i="14" s="1"/>
  <c r="E17" i="14"/>
  <c r="E23" i="14" s="1"/>
  <c r="E18" i="14"/>
  <c r="E24" i="14" s="1"/>
  <c r="H14" i="14"/>
  <c r="H20" i="14" s="1"/>
  <c r="C16" i="12"/>
  <c r="C22" i="12" s="1"/>
  <c r="C18" i="12"/>
  <c r="C24" i="12" s="1"/>
  <c r="G14" i="10"/>
  <c r="G20" i="10" s="1"/>
  <c r="E16" i="12"/>
  <c r="E22" i="12" s="1"/>
  <c r="D16" i="10"/>
  <c r="D22" i="10" s="1"/>
  <c r="I15" i="10"/>
  <c r="I21" i="10" s="1"/>
  <c r="E16" i="11"/>
  <c r="E22" i="11" s="1"/>
  <c r="M18" i="9"/>
  <c r="M24" i="9" s="1"/>
  <c r="Q14" i="7"/>
  <c r="Q20" i="7" s="1"/>
  <c r="O14" i="7"/>
  <c r="O20" i="7" s="1"/>
  <c r="P17" i="6"/>
  <c r="P23" i="6" s="1"/>
  <c r="J18" i="6"/>
  <c r="J24" i="6" s="1"/>
  <c r="P18" i="6"/>
  <c r="P24" i="6" s="1"/>
  <c r="J14" i="9"/>
  <c r="J20" i="9" s="1"/>
  <c r="C16" i="13"/>
  <c r="C22" i="13" s="1"/>
  <c r="C17" i="13"/>
  <c r="C23" i="13" s="1"/>
  <c r="J15" i="12"/>
  <c r="J21" i="12" s="1"/>
  <c r="N14" i="10"/>
  <c r="N20" i="10" s="1"/>
  <c r="H16" i="11"/>
  <c r="H22" i="11" s="1"/>
  <c r="H17" i="9"/>
  <c r="H23" i="9" s="1"/>
  <c r="M16" i="9"/>
  <c r="M22" i="9" s="1"/>
  <c r="E17" i="12"/>
  <c r="E23" i="12" s="1"/>
  <c r="F16" i="14"/>
  <c r="F22" i="14" s="1"/>
  <c r="D14" i="13"/>
  <c r="D20" i="13" s="1"/>
  <c r="M18" i="10"/>
  <c r="M24" i="10" s="1"/>
  <c r="G17" i="9"/>
  <c r="G23" i="9" s="1"/>
  <c r="O16" i="11"/>
  <c r="O22" i="11" s="1"/>
  <c r="G14" i="6"/>
  <c r="G20" i="6" s="1"/>
  <c r="M17" i="10"/>
  <c r="M23" i="10" s="1"/>
  <c r="K14" i="11"/>
  <c r="K20" i="11" s="1"/>
  <c r="J15" i="9"/>
  <c r="J21" i="9" s="1"/>
  <c r="H14" i="8"/>
  <c r="H20" i="8" s="1"/>
  <c r="H14" i="9"/>
  <c r="H20" i="9" s="1"/>
  <c r="D14" i="6"/>
  <c r="D20" i="6" s="1"/>
  <c r="D14" i="10"/>
  <c r="D20" i="10" s="1"/>
  <c r="D16" i="12"/>
  <c r="D22" i="12" s="1"/>
  <c r="G15" i="8"/>
  <c r="G21" i="8" s="1"/>
  <c r="H17" i="8"/>
  <c r="H23" i="8" s="1"/>
  <c r="G16" i="6"/>
  <c r="G22" i="6" s="1"/>
  <c r="Q18" i="6"/>
  <c r="Q24" i="6" s="1"/>
  <c r="G17" i="6"/>
  <c r="G23" i="6" s="1"/>
  <c r="F18" i="7"/>
  <c r="F24" i="7" s="1"/>
  <c r="F34" i="7" s="1"/>
  <c r="F18" i="8"/>
  <c r="F24" i="8" s="1"/>
  <c r="D16" i="14"/>
  <c r="D22" i="14" s="1"/>
  <c r="D18" i="14"/>
  <c r="D24" i="14" s="1"/>
  <c r="D17" i="12"/>
  <c r="D23" i="12" s="1"/>
  <c r="M14" i="10"/>
  <c r="M20" i="10" s="1"/>
  <c r="D15" i="12"/>
  <c r="D21" i="12" s="1"/>
  <c r="P18" i="9"/>
  <c r="P24" i="9" s="1"/>
  <c r="N16" i="9"/>
  <c r="N22" i="9" s="1"/>
  <c r="G18" i="9"/>
  <c r="G24" i="9" s="1"/>
  <c r="C14" i="7"/>
  <c r="C20" i="7" s="1"/>
  <c r="M14" i="6"/>
  <c r="M20" i="6" s="1"/>
  <c r="G14" i="8"/>
  <c r="G20" i="8" s="1"/>
  <c r="G15" i="9"/>
  <c r="G21" i="9" s="1"/>
  <c r="M16" i="6"/>
  <c r="M22" i="6" s="1"/>
  <c r="M18" i="11"/>
  <c r="M24" i="11" s="1"/>
  <c r="M17" i="8"/>
  <c r="M23" i="8" s="1"/>
  <c r="D14" i="14"/>
  <c r="D20" i="14" s="1"/>
  <c r="K15" i="11"/>
  <c r="K21" i="11" s="1"/>
  <c r="D14" i="12"/>
  <c r="D20" i="12" s="1"/>
  <c r="N17" i="9"/>
  <c r="N23" i="9" s="1"/>
  <c r="N18" i="9"/>
  <c r="N24" i="9" s="1"/>
  <c r="P14" i="9"/>
  <c r="P20" i="9" s="1"/>
  <c r="G16" i="8"/>
  <c r="G22" i="8" s="1"/>
  <c r="M17" i="6"/>
  <c r="M23" i="6" s="1"/>
  <c r="G18" i="8"/>
  <c r="G24" i="8" s="1"/>
  <c r="G16" i="9"/>
  <c r="G22" i="9" s="1"/>
  <c r="G15" i="6"/>
  <c r="G21" i="6" s="1"/>
  <c r="D45" i="19"/>
  <c r="D43" i="20"/>
  <c r="D46" i="20"/>
  <c r="D47" i="20"/>
  <c r="D43" i="21"/>
  <c r="D45" i="21"/>
  <c r="F14" i="10"/>
  <c r="F20" i="10" s="1"/>
  <c r="Q16" i="10"/>
  <c r="Q22" i="10" s="1"/>
  <c r="Q17" i="10"/>
  <c r="Q23" i="10" s="1"/>
  <c r="D18" i="9"/>
  <c r="D24" i="9" s="1"/>
  <c r="C18" i="7"/>
  <c r="C24" i="7" s="1"/>
  <c r="D15" i="6"/>
  <c r="D21" i="6" s="1"/>
  <c r="D16" i="6"/>
  <c r="D22" i="6" s="1"/>
  <c r="D18" i="6"/>
  <c r="D24" i="6" s="1"/>
  <c r="N17" i="12"/>
  <c r="N23" i="12" s="1"/>
  <c r="J17" i="13"/>
  <c r="J23" i="13" s="1"/>
  <c r="M18" i="7"/>
  <c r="M24" i="7" s="1"/>
  <c r="C17" i="7"/>
  <c r="C23" i="7" s="1"/>
  <c r="J16" i="13"/>
  <c r="J22" i="13" s="1"/>
  <c r="G14" i="13"/>
  <c r="G20" i="13" s="1"/>
  <c r="F18" i="14"/>
  <c r="F24" i="14" s="1"/>
  <c r="J14" i="12"/>
  <c r="J20" i="12" s="1"/>
  <c r="K16" i="12"/>
  <c r="K22" i="12" s="1"/>
  <c r="M14" i="11"/>
  <c r="M20" i="11" s="1"/>
  <c r="M14" i="9"/>
  <c r="M20" i="9" s="1"/>
  <c r="M15" i="9"/>
  <c r="M21" i="9" s="1"/>
  <c r="D18" i="10"/>
  <c r="D24" i="10" s="1"/>
  <c r="I16" i="10"/>
  <c r="I22" i="10" s="1"/>
  <c r="D16" i="9"/>
  <c r="D22" i="9" s="1"/>
  <c r="I17" i="10"/>
  <c r="I23" i="10" s="1"/>
  <c r="P14" i="8"/>
  <c r="P20" i="8" s="1"/>
  <c r="J18" i="12"/>
  <c r="J24" i="12" s="1"/>
  <c r="N14" i="7"/>
  <c r="N20" i="7" s="1"/>
  <c r="O15" i="8"/>
  <c r="O21" i="8" s="1"/>
  <c r="K15" i="6"/>
  <c r="K21" i="6" s="1"/>
  <c r="N16" i="7"/>
  <c r="N22" i="7" s="1"/>
  <c r="J16" i="6"/>
  <c r="J22" i="6" s="1"/>
  <c r="C16" i="7"/>
  <c r="C22" i="7" s="1"/>
  <c r="Q16" i="13"/>
  <c r="Q22" i="13" s="1"/>
  <c r="J18" i="13"/>
  <c r="J24" i="13" s="1"/>
  <c r="N17" i="8"/>
  <c r="N23" i="8" s="1"/>
  <c r="P14" i="6"/>
  <c r="P20" i="6" s="1"/>
  <c r="I18" i="13"/>
  <c r="I24" i="13" s="1"/>
  <c r="P15" i="6"/>
  <c r="P21" i="6" s="1"/>
  <c r="C15" i="12"/>
  <c r="C21" i="12" s="1"/>
  <c r="E18" i="13"/>
  <c r="E24" i="13" s="1"/>
  <c r="E14" i="13"/>
  <c r="E20" i="13" s="1"/>
  <c r="J17" i="12"/>
  <c r="J23" i="12" s="1"/>
  <c r="K14" i="9"/>
  <c r="K20" i="9" s="1"/>
  <c r="D17" i="10"/>
  <c r="D23" i="10" s="1"/>
  <c r="C17" i="10"/>
  <c r="C23" i="10" s="1"/>
  <c r="N14" i="8"/>
  <c r="N20" i="8" s="1"/>
  <c r="K14" i="6"/>
  <c r="K20" i="6" s="1"/>
  <c r="E16" i="6"/>
  <c r="E22" i="6" s="1"/>
  <c r="P17" i="8"/>
  <c r="P23" i="8" s="1"/>
  <c r="N15" i="8"/>
  <c r="N21" i="8" s="1"/>
  <c r="I16" i="13"/>
  <c r="I22" i="13" s="1"/>
  <c r="N18" i="7"/>
  <c r="N24" i="7" s="1"/>
  <c r="I17" i="13"/>
  <c r="I23" i="13" s="1"/>
  <c r="J15" i="13"/>
  <c r="J21" i="13" s="1"/>
  <c r="N17" i="7"/>
  <c r="N23" i="7" s="1"/>
  <c r="F15" i="14"/>
  <c r="F21" i="14" s="1"/>
  <c r="N14" i="13"/>
  <c r="N20" i="13" s="1"/>
  <c r="Q14" i="10"/>
  <c r="Q20" i="10" s="1"/>
  <c r="K18" i="12"/>
  <c r="K24" i="12" s="1"/>
  <c r="L17" i="10"/>
  <c r="L23" i="10" s="1"/>
  <c r="Q15" i="10"/>
  <c r="Q21" i="10" s="1"/>
  <c r="I14" i="7"/>
  <c r="I20" i="7" s="1"/>
  <c r="E17" i="11"/>
  <c r="E23" i="11" s="1"/>
  <c r="E14" i="8"/>
  <c r="E20" i="8" s="1"/>
  <c r="I17" i="7"/>
  <c r="I23" i="7" s="1"/>
  <c r="O17" i="7"/>
  <c r="O23" i="7" s="1"/>
  <c r="K15" i="12"/>
  <c r="K21" i="12" s="1"/>
  <c r="N16" i="14"/>
  <c r="N22" i="14" s="1"/>
  <c r="E18" i="11"/>
  <c r="E24" i="11" s="1"/>
  <c r="J16" i="10"/>
  <c r="J22" i="10" s="1"/>
  <c r="I15" i="7"/>
  <c r="I21" i="7" s="1"/>
  <c r="N16" i="12"/>
  <c r="N22" i="12" s="1"/>
  <c r="I16" i="8"/>
  <c r="I22" i="8" s="1"/>
  <c r="D18" i="7"/>
  <c r="D24" i="7" s="1"/>
  <c r="E18" i="8"/>
  <c r="E24" i="8" s="1"/>
  <c r="N14" i="9"/>
  <c r="N20" i="9" s="1"/>
  <c r="E17" i="8"/>
  <c r="E23" i="8" s="1"/>
  <c r="O16" i="9"/>
  <c r="O22" i="9" s="1"/>
  <c r="P15" i="14"/>
  <c r="P21" i="14" s="1"/>
  <c r="Q14" i="14"/>
  <c r="Q20" i="14" s="1"/>
  <c r="Q18" i="14"/>
  <c r="Q24" i="14" s="1"/>
  <c r="L18" i="13"/>
  <c r="L24" i="13" s="1"/>
  <c r="N18" i="14"/>
  <c r="N24" i="14" s="1"/>
  <c r="L16" i="14"/>
  <c r="L22" i="14" s="1"/>
  <c r="K14" i="12"/>
  <c r="K20" i="12" s="1"/>
  <c r="L17" i="14"/>
  <c r="L23" i="14" s="1"/>
  <c r="L18" i="14"/>
  <c r="L24" i="14" s="1"/>
  <c r="L17" i="12"/>
  <c r="L23" i="12" s="1"/>
  <c r="P16" i="11"/>
  <c r="P22" i="11" s="1"/>
  <c r="L18" i="10"/>
  <c r="L24" i="10" s="1"/>
  <c r="C18" i="10"/>
  <c r="C24" i="10" s="1"/>
  <c r="L14" i="6"/>
  <c r="L20" i="6" s="1"/>
  <c r="N16" i="10"/>
  <c r="N22" i="10" s="1"/>
  <c r="L16" i="12"/>
  <c r="L22" i="12" s="1"/>
  <c r="I17" i="8"/>
  <c r="I23" i="8" s="1"/>
  <c r="I16" i="7"/>
  <c r="I22" i="7" s="1"/>
  <c r="L16" i="6"/>
  <c r="L22" i="6" s="1"/>
  <c r="K17" i="6"/>
  <c r="K23" i="6" s="1"/>
  <c r="N15" i="11"/>
  <c r="N21" i="11" s="1"/>
  <c r="E16" i="8"/>
  <c r="E22" i="8" s="1"/>
  <c r="L18" i="7"/>
  <c r="L24" i="7" s="1"/>
  <c r="H15" i="8"/>
  <c r="H21" i="8" s="1"/>
  <c r="I14" i="13"/>
  <c r="I20" i="13" s="1"/>
  <c r="N17" i="11"/>
  <c r="N23" i="11" s="1"/>
  <c r="N18" i="8"/>
  <c r="N24" i="8" s="1"/>
  <c r="D16" i="8"/>
  <c r="D22" i="8" s="1"/>
  <c r="M17" i="7"/>
  <c r="M23" i="7" s="1"/>
  <c r="I18" i="6"/>
  <c r="I24" i="6" s="1"/>
  <c r="O18" i="7"/>
  <c r="O24" i="7" s="1"/>
  <c r="K18" i="6"/>
  <c r="K24" i="6" s="1"/>
  <c r="L14" i="14"/>
  <c r="L20" i="14" s="1"/>
  <c r="L17" i="13"/>
  <c r="L23" i="13" s="1"/>
  <c r="P17" i="14"/>
  <c r="P23" i="14" s="1"/>
  <c r="M18" i="13"/>
  <c r="M24" i="13" s="1"/>
  <c r="P18" i="14"/>
  <c r="P24" i="14" s="1"/>
  <c r="N17" i="14"/>
  <c r="N23" i="14" s="1"/>
  <c r="O15" i="13"/>
  <c r="O21" i="13" s="1"/>
  <c r="Q14" i="12"/>
  <c r="Q20" i="12" s="1"/>
  <c r="E14" i="11"/>
  <c r="E20" i="11" s="1"/>
  <c r="L14" i="12"/>
  <c r="L20" i="12" s="1"/>
  <c r="G18" i="13"/>
  <c r="G24" i="13" s="1"/>
  <c r="C16" i="10"/>
  <c r="C22" i="10" s="1"/>
  <c r="J17" i="10"/>
  <c r="J23" i="10" s="1"/>
  <c r="I14" i="8"/>
  <c r="I20" i="8" s="1"/>
  <c r="J18" i="10"/>
  <c r="J24" i="10" s="1"/>
  <c r="L14" i="10"/>
  <c r="L20" i="10" s="1"/>
  <c r="I18" i="9"/>
  <c r="I24" i="9" s="1"/>
  <c r="I18" i="8"/>
  <c r="I24" i="8" s="1"/>
  <c r="E17" i="7"/>
  <c r="E23" i="7" s="1"/>
  <c r="N18" i="12"/>
  <c r="N24" i="12" s="1"/>
  <c r="D15" i="8"/>
  <c r="D21" i="8" s="1"/>
  <c r="M15" i="6"/>
  <c r="M21" i="6" s="1"/>
  <c r="L14" i="7"/>
  <c r="L20" i="7" s="1"/>
  <c r="Q18" i="13"/>
  <c r="Q24" i="13" s="1"/>
  <c r="J14" i="10"/>
  <c r="J20" i="10" s="1"/>
  <c r="L15" i="7"/>
  <c r="L21" i="7" s="1"/>
  <c r="N15" i="14"/>
  <c r="N21" i="14" s="1"/>
  <c r="N14" i="12"/>
  <c r="N20" i="12" s="1"/>
  <c r="G17" i="14"/>
  <c r="G23" i="14" s="1"/>
  <c r="C14" i="14"/>
  <c r="C20" i="14" s="1"/>
  <c r="I14" i="14"/>
  <c r="I20" i="14" s="1"/>
  <c r="M14" i="13"/>
  <c r="M20" i="13" s="1"/>
  <c r="I18" i="14"/>
  <c r="I24" i="14" s="1"/>
  <c r="G16" i="14"/>
  <c r="G22" i="14" s="1"/>
  <c r="G15" i="13"/>
  <c r="G21" i="13" s="1"/>
  <c r="P14" i="14"/>
  <c r="P20" i="14" s="1"/>
  <c r="L14" i="13"/>
  <c r="L20" i="13" s="1"/>
  <c r="E18" i="12"/>
  <c r="E24" i="12" s="1"/>
  <c r="E15" i="12"/>
  <c r="E21" i="12" s="1"/>
  <c r="J18" i="11"/>
  <c r="J24" i="11" s="1"/>
  <c r="P17" i="11"/>
  <c r="P23" i="11" s="1"/>
  <c r="K18" i="10"/>
  <c r="K24" i="10" s="1"/>
  <c r="E14" i="6"/>
  <c r="E20" i="6" s="1"/>
  <c r="Q17" i="7"/>
  <c r="Q23" i="7" s="1"/>
  <c r="L17" i="7"/>
  <c r="L23" i="7" s="1"/>
  <c r="M15" i="7"/>
  <c r="M21" i="7" s="1"/>
  <c r="I15" i="6"/>
  <c r="I21" i="6" s="1"/>
  <c r="K15" i="10"/>
  <c r="K21" i="10" s="1"/>
  <c r="M16" i="7"/>
  <c r="M22" i="7" s="1"/>
  <c r="I16" i="6"/>
  <c r="I22" i="6" s="1"/>
  <c r="N14" i="11"/>
  <c r="N20" i="11" s="1"/>
  <c r="L17" i="8"/>
  <c r="L23" i="8" s="1"/>
  <c r="C15" i="14"/>
  <c r="C21" i="14" s="1"/>
  <c r="F14" i="13"/>
  <c r="F20" i="13" s="1"/>
  <c r="D17" i="13"/>
  <c r="D23" i="13" s="1"/>
  <c r="H18" i="14"/>
  <c r="H24" i="14" s="1"/>
  <c r="G14" i="14"/>
  <c r="G20" i="14" s="1"/>
  <c r="J14" i="11"/>
  <c r="J20" i="11" s="1"/>
  <c r="K17" i="10"/>
  <c r="K23" i="10" s="1"/>
  <c r="C14" i="6"/>
  <c r="C20" i="6" s="1"/>
  <c r="J18" i="9"/>
  <c r="J24" i="9" s="1"/>
  <c r="G15" i="7"/>
  <c r="G21" i="7" s="1"/>
  <c r="C17" i="6"/>
  <c r="C23" i="6" s="1"/>
  <c r="J16" i="8"/>
  <c r="J22" i="8" s="1"/>
  <c r="L18" i="8"/>
  <c r="L24" i="8" s="1"/>
  <c r="D17" i="7"/>
  <c r="D23" i="7" s="1"/>
  <c r="L15" i="8"/>
  <c r="L21" i="8" s="1"/>
  <c r="Q15" i="7"/>
  <c r="Q21" i="7" s="1"/>
  <c r="D17" i="8"/>
  <c r="D23" i="8" s="1"/>
  <c r="P15" i="8"/>
  <c r="P21" i="8" s="1"/>
  <c r="E15" i="7"/>
  <c r="E21" i="7" s="1"/>
  <c r="Q14" i="13"/>
  <c r="Q20" i="13" s="1"/>
  <c r="C15" i="10"/>
  <c r="C21" i="10" s="1"/>
  <c r="L16" i="8"/>
  <c r="L22" i="8" s="1"/>
  <c r="G18" i="7"/>
  <c r="G24" i="7" s="1"/>
  <c r="E16" i="7"/>
  <c r="E22" i="7" s="1"/>
  <c r="C18" i="6"/>
  <c r="C24" i="6" s="1"/>
  <c r="J15" i="8"/>
  <c r="J21" i="8" s="1"/>
  <c r="I17" i="6"/>
  <c r="I23" i="6" s="1"/>
  <c r="H17" i="6"/>
  <c r="H23" i="6" s="1"/>
  <c r="H18" i="6"/>
  <c r="H24" i="6" s="1"/>
  <c r="H14" i="6"/>
  <c r="H20" i="6" s="1"/>
  <c r="H15" i="6"/>
  <c r="H21" i="6" s="1"/>
  <c r="H14" i="10"/>
  <c r="H20" i="10" s="1"/>
  <c r="M15" i="12"/>
  <c r="M21" i="12" s="1"/>
  <c r="K16" i="10"/>
  <c r="K22" i="10" s="1"/>
  <c r="J14" i="8"/>
  <c r="J20" i="8" s="1"/>
  <c r="M15" i="10"/>
  <c r="M21" i="10" s="1"/>
  <c r="G14" i="7"/>
  <c r="G20" i="7" s="1"/>
  <c r="J18" i="8"/>
  <c r="J24" i="8" s="1"/>
  <c r="Q16" i="7"/>
  <c r="Q22" i="7" s="1"/>
  <c r="E17" i="6"/>
  <c r="E23" i="6" s="1"/>
  <c r="C15" i="6"/>
  <c r="C21" i="6" s="1"/>
  <c r="G17" i="7"/>
  <c r="G23" i="7" s="1"/>
  <c r="F15" i="11"/>
  <c r="F21" i="11" s="1"/>
  <c r="E15" i="6"/>
  <c r="E21" i="6" s="1"/>
  <c r="Q17" i="13"/>
  <c r="Q23" i="13" s="1"/>
  <c r="D14" i="7"/>
  <c r="D20" i="7" s="1"/>
  <c r="Q15" i="6"/>
  <c r="Q21" i="6" s="1"/>
  <c r="F14" i="11"/>
  <c r="F20" i="11" s="1"/>
  <c r="Q17" i="6"/>
  <c r="Q23" i="6" s="1"/>
  <c r="F17" i="11"/>
  <c r="F23" i="11" s="1"/>
  <c r="D15" i="7"/>
  <c r="D21" i="7" s="1"/>
  <c r="Q16" i="6"/>
  <c r="Q22" i="6" s="1"/>
  <c r="N18" i="11"/>
  <c r="N24" i="11" s="1"/>
  <c r="I31" i="16"/>
  <c r="I44" i="16" s="1"/>
  <c r="I35" i="16"/>
  <c r="I48" i="16" s="1"/>
  <c r="D32" i="16"/>
  <c r="D45" i="16" s="1"/>
  <c r="G29" i="16"/>
  <c r="G42" i="16" s="1"/>
  <c r="D27" i="16"/>
  <c r="D40" i="16" s="1"/>
  <c r="D25" i="16"/>
  <c r="D38" i="16" s="1"/>
  <c r="G28" i="16"/>
  <c r="G41" i="16" s="1"/>
  <c r="H35" i="16"/>
  <c r="H48" i="16" s="1"/>
  <c r="H30" i="16"/>
  <c r="H43" i="16" s="1"/>
  <c r="I29" i="16"/>
  <c r="I42" i="16" s="1"/>
  <c r="G25" i="16"/>
  <c r="G38" i="16" s="1"/>
  <c r="H29" i="16"/>
  <c r="H42" i="16" s="1"/>
  <c r="G27" i="16"/>
  <c r="G40" i="16" s="1"/>
  <c r="G24" i="16"/>
  <c r="G37" i="16" s="1"/>
  <c r="I28" i="16"/>
  <c r="I41" i="16" s="1"/>
  <c r="H28" i="16"/>
  <c r="H41" i="16" s="1"/>
  <c r="F35" i="16"/>
  <c r="F48" i="16" s="1"/>
  <c r="F32" i="16"/>
  <c r="F45" i="16" s="1"/>
  <c r="I27" i="16"/>
  <c r="I40" i="16" s="1"/>
  <c r="D29" i="16"/>
  <c r="D42" i="16" s="1"/>
  <c r="H27" i="16"/>
  <c r="H40" i="16" s="1"/>
  <c r="F33" i="16"/>
  <c r="F46" i="16" s="1"/>
  <c r="F26" i="16"/>
  <c r="F39" i="16" s="1"/>
  <c r="I26" i="16"/>
  <c r="I39" i="16" s="1"/>
  <c r="F31" i="16"/>
  <c r="F44" i="16" s="1"/>
  <c r="F30" i="16"/>
  <c r="F43" i="16" s="1"/>
  <c r="I34" i="16"/>
  <c r="I47" i="16" s="1"/>
  <c r="I24" i="16"/>
  <c r="I37" i="16" s="1"/>
  <c r="G31" i="16"/>
  <c r="G44" i="16" s="1"/>
  <c r="I32" i="16"/>
  <c r="I45" i="16" s="1"/>
  <c r="G33" i="16"/>
  <c r="G46" i="16" s="1"/>
  <c r="H32" i="16"/>
  <c r="H45" i="16" s="1"/>
  <c r="D30" i="16"/>
  <c r="D43" i="16" s="1"/>
  <c r="J34" i="16"/>
  <c r="J47" i="16" s="1"/>
  <c r="J26" i="16"/>
  <c r="J39" i="16" s="1"/>
  <c r="E27" i="16"/>
  <c r="E40" i="16" s="1"/>
  <c r="J33" i="16"/>
  <c r="J46" i="16" s="1"/>
  <c r="J25" i="16"/>
  <c r="J38" i="16" s="1"/>
  <c r="E25" i="16"/>
  <c r="E38" i="16" s="1"/>
  <c r="D34" i="16"/>
  <c r="D47" i="16" s="1"/>
  <c r="J24" i="16"/>
  <c r="J37" i="16" s="1"/>
  <c r="G35" i="16"/>
  <c r="G48" i="16" s="1"/>
  <c r="F29" i="16"/>
  <c r="F42" i="16" s="1"/>
  <c r="J30" i="16"/>
  <c r="J43" i="16" s="1"/>
  <c r="E35" i="16"/>
  <c r="E48" i="16" s="1"/>
  <c r="I33" i="16"/>
  <c r="I46" i="16" s="1"/>
  <c r="I25" i="16"/>
  <c r="I38" i="16" s="1"/>
  <c r="H34" i="16"/>
  <c r="H47" i="16" s="1"/>
  <c r="H26" i="16"/>
  <c r="H39" i="16" s="1"/>
  <c r="G34" i="16"/>
  <c r="G47" i="16" s="1"/>
  <c r="E30" i="16"/>
  <c r="E43" i="16" s="1"/>
  <c r="D28" i="16"/>
  <c r="D41" i="16" s="1"/>
  <c r="E32" i="16"/>
  <c r="E45" i="16" s="1"/>
  <c r="F27" i="16"/>
  <c r="F40" i="16" s="1"/>
  <c r="J29" i="16"/>
  <c r="J42" i="16" s="1"/>
  <c r="E33" i="16"/>
  <c r="E46" i="16" s="1"/>
  <c r="D35" i="16"/>
  <c r="D48" i="16" s="1"/>
  <c r="H33" i="16"/>
  <c r="H46" i="16" s="1"/>
  <c r="H25" i="16"/>
  <c r="H38" i="16" s="1"/>
  <c r="G32" i="16"/>
  <c r="G45" i="16" s="1"/>
  <c r="E28" i="16"/>
  <c r="E41" i="16" s="1"/>
  <c r="D26" i="16"/>
  <c r="D39" i="16" s="1"/>
  <c r="J32" i="16"/>
  <c r="J45" i="16" s="1"/>
  <c r="F34" i="16"/>
  <c r="F47" i="16" s="1"/>
  <c r="F25" i="16"/>
  <c r="F38" i="16" s="1"/>
  <c r="J28" i="16"/>
  <c r="J41" i="16" s="1"/>
  <c r="E31" i="16"/>
  <c r="E44" i="16" s="1"/>
  <c r="D33" i="16"/>
  <c r="D46" i="16" s="1"/>
  <c r="G30" i="16"/>
  <c r="G43" i="16" s="1"/>
  <c r="E26" i="16"/>
  <c r="E39" i="16" s="1"/>
  <c r="D24" i="16"/>
  <c r="D37" i="16" s="1"/>
  <c r="E34" i="16"/>
  <c r="E47" i="16" s="1"/>
  <c r="J31" i="16"/>
  <c r="J44" i="16" s="1"/>
  <c r="F24" i="16"/>
  <c r="F37" i="16" s="1"/>
  <c r="J35" i="16"/>
  <c r="J48" i="16" s="1"/>
  <c r="E29" i="16"/>
  <c r="E42" i="16" s="1"/>
  <c r="H31" i="16"/>
  <c r="H44" i="16" s="1"/>
  <c r="E34" i="9"/>
  <c r="H31" i="13"/>
  <c r="P34" i="13"/>
  <c r="P27" i="13"/>
  <c r="E31" i="9"/>
  <c r="E28" i="9"/>
  <c r="O34" i="6"/>
  <c r="O27" i="6"/>
  <c r="H35" i="13"/>
  <c r="O37" i="12"/>
  <c r="O30" i="12"/>
  <c r="E30" i="9"/>
  <c r="K17" i="13"/>
  <c r="K23" i="13" s="1"/>
  <c r="E15" i="13"/>
  <c r="E21" i="13" s="1"/>
  <c r="I18" i="12"/>
  <c r="I24" i="12" s="1"/>
  <c r="I15" i="12"/>
  <c r="I21" i="12" s="1"/>
  <c r="P17" i="12"/>
  <c r="P23" i="12" s="1"/>
  <c r="P14" i="12"/>
  <c r="P20" i="12" s="1"/>
  <c r="P16" i="12"/>
  <c r="P22" i="12" s="1"/>
  <c r="H15" i="14"/>
  <c r="H21" i="14" s="1"/>
  <c r="E14" i="10"/>
  <c r="E20" i="10" s="1"/>
  <c r="N17" i="13"/>
  <c r="N23" i="13" s="1"/>
  <c r="C14" i="13"/>
  <c r="C20" i="13" s="1"/>
  <c r="L15" i="11"/>
  <c r="L21" i="11" s="1"/>
  <c r="L16" i="11"/>
  <c r="L22" i="11" s="1"/>
  <c r="P17" i="10"/>
  <c r="P23" i="10" s="1"/>
  <c r="H37" i="7"/>
  <c r="H30" i="7"/>
  <c r="F16" i="10"/>
  <c r="F22" i="10" s="1"/>
  <c r="L16" i="10"/>
  <c r="L22" i="10" s="1"/>
  <c r="L18" i="11"/>
  <c r="L24" i="11" s="1"/>
  <c r="P18" i="11"/>
  <c r="P24" i="11" s="1"/>
  <c r="P15" i="11"/>
  <c r="P21" i="11" s="1"/>
  <c r="Q17" i="9"/>
  <c r="Q23" i="9" s="1"/>
  <c r="G16" i="12"/>
  <c r="G22" i="12" s="1"/>
  <c r="G15" i="12"/>
  <c r="G21" i="12" s="1"/>
  <c r="K18" i="13"/>
  <c r="K24" i="13" s="1"/>
  <c r="H17" i="12"/>
  <c r="H23" i="12" s="1"/>
  <c r="H14" i="12"/>
  <c r="H20" i="12" s="1"/>
  <c r="F17" i="13"/>
  <c r="F23" i="13" s="1"/>
  <c r="E17" i="10"/>
  <c r="E23" i="10" s="1"/>
  <c r="P15" i="10"/>
  <c r="P21" i="10" s="1"/>
  <c r="H35" i="7"/>
  <c r="H28" i="7"/>
  <c r="D15" i="11"/>
  <c r="D21" i="11" s="1"/>
  <c r="P16" i="10"/>
  <c r="P22" i="10" s="1"/>
  <c r="D16" i="11"/>
  <c r="D22" i="11" s="1"/>
  <c r="H17" i="10"/>
  <c r="H23" i="10" s="1"/>
  <c r="P17" i="9"/>
  <c r="P23" i="9" s="1"/>
  <c r="D18" i="11"/>
  <c r="D24" i="11" s="1"/>
  <c r="I17" i="9"/>
  <c r="I23" i="9" s="1"/>
  <c r="F30" i="7"/>
  <c r="O36" i="6"/>
  <c r="O29" i="6"/>
  <c r="M15" i="13"/>
  <c r="M21" i="13" s="1"/>
  <c r="G17" i="11"/>
  <c r="G23" i="11" s="1"/>
  <c r="G14" i="11"/>
  <c r="G20" i="11" s="1"/>
  <c r="K15" i="14"/>
  <c r="K21" i="14" s="1"/>
  <c r="K16" i="14"/>
  <c r="K22" i="14" s="1"/>
  <c r="K17" i="14"/>
  <c r="K23" i="14" s="1"/>
  <c r="O35" i="12"/>
  <c r="M16" i="13"/>
  <c r="M22" i="13" s="1"/>
  <c r="Q17" i="11"/>
  <c r="Q23" i="11" s="1"/>
  <c r="Q17" i="12"/>
  <c r="Q23" i="12" s="1"/>
  <c r="H15" i="10"/>
  <c r="H21" i="10" s="1"/>
  <c r="J34" i="7"/>
  <c r="J27" i="7"/>
  <c r="H16" i="10"/>
  <c r="H22" i="10" s="1"/>
  <c r="Q18" i="9"/>
  <c r="Q24" i="9" s="1"/>
  <c r="O16" i="10"/>
  <c r="O22" i="10" s="1"/>
  <c r="K17" i="9"/>
  <c r="K23" i="9" s="1"/>
  <c r="L17" i="11"/>
  <c r="L23" i="11" s="1"/>
  <c r="E15" i="10"/>
  <c r="E21" i="10" s="1"/>
  <c r="H38" i="7"/>
  <c r="H31" i="7"/>
  <c r="K17" i="11"/>
  <c r="K23" i="11" s="1"/>
  <c r="H18" i="11"/>
  <c r="H24" i="11" s="1"/>
  <c r="H15" i="11"/>
  <c r="H21" i="11" s="1"/>
  <c r="P16" i="9"/>
  <c r="P22" i="9" s="1"/>
  <c r="K16" i="13"/>
  <c r="K22" i="13" s="1"/>
  <c r="C16" i="14"/>
  <c r="C22" i="14" s="1"/>
  <c r="O16" i="13"/>
  <c r="O22" i="13" s="1"/>
  <c r="M31" i="14"/>
  <c r="C17" i="14"/>
  <c r="C23" i="14" s="1"/>
  <c r="O17" i="13"/>
  <c r="O23" i="13" s="1"/>
  <c r="P18" i="12"/>
  <c r="P24" i="12" s="1"/>
  <c r="E16" i="13"/>
  <c r="E22" i="13" s="1"/>
  <c r="E18" i="10"/>
  <c r="E24" i="10" s="1"/>
  <c r="Q18" i="11"/>
  <c r="Q24" i="11" s="1"/>
  <c r="I17" i="12"/>
  <c r="I23" i="12" s="1"/>
  <c r="O15" i="10"/>
  <c r="O21" i="10" s="1"/>
  <c r="G16" i="10"/>
  <c r="G22" i="10" s="1"/>
  <c r="C17" i="9"/>
  <c r="C23" i="9" s="1"/>
  <c r="D17" i="11"/>
  <c r="D23" i="11" s="1"/>
  <c r="C17" i="11"/>
  <c r="C23" i="11" s="1"/>
  <c r="H16" i="9"/>
  <c r="H22" i="9" s="1"/>
  <c r="O37" i="6"/>
  <c r="J15" i="14"/>
  <c r="J21" i="14" s="1"/>
  <c r="G16" i="13"/>
  <c r="G22" i="13" s="1"/>
  <c r="J16" i="14"/>
  <c r="J22" i="14" s="1"/>
  <c r="F30" i="12"/>
  <c r="J17" i="14"/>
  <c r="J23" i="14" s="1"/>
  <c r="I16" i="12"/>
  <c r="I22" i="12" s="1"/>
  <c r="H18" i="12"/>
  <c r="H24" i="12" s="1"/>
  <c r="Q14" i="11"/>
  <c r="Q20" i="11" s="1"/>
  <c r="L15" i="13"/>
  <c r="L21" i="13" s="1"/>
  <c r="H16" i="12"/>
  <c r="H22" i="12" s="1"/>
  <c r="G15" i="10"/>
  <c r="G21" i="10" s="1"/>
  <c r="N15" i="10"/>
  <c r="N21" i="10" s="1"/>
  <c r="J16" i="9"/>
  <c r="J22" i="9" s="1"/>
  <c r="F28" i="7"/>
  <c r="N18" i="10"/>
  <c r="N24" i="10" s="1"/>
  <c r="K16" i="11"/>
  <c r="K22" i="11" s="1"/>
  <c r="J16" i="11"/>
  <c r="J22" i="11" s="1"/>
  <c r="J35" i="7"/>
  <c r="G15" i="11"/>
  <c r="G21" i="11" s="1"/>
  <c r="N15" i="13"/>
  <c r="N21" i="13" s="1"/>
  <c r="Q15" i="14"/>
  <c r="Q21" i="14" s="1"/>
  <c r="N16" i="13"/>
  <c r="N22" i="13" s="1"/>
  <c r="F36" i="12"/>
  <c r="F29" i="12"/>
  <c r="Q16" i="14"/>
  <c r="Q22" i="14" s="1"/>
  <c r="P15" i="12"/>
  <c r="P21" i="12" s="1"/>
  <c r="D15" i="13"/>
  <c r="D21" i="13" s="1"/>
  <c r="G18" i="12"/>
  <c r="G24" i="12" s="1"/>
  <c r="J37" i="7"/>
  <c r="J30" i="7"/>
  <c r="G18" i="11"/>
  <c r="G24" i="11" s="1"/>
  <c r="K16" i="9"/>
  <c r="K22" i="9" s="1"/>
  <c r="J38" i="7"/>
  <c r="F15" i="10"/>
  <c r="F21" i="10" s="1"/>
  <c r="Q15" i="9"/>
  <c r="Q21" i="9" s="1"/>
  <c r="C16" i="11"/>
  <c r="C22" i="11" s="1"/>
  <c r="O17" i="10"/>
  <c r="O23" i="10" s="1"/>
  <c r="Q15" i="11"/>
  <c r="Q21" i="11" s="1"/>
  <c r="C15" i="9"/>
  <c r="C21" i="9" s="1"/>
  <c r="F15" i="13"/>
  <c r="F21" i="13" s="1"/>
  <c r="I15" i="14"/>
  <c r="I21" i="14" s="1"/>
  <c r="F16" i="13"/>
  <c r="F22" i="13" s="1"/>
  <c r="M18" i="12"/>
  <c r="M24" i="12" s="1"/>
  <c r="Q18" i="12"/>
  <c r="Q24" i="12" s="1"/>
  <c r="Q15" i="12"/>
  <c r="Q21" i="12" s="1"/>
  <c r="I16" i="14"/>
  <c r="I22" i="14" s="1"/>
  <c r="H15" i="12"/>
  <c r="H21" i="12" s="1"/>
  <c r="G17" i="12"/>
  <c r="G23" i="12" s="1"/>
  <c r="K14" i="13"/>
  <c r="K20" i="13" s="1"/>
  <c r="M16" i="12"/>
  <c r="M22" i="12" s="1"/>
  <c r="O17" i="11"/>
  <c r="O23" i="11" s="1"/>
  <c r="O14" i="11"/>
  <c r="O20" i="11" s="1"/>
  <c r="O15" i="11"/>
  <c r="O21" i="11" s="1"/>
  <c r="K15" i="9"/>
  <c r="K21" i="9" s="1"/>
  <c r="C16" i="9"/>
  <c r="C22" i="9" s="1"/>
  <c r="I15" i="9"/>
  <c r="I21" i="9" s="1"/>
  <c r="D34" i="8"/>
  <c r="J15" i="11"/>
  <c r="J21" i="11" s="1"/>
  <c r="G17" i="10"/>
  <c r="G23" i="10" s="1"/>
  <c r="F29" i="7"/>
  <c r="M17" i="12"/>
  <c r="M23" i="12" s="1"/>
  <c r="I15" i="11"/>
  <c r="I21" i="11" s="1"/>
  <c r="I36" i="11" s="1"/>
  <c r="F18" i="10"/>
  <c r="F24" i="10" s="1"/>
  <c r="C27" i="8" l="1"/>
  <c r="J29" i="7"/>
  <c r="P37" i="7"/>
  <c r="J31" i="7"/>
  <c r="K30" i="8"/>
  <c r="M35" i="8"/>
  <c r="E29" i="9"/>
  <c r="E36" i="9"/>
  <c r="E35" i="9"/>
  <c r="L36" i="9"/>
  <c r="O38" i="12"/>
  <c r="E38" i="9"/>
  <c r="L35" i="9"/>
  <c r="E27" i="9"/>
  <c r="F34" i="12"/>
  <c r="K35" i="8"/>
  <c r="H29" i="7"/>
  <c r="K37" i="8"/>
  <c r="M34" i="8"/>
  <c r="K31" i="8"/>
  <c r="K29" i="8"/>
  <c r="K36" i="8"/>
  <c r="D31" i="8"/>
  <c r="K38" i="8"/>
  <c r="K28" i="8"/>
  <c r="Q38" i="8"/>
  <c r="C37" i="8"/>
  <c r="M37" i="8"/>
  <c r="K27" i="8"/>
  <c r="K34" i="8"/>
  <c r="C34" i="8"/>
  <c r="C30" i="8"/>
  <c r="P31" i="13"/>
  <c r="H29" i="13"/>
  <c r="H36" i="13"/>
  <c r="P38" i="13"/>
  <c r="P30" i="13"/>
  <c r="P28" i="13"/>
  <c r="P37" i="13"/>
  <c r="P35" i="13"/>
  <c r="H30" i="13"/>
  <c r="P29" i="13"/>
  <c r="H34" i="13"/>
  <c r="H28" i="13"/>
  <c r="H38" i="13"/>
  <c r="M35" i="14"/>
  <c r="M27" i="14"/>
  <c r="M38" i="14"/>
  <c r="M34" i="14"/>
  <c r="M28" i="14"/>
  <c r="M29" i="14"/>
  <c r="M36" i="14"/>
  <c r="O28" i="6"/>
  <c r="F36" i="6"/>
  <c r="N29" i="6"/>
  <c r="O38" i="6"/>
  <c r="O35" i="6"/>
  <c r="O31" i="6"/>
  <c r="N30" i="6"/>
  <c r="F30" i="6"/>
  <c r="N34" i="6"/>
  <c r="F31" i="6"/>
  <c r="N35" i="6"/>
  <c r="N37" i="6"/>
  <c r="N28" i="6"/>
  <c r="F38" i="6"/>
  <c r="N27" i="6"/>
  <c r="N36" i="6"/>
  <c r="F29" i="6"/>
  <c r="D30" i="6"/>
  <c r="N31" i="6"/>
  <c r="F28" i="6"/>
  <c r="K29" i="16"/>
  <c r="K42" i="16" s="1"/>
  <c r="K34" i="16"/>
  <c r="K47" i="16" s="1"/>
  <c r="K31" i="16"/>
  <c r="K44" i="16" s="1"/>
  <c r="K32" i="16"/>
  <c r="K45" i="16" s="1"/>
  <c r="K26" i="16"/>
  <c r="K39" i="16" s="1"/>
  <c r="K25" i="16"/>
  <c r="K38" i="16" s="1"/>
  <c r="K35" i="16"/>
  <c r="K48" i="16" s="1"/>
  <c r="K33" i="16"/>
  <c r="K46" i="16" s="1"/>
  <c r="K24" i="16"/>
  <c r="K37" i="16" s="1"/>
  <c r="K28" i="16"/>
  <c r="K41" i="16" s="1"/>
  <c r="K27" i="16"/>
  <c r="K40" i="16" s="1"/>
  <c r="O34" i="12"/>
  <c r="F35" i="6"/>
  <c r="K37" i="7"/>
  <c r="C29" i="8"/>
  <c r="F27" i="6"/>
  <c r="F31" i="12"/>
  <c r="Q36" i="8"/>
  <c r="Q30" i="8"/>
  <c r="K29" i="7"/>
  <c r="H27" i="7"/>
  <c r="L37" i="9"/>
  <c r="Q29" i="8"/>
  <c r="F34" i="6"/>
  <c r="Q37" i="8"/>
  <c r="K36" i="7"/>
  <c r="H34" i="7"/>
  <c r="L28" i="9"/>
  <c r="F28" i="9"/>
  <c r="O27" i="12"/>
  <c r="D30" i="7"/>
  <c r="K31" i="7"/>
  <c r="F35" i="12"/>
  <c r="F28" i="12"/>
  <c r="Q28" i="8"/>
  <c r="L31" i="9"/>
  <c r="C35" i="8"/>
  <c r="K38" i="7"/>
  <c r="L27" i="9"/>
  <c r="L34" i="9"/>
  <c r="L29" i="9"/>
  <c r="O36" i="12"/>
  <c r="Q27" i="8"/>
  <c r="K27" i="7"/>
  <c r="M29" i="8"/>
  <c r="O29" i="12"/>
  <c r="F38" i="12"/>
  <c r="C36" i="8"/>
  <c r="C28" i="8"/>
  <c r="C31" i="8"/>
  <c r="Q35" i="8"/>
  <c r="L38" i="9"/>
  <c r="F27" i="12"/>
  <c r="C38" i="8"/>
  <c r="Q34" i="8"/>
  <c r="O31" i="12"/>
  <c r="K28" i="7"/>
  <c r="Q31" i="8"/>
  <c r="K34" i="7"/>
  <c r="L30" i="9"/>
  <c r="K30" i="7"/>
  <c r="L30" i="7"/>
  <c r="D28" i="12"/>
  <c r="H38" i="8"/>
  <c r="O27" i="14"/>
  <c r="F35" i="9"/>
  <c r="O38" i="14"/>
  <c r="D36" i="12"/>
  <c r="F29" i="9"/>
  <c r="F34" i="9"/>
  <c r="O30" i="14"/>
  <c r="F38" i="9"/>
  <c r="P29" i="7"/>
  <c r="P36" i="8"/>
  <c r="O31" i="14"/>
  <c r="H35" i="8"/>
  <c r="P30" i="7"/>
  <c r="H37" i="8"/>
  <c r="P27" i="7"/>
  <c r="P38" i="7"/>
  <c r="F36" i="9"/>
  <c r="H30" i="8"/>
  <c r="O34" i="14"/>
  <c r="O38" i="9"/>
  <c r="B45" i="19"/>
  <c r="H28" i="8"/>
  <c r="F37" i="9"/>
  <c r="P36" i="7"/>
  <c r="P28" i="7"/>
  <c r="C28" i="13"/>
  <c r="P34" i="7"/>
  <c r="P31" i="7"/>
  <c r="F30" i="9"/>
  <c r="F31" i="7"/>
  <c r="F31" i="9"/>
  <c r="F27" i="9"/>
  <c r="P35" i="7"/>
  <c r="F38" i="7"/>
  <c r="O29" i="7"/>
  <c r="D35" i="7"/>
  <c r="E35" i="12"/>
  <c r="Q37" i="6"/>
  <c r="H34" i="8"/>
  <c r="D30" i="12"/>
  <c r="L27" i="7"/>
  <c r="M29" i="6"/>
  <c r="G36" i="9"/>
  <c r="G31" i="9"/>
  <c r="E34" i="14"/>
  <c r="L35" i="14"/>
  <c r="N37" i="7"/>
  <c r="D28" i="9"/>
  <c r="P34" i="8"/>
  <c r="G27" i="6"/>
  <c r="M31" i="11"/>
  <c r="D31" i="14"/>
  <c r="F36" i="8"/>
  <c r="O30" i="8"/>
  <c r="O36" i="9"/>
  <c r="O35" i="14"/>
  <c r="O29" i="14"/>
  <c r="L31" i="7"/>
  <c r="L30" i="6"/>
  <c r="P31" i="8"/>
  <c r="J27" i="13"/>
  <c r="C36" i="7"/>
  <c r="B44" i="21"/>
  <c r="G29" i="7"/>
  <c r="M37" i="6"/>
  <c r="L37" i="7"/>
  <c r="D31" i="7"/>
  <c r="C35" i="7"/>
  <c r="C38" i="7"/>
  <c r="D31" i="12"/>
  <c r="H30" i="9"/>
  <c r="M30" i="6"/>
  <c r="B46" i="20"/>
  <c r="P27" i="8"/>
  <c r="O38" i="7"/>
  <c r="P38" i="8"/>
  <c r="O30" i="9"/>
  <c r="D38" i="12"/>
  <c r="M36" i="6"/>
  <c r="P28" i="8"/>
  <c r="C27" i="7"/>
  <c r="L34" i="7"/>
  <c r="M34" i="11"/>
  <c r="F34" i="11"/>
  <c r="H27" i="6"/>
  <c r="Q30" i="13"/>
  <c r="I38" i="8"/>
  <c r="E35" i="8"/>
  <c r="C31" i="12"/>
  <c r="J31" i="6"/>
  <c r="B45" i="21"/>
  <c r="O28" i="8"/>
  <c r="M30" i="11"/>
  <c r="P37" i="8"/>
  <c r="O31" i="7"/>
  <c r="E29" i="12"/>
  <c r="M35" i="6"/>
  <c r="G36" i="6"/>
  <c r="O36" i="7"/>
  <c r="P30" i="8"/>
  <c r="O35" i="7"/>
  <c r="J37" i="13"/>
  <c r="E36" i="12"/>
  <c r="O30" i="7"/>
  <c r="D34" i="12"/>
  <c r="O37" i="14"/>
  <c r="O28" i="14"/>
  <c r="O36" i="14"/>
  <c r="O36" i="8"/>
  <c r="E31" i="12"/>
  <c r="M28" i="6"/>
  <c r="P35" i="8"/>
  <c r="D34" i="7"/>
  <c r="G28" i="7"/>
  <c r="L36" i="7"/>
  <c r="O31" i="9"/>
  <c r="O37" i="7"/>
  <c r="J35" i="13"/>
  <c r="M36" i="11"/>
  <c r="D27" i="12"/>
  <c r="D38" i="7"/>
  <c r="J38" i="13"/>
  <c r="J30" i="13"/>
  <c r="M34" i="6"/>
  <c r="K35" i="11"/>
  <c r="E37" i="12"/>
  <c r="O34" i="7"/>
  <c r="P27" i="11"/>
  <c r="N38" i="13"/>
  <c r="Q36" i="7"/>
  <c r="C28" i="6"/>
  <c r="L31" i="8"/>
  <c r="Q30" i="7"/>
  <c r="C36" i="10"/>
  <c r="K27" i="6"/>
  <c r="N36" i="8"/>
  <c r="D28" i="6"/>
  <c r="N28" i="9"/>
  <c r="D28" i="10"/>
  <c r="F30" i="14"/>
  <c r="C36" i="13"/>
  <c r="E35" i="7"/>
  <c r="E29" i="7"/>
  <c r="K35" i="10"/>
  <c r="K30" i="10"/>
  <c r="E28" i="11"/>
  <c r="E34" i="11"/>
  <c r="M35" i="7"/>
  <c r="M36" i="7"/>
  <c r="M29" i="7"/>
  <c r="M34" i="7"/>
  <c r="K37" i="12"/>
  <c r="K34" i="12"/>
  <c r="G38" i="8"/>
  <c r="G28" i="8"/>
  <c r="G31" i="8"/>
  <c r="G36" i="8"/>
  <c r="D30" i="14"/>
  <c r="D36" i="14"/>
  <c r="D38" i="14"/>
  <c r="D35" i="14"/>
  <c r="D34" i="14"/>
  <c r="D27" i="14"/>
  <c r="G38" i="9"/>
  <c r="F28" i="8"/>
  <c r="F34" i="8"/>
  <c r="F37" i="8"/>
  <c r="F29" i="8"/>
  <c r="F27" i="8"/>
  <c r="F30" i="8"/>
  <c r="F38" i="8"/>
  <c r="G35" i="6"/>
  <c r="G37" i="6"/>
  <c r="G29" i="6"/>
  <c r="G31" i="6"/>
  <c r="G34" i="6"/>
  <c r="G28" i="6"/>
  <c r="G30" i="6"/>
  <c r="C37" i="10"/>
  <c r="C30" i="6"/>
  <c r="Q38" i="10"/>
  <c r="N29" i="8"/>
  <c r="G30" i="8"/>
  <c r="G37" i="9"/>
  <c r="E37" i="14"/>
  <c r="C34" i="10"/>
  <c r="M27" i="7"/>
  <c r="G34" i="8"/>
  <c r="J37" i="9"/>
  <c r="D34" i="6"/>
  <c r="K34" i="6"/>
  <c r="N31" i="12"/>
  <c r="I35" i="13"/>
  <c r="I37" i="13"/>
  <c r="N29" i="7"/>
  <c r="G35" i="9"/>
  <c r="G34" i="9"/>
  <c r="G29" i="9"/>
  <c r="G28" i="9"/>
  <c r="G27" i="9"/>
  <c r="M37" i="10"/>
  <c r="C29" i="13"/>
  <c r="C35" i="13"/>
  <c r="C38" i="13"/>
  <c r="C31" i="13"/>
  <c r="E36" i="11"/>
  <c r="E31" i="14"/>
  <c r="E38" i="14"/>
  <c r="D31" i="6"/>
  <c r="D28" i="14"/>
  <c r="F31" i="8"/>
  <c r="C35" i="10"/>
  <c r="P28" i="6"/>
  <c r="N36" i="9"/>
  <c r="I34" i="13"/>
  <c r="E31" i="11"/>
  <c r="M30" i="7"/>
  <c r="G38" i="6"/>
  <c r="C34" i="12"/>
  <c r="G37" i="8"/>
  <c r="E36" i="14"/>
  <c r="E35" i="14"/>
  <c r="G29" i="8"/>
  <c r="E27" i="11"/>
  <c r="D37" i="14"/>
  <c r="D29" i="14"/>
  <c r="F35" i="8"/>
  <c r="D37" i="7"/>
  <c r="F36" i="7"/>
  <c r="O28" i="9"/>
  <c r="J34" i="13"/>
  <c r="G30" i="9"/>
  <c r="G31" i="7"/>
  <c r="J28" i="13"/>
  <c r="L28" i="7"/>
  <c r="F35" i="7"/>
  <c r="L38" i="7"/>
  <c r="O37" i="9"/>
  <c r="G30" i="13"/>
  <c r="D36" i="7"/>
  <c r="H29" i="8"/>
  <c r="Q35" i="10"/>
  <c r="M30" i="8"/>
  <c r="G35" i="8"/>
  <c r="J36" i="13"/>
  <c r="F37" i="7"/>
  <c r="M38" i="11"/>
  <c r="M31" i="6"/>
  <c r="M31" i="8"/>
  <c r="M28" i="11"/>
  <c r="J29" i="13"/>
  <c r="M36" i="8"/>
  <c r="O27" i="9"/>
  <c r="J31" i="13"/>
  <c r="H27" i="8"/>
  <c r="O27" i="7"/>
  <c r="D37" i="12"/>
  <c r="O28" i="7"/>
  <c r="D35" i="12"/>
  <c r="M27" i="6"/>
  <c r="M29" i="11"/>
  <c r="E30" i="14"/>
  <c r="F27" i="7"/>
  <c r="M37" i="11"/>
  <c r="H37" i="11"/>
  <c r="C34" i="9"/>
  <c r="G38" i="10"/>
  <c r="O35" i="9"/>
  <c r="D29" i="12"/>
  <c r="D28" i="7"/>
  <c r="C35" i="11"/>
  <c r="M27" i="8"/>
  <c r="G27" i="8"/>
  <c r="E27" i="14"/>
  <c r="L35" i="7"/>
  <c r="G30" i="7"/>
  <c r="M28" i="8"/>
  <c r="H36" i="8"/>
  <c r="O29" i="9"/>
  <c r="L34" i="11"/>
  <c r="H31" i="8"/>
  <c r="E29" i="14"/>
  <c r="M38" i="6"/>
  <c r="M38" i="8"/>
  <c r="M35" i="11"/>
  <c r="E28" i="14"/>
  <c r="O34" i="9"/>
  <c r="M27" i="11"/>
  <c r="L29" i="7"/>
  <c r="I31" i="8"/>
  <c r="I37" i="6"/>
  <c r="E36" i="8"/>
  <c r="N31" i="7"/>
  <c r="D37" i="10"/>
  <c r="I37" i="10"/>
  <c r="M35" i="9"/>
  <c r="J37" i="12"/>
  <c r="D35" i="6"/>
  <c r="Q34" i="13"/>
  <c r="C27" i="6"/>
  <c r="M28" i="7"/>
  <c r="I37" i="8"/>
  <c r="C38" i="10"/>
  <c r="E37" i="11"/>
  <c r="I36" i="13"/>
  <c r="N27" i="8"/>
  <c r="N27" i="7"/>
  <c r="M38" i="9"/>
  <c r="Q34" i="10"/>
  <c r="K38" i="14"/>
  <c r="L31" i="13"/>
  <c r="N38" i="11"/>
  <c r="L30" i="12"/>
  <c r="N29" i="12"/>
  <c r="C37" i="7"/>
  <c r="D35" i="9"/>
  <c r="B43" i="19"/>
  <c r="B47" i="19"/>
  <c r="B44" i="19"/>
  <c r="B46" i="19"/>
  <c r="B45" i="20"/>
  <c r="B43" i="20"/>
  <c r="B47" i="20"/>
  <c r="B44" i="20"/>
  <c r="B43" i="21"/>
  <c r="B47" i="21"/>
  <c r="B46" i="21"/>
  <c r="G30" i="14"/>
  <c r="G31" i="14"/>
  <c r="G29" i="14"/>
  <c r="D28" i="8"/>
  <c r="D35" i="8"/>
  <c r="D29" i="8"/>
  <c r="L29" i="12"/>
  <c r="L27" i="12"/>
  <c r="I27" i="7"/>
  <c r="I36" i="7"/>
  <c r="L35" i="6"/>
  <c r="L29" i="6"/>
  <c r="L31" i="6"/>
  <c r="L27" i="6"/>
  <c r="L34" i="14"/>
  <c r="L29" i="14"/>
  <c r="N38" i="9"/>
  <c r="N29" i="9"/>
  <c r="N31" i="14"/>
  <c r="L28" i="10"/>
  <c r="L27" i="10"/>
  <c r="F27" i="14"/>
  <c r="F36" i="14"/>
  <c r="F37" i="14"/>
  <c r="C28" i="7"/>
  <c r="C34" i="7"/>
  <c r="I27" i="10"/>
  <c r="C30" i="7"/>
  <c r="D37" i="6"/>
  <c r="D30" i="9"/>
  <c r="I35" i="10"/>
  <c r="O34" i="13"/>
  <c r="N27" i="14"/>
  <c r="N36" i="12"/>
  <c r="C30" i="13"/>
  <c r="C37" i="13"/>
  <c r="D38" i="9"/>
  <c r="F28" i="14"/>
  <c r="I31" i="10"/>
  <c r="Q30" i="10"/>
  <c r="M36" i="9"/>
  <c r="E30" i="11"/>
  <c r="D27" i="7"/>
  <c r="D29" i="7"/>
  <c r="Q27" i="6"/>
  <c r="J35" i="8"/>
  <c r="J31" i="8"/>
  <c r="G34" i="7"/>
  <c r="G36" i="7"/>
  <c r="G37" i="7"/>
  <c r="G38" i="7"/>
  <c r="G27" i="7"/>
  <c r="G35" i="7"/>
  <c r="L29" i="8"/>
  <c r="N36" i="11"/>
  <c r="E38" i="6"/>
  <c r="E34" i="12"/>
  <c r="E28" i="12"/>
  <c r="E30" i="12"/>
  <c r="C29" i="10"/>
  <c r="Q27" i="10"/>
  <c r="I29" i="10"/>
  <c r="D27" i="6"/>
  <c r="J36" i="10"/>
  <c r="J38" i="10"/>
  <c r="N37" i="14"/>
  <c r="N30" i="14"/>
  <c r="L37" i="12"/>
  <c r="E28" i="8"/>
  <c r="D36" i="10"/>
  <c r="D30" i="10"/>
  <c r="D27" i="10"/>
  <c r="D35" i="10"/>
  <c r="D31" i="10"/>
  <c r="D29" i="10"/>
  <c r="P38" i="6"/>
  <c r="P36" i="6"/>
  <c r="P35" i="6"/>
  <c r="O27" i="8"/>
  <c r="O29" i="8"/>
  <c r="O38" i="8"/>
  <c r="O37" i="8"/>
  <c r="O31" i="8"/>
  <c r="I30" i="10"/>
  <c r="I28" i="10"/>
  <c r="J31" i="12"/>
  <c r="J35" i="12"/>
  <c r="J36" i="12"/>
  <c r="J27" i="12"/>
  <c r="D38" i="6"/>
  <c r="I28" i="8"/>
  <c r="F29" i="14"/>
  <c r="P27" i="6"/>
  <c r="E31" i="8"/>
  <c r="H34" i="11"/>
  <c r="G34" i="14"/>
  <c r="G37" i="14"/>
  <c r="O35" i="8"/>
  <c r="D34" i="9"/>
  <c r="J30" i="12"/>
  <c r="D30" i="8"/>
  <c r="D31" i="9"/>
  <c r="J34" i="12"/>
  <c r="M30" i="9"/>
  <c r="N38" i="14"/>
  <c r="D36" i="8"/>
  <c r="F37" i="11"/>
  <c r="F30" i="11"/>
  <c r="E31" i="6"/>
  <c r="E30" i="6"/>
  <c r="E37" i="6"/>
  <c r="M34" i="10"/>
  <c r="M29" i="10"/>
  <c r="M28" i="10"/>
  <c r="Q29" i="7"/>
  <c r="Q27" i="7"/>
  <c r="J28" i="8"/>
  <c r="J36" i="8"/>
  <c r="H36" i="14"/>
  <c r="L30" i="8"/>
  <c r="L37" i="8"/>
  <c r="Q37" i="7"/>
  <c r="P28" i="14"/>
  <c r="P34" i="14"/>
  <c r="N35" i="12"/>
  <c r="E29" i="11"/>
  <c r="E38" i="11"/>
  <c r="E35" i="11"/>
  <c r="I30" i="13"/>
  <c r="I31" i="13"/>
  <c r="I27" i="13"/>
  <c r="I28" i="13"/>
  <c r="C31" i="10"/>
  <c r="C30" i="10"/>
  <c r="L38" i="14"/>
  <c r="I34" i="7"/>
  <c r="I28" i="7"/>
  <c r="K36" i="12"/>
  <c r="K27" i="12"/>
  <c r="K30" i="12"/>
  <c r="K35" i="12"/>
  <c r="K29" i="12"/>
  <c r="K28" i="12"/>
  <c r="K38" i="12"/>
  <c r="N30" i="7"/>
  <c r="I29" i="13"/>
  <c r="K31" i="6"/>
  <c r="K35" i="6"/>
  <c r="K36" i="6"/>
  <c r="K38" i="6"/>
  <c r="C36" i="12"/>
  <c r="C27" i="12"/>
  <c r="C28" i="12"/>
  <c r="C30" i="12"/>
  <c r="C29" i="12"/>
  <c r="N38" i="8"/>
  <c r="N37" i="8"/>
  <c r="N31" i="8"/>
  <c r="N30" i="8"/>
  <c r="N34" i="8"/>
  <c r="N35" i="8"/>
  <c r="J38" i="6"/>
  <c r="J35" i="6"/>
  <c r="J36" i="6"/>
  <c r="J34" i="6"/>
  <c r="J28" i="6"/>
  <c r="J29" i="6"/>
  <c r="N35" i="7"/>
  <c r="N36" i="7"/>
  <c r="N28" i="7"/>
  <c r="D27" i="9"/>
  <c r="D36" i="9"/>
  <c r="D29" i="9"/>
  <c r="M31" i="9"/>
  <c r="M29" i="9"/>
  <c r="M34" i="9"/>
  <c r="M37" i="9"/>
  <c r="M27" i="9"/>
  <c r="F38" i="14"/>
  <c r="F31" i="14"/>
  <c r="M38" i="7"/>
  <c r="M31" i="7"/>
  <c r="D29" i="6"/>
  <c r="Q31" i="10"/>
  <c r="Q28" i="10"/>
  <c r="P30" i="6"/>
  <c r="F27" i="10"/>
  <c r="N30" i="11"/>
  <c r="H31" i="6"/>
  <c r="H30" i="11"/>
  <c r="C37" i="12"/>
  <c r="I34" i="10"/>
  <c r="N28" i="14"/>
  <c r="C35" i="12"/>
  <c r="L34" i="8"/>
  <c r="K34" i="9"/>
  <c r="P31" i="6"/>
  <c r="J38" i="12"/>
  <c r="K37" i="6"/>
  <c r="J30" i="6"/>
  <c r="P34" i="6"/>
  <c r="D38" i="10"/>
  <c r="K36" i="10"/>
  <c r="D37" i="9"/>
  <c r="Q31" i="6"/>
  <c r="P37" i="6"/>
  <c r="I29" i="6"/>
  <c r="E34" i="7"/>
  <c r="C27" i="10"/>
  <c r="M37" i="7"/>
  <c r="H34" i="6"/>
  <c r="K29" i="6"/>
  <c r="H34" i="9"/>
  <c r="C28" i="10"/>
  <c r="K30" i="6"/>
  <c r="P29" i="6"/>
  <c r="J37" i="6"/>
  <c r="K28" i="6"/>
  <c r="C31" i="7"/>
  <c r="N34" i="7"/>
  <c r="D36" i="6"/>
  <c r="N28" i="8"/>
  <c r="D34" i="10"/>
  <c r="E37" i="13"/>
  <c r="F38" i="11"/>
  <c r="F34" i="14"/>
  <c r="I38" i="13"/>
  <c r="L36" i="12"/>
  <c r="H30" i="6"/>
  <c r="C29" i="7"/>
  <c r="F35" i="14"/>
  <c r="I38" i="10"/>
  <c r="Q37" i="10"/>
  <c r="C38" i="12"/>
  <c r="J29" i="12"/>
  <c r="K31" i="12"/>
  <c r="O34" i="8"/>
  <c r="M28" i="9"/>
  <c r="Q36" i="10"/>
  <c r="J27" i="6"/>
  <c r="I36" i="10"/>
  <c r="J28" i="12"/>
  <c r="N38" i="7"/>
  <c r="P34" i="9"/>
  <c r="Q36" i="9"/>
  <c r="D34" i="13"/>
  <c r="M37" i="13"/>
  <c r="Q29" i="10"/>
  <c r="C29" i="6"/>
  <c r="N29" i="11"/>
  <c r="K37" i="10"/>
  <c r="N35" i="9"/>
  <c r="K27" i="10"/>
  <c r="L28" i="12"/>
  <c r="Q37" i="13"/>
  <c r="N38" i="12"/>
  <c r="E37" i="8"/>
  <c r="E28" i="6"/>
  <c r="N35" i="11"/>
  <c r="L37" i="13"/>
  <c r="Q31" i="13"/>
  <c r="I29" i="8"/>
  <c r="E36" i="7"/>
  <c r="I28" i="6"/>
  <c r="L37" i="6"/>
  <c r="E38" i="8"/>
  <c r="L31" i="10"/>
  <c r="M35" i="10"/>
  <c r="F31" i="11"/>
  <c r="I30" i="6"/>
  <c r="Q28" i="6"/>
  <c r="I35" i="7"/>
  <c r="D38" i="8"/>
  <c r="N34" i="11"/>
  <c r="N31" i="11"/>
  <c r="Q28" i="13"/>
  <c r="N34" i="14"/>
  <c r="H37" i="6"/>
  <c r="L27" i="13"/>
  <c r="E29" i="8"/>
  <c r="L36" i="8"/>
  <c r="J38" i="8"/>
  <c r="L28" i="8"/>
  <c r="I27" i="6"/>
  <c r="L28" i="6"/>
  <c r="Q28" i="7"/>
  <c r="M36" i="10"/>
  <c r="G28" i="14"/>
  <c r="P31" i="14"/>
  <c r="Q30" i="6"/>
  <c r="H28" i="6"/>
  <c r="C37" i="6"/>
  <c r="D37" i="8"/>
  <c r="Q34" i="6"/>
  <c r="E29" i="6"/>
  <c r="M38" i="10"/>
  <c r="N27" i="9"/>
  <c r="M30" i="10"/>
  <c r="L31" i="12"/>
  <c r="N30" i="12"/>
  <c r="I30" i="7"/>
  <c r="J30" i="10"/>
  <c r="M27" i="10"/>
  <c r="L30" i="14"/>
  <c r="P37" i="14"/>
  <c r="Q34" i="7"/>
  <c r="L38" i="6"/>
  <c r="L34" i="12"/>
  <c r="L36" i="6"/>
  <c r="G36" i="14"/>
  <c r="L36" i="14"/>
  <c r="L34" i="6"/>
  <c r="Q38" i="6"/>
  <c r="E37" i="7"/>
  <c r="I38" i="6"/>
  <c r="E34" i="6"/>
  <c r="G38" i="13"/>
  <c r="I27" i="9"/>
  <c r="H38" i="6"/>
  <c r="M34" i="12"/>
  <c r="N27" i="12"/>
  <c r="P29" i="14"/>
  <c r="N35" i="14"/>
  <c r="Q29" i="6"/>
  <c r="Q31" i="7"/>
  <c r="H29" i="6"/>
  <c r="C36" i="6"/>
  <c r="I38" i="7"/>
  <c r="E27" i="8"/>
  <c r="I34" i="8"/>
  <c r="J35" i="10"/>
  <c r="J34" i="10"/>
  <c r="P35" i="9"/>
  <c r="N34" i="12"/>
  <c r="L38" i="13"/>
  <c r="P36" i="14"/>
  <c r="Q36" i="6"/>
  <c r="Q38" i="7"/>
  <c r="P30" i="11"/>
  <c r="F35" i="11"/>
  <c r="K34" i="10"/>
  <c r="L35" i="12"/>
  <c r="H36" i="6"/>
  <c r="E30" i="8"/>
  <c r="E35" i="6"/>
  <c r="N28" i="11"/>
  <c r="K28" i="10"/>
  <c r="N36" i="14"/>
  <c r="Q38" i="13"/>
  <c r="Q29" i="13"/>
  <c r="I36" i="8"/>
  <c r="C38" i="6"/>
  <c r="I35" i="6"/>
  <c r="N29" i="14"/>
  <c r="Q27" i="13"/>
  <c r="J30" i="8"/>
  <c r="H27" i="11"/>
  <c r="Q35" i="6"/>
  <c r="P31" i="9"/>
  <c r="N27" i="11"/>
  <c r="Q35" i="13"/>
  <c r="N30" i="9"/>
  <c r="H29" i="14"/>
  <c r="L35" i="8"/>
  <c r="I34" i="6"/>
  <c r="Q35" i="7"/>
  <c r="N31" i="9"/>
  <c r="G35" i="14"/>
  <c r="P38" i="14"/>
  <c r="H35" i="6"/>
  <c r="E28" i="7"/>
  <c r="L27" i="11"/>
  <c r="E36" i="6"/>
  <c r="M31" i="10"/>
  <c r="N34" i="9"/>
  <c r="L38" i="12"/>
  <c r="N37" i="12"/>
  <c r="I37" i="7"/>
  <c r="J37" i="10"/>
  <c r="L37" i="14"/>
  <c r="P30" i="14"/>
  <c r="L27" i="14"/>
  <c r="P35" i="14"/>
  <c r="C34" i="6"/>
  <c r="E31" i="7"/>
  <c r="K38" i="10"/>
  <c r="J34" i="8"/>
  <c r="I31" i="6"/>
  <c r="E38" i="7"/>
  <c r="I36" i="6"/>
  <c r="I31" i="7"/>
  <c r="I27" i="8"/>
  <c r="J28" i="10"/>
  <c r="J27" i="10"/>
  <c r="G38" i="14"/>
  <c r="I35" i="8"/>
  <c r="E30" i="7"/>
  <c r="J31" i="11"/>
  <c r="E27" i="7"/>
  <c r="D27" i="8"/>
  <c r="E34" i="8"/>
  <c r="K27" i="9"/>
  <c r="P29" i="11"/>
  <c r="O34" i="10"/>
  <c r="L27" i="8"/>
  <c r="C35" i="6"/>
  <c r="P37" i="11"/>
  <c r="F28" i="11"/>
  <c r="N31" i="13"/>
  <c r="I30" i="8"/>
  <c r="K29" i="10"/>
  <c r="I27" i="12"/>
  <c r="N28" i="12"/>
  <c r="Q36" i="13"/>
  <c r="C31" i="6"/>
  <c r="F27" i="11"/>
  <c r="G27" i="14"/>
  <c r="J37" i="8"/>
  <c r="H38" i="10"/>
  <c r="J31" i="10"/>
  <c r="E38" i="13"/>
  <c r="N37" i="9"/>
  <c r="J29" i="10"/>
  <c r="J29" i="8"/>
  <c r="F29" i="11"/>
  <c r="L37" i="10"/>
  <c r="H34" i="14"/>
  <c r="E27" i="13"/>
  <c r="I29" i="7"/>
  <c r="L28" i="14"/>
  <c r="L31" i="14"/>
  <c r="P27" i="14"/>
  <c r="L38" i="8"/>
  <c r="I36" i="9"/>
  <c r="Q38" i="14"/>
  <c r="I38" i="11"/>
  <c r="C27" i="14"/>
  <c r="L34" i="13"/>
  <c r="F27" i="13"/>
  <c r="E30" i="13"/>
  <c r="G27" i="13"/>
  <c r="J31" i="9"/>
  <c r="J27" i="9"/>
  <c r="H27" i="14"/>
  <c r="G37" i="13"/>
  <c r="P38" i="10"/>
  <c r="I34" i="12"/>
  <c r="E34" i="13"/>
  <c r="C34" i="14"/>
  <c r="H37" i="14"/>
  <c r="D37" i="13"/>
  <c r="P29" i="8"/>
  <c r="H37" i="9"/>
  <c r="I30" i="11"/>
  <c r="Q34" i="9"/>
  <c r="Q36" i="12"/>
  <c r="I31" i="14"/>
  <c r="F30" i="10"/>
  <c r="I37" i="11"/>
  <c r="Q27" i="14"/>
  <c r="N36" i="10"/>
  <c r="G35" i="13"/>
  <c r="H29" i="11"/>
  <c r="O27" i="10"/>
  <c r="H31" i="9"/>
  <c r="D29" i="13"/>
  <c r="P27" i="9"/>
  <c r="H34" i="10"/>
  <c r="K31" i="14"/>
  <c r="L36" i="13"/>
  <c r="D34" i="11"/>
  <c r="F37" i="10"/>
  <c r="J27" i="8"/>
  <c r="E27" i="6"/>
  <c r="K31" i="10"/>
  <c r="D30" i="13"/>
  <c r="E38" i="12"/>
  <c r="P34" i="11"/>
  <c r="E27" i="12"/>
  <c r="F36" i="11"/>
  <c r="M35" i="12"/>
  <c r="C27" i="9"/>
  <c r="M27" i="12"/>
  <c r="C27" i="11"/>
  <c r="K38" i="9"/>
  <c r="O29" i="11"/>
  <c r="F38" i="13"/>
  <c r="H27" i="9"/>
  <c r="N34" i="13"/>
  <c r="J28" i="9"/>
  <c r="J27" i="11"/>
  <c r="K27" i="11"/>
  <c r="G34" i="10"/>
  <c r="I31" i="11"/>
  <c r="J27" i="14"/>
  <c r="Q37" i="14"/>
  <c r="H36" i="11"/>
  <c r="O38" i="13"/>
  <c r="D36" i="13"/>
  <c r="M27" i="13"/>
  <c r="I34" i="9"/>
  <c r="C35" i="14"/>
  <c r="G34" i="12"/>
  <c r="H31" i="14"/>
  <c r="C31" i="14"/>
  <c r="N37" i="11"/>
  <c r="G27" i="12"/>
  <c r="I37" i="14"/>
  <c r="J31" i="14"/>
  <c r="Q34" i="14"/>
  <c r="I30" i="14"/>
  <c r="Q30" i="14"/>
  <c r="J38" i="14"/>
  <c r="Q31" i="14"/>
  <c r="H38" i="14"/>
  <c r="H30" i="14"/>
  <c r="C38" i="14"/>
  <c r="K27" i="14"/>
  <c r="I27" i="14"/>
  <c r="I38" i="14"/>
  <c r="J34" i="14"/>
  <c r="C28" i="14"/>
  <c r="K34" i="14"/>
  <c r="I34" i="14"/>
  <c r="F31" i="13"/>
  <c r="G28" i="13"/>
  <c r="D31" i="13"/>
  <c r="L29" i="13"/>
  <c r="D27" i="13"/>
  <c r="G34" i="13"/>
  <c r="M34" i="13"/>
  <c r="L30" i="13"/>
  <c r="N27" i="13"/>
  <c r="M31" i="13"/>
  <c r="F34" i="13"/>
  <c r="M38" i="13"/>
  <c r="O27" i="13"/>
  <c r="D38" i="13"/>
  <c r="E31" i="13"/>
  <c r="G31" i="13"/>
  <c r="M30" i="13"/>
  <c r="O28" i="13"/>
  <c r="O31" i="13"/>
  <c r="O35" i="13"/>
  <c r="M28" i="12"/>
  <c r="Q27" i="12"/>
  <c r="Q29" i="12"/>
  <c r="Q34" i="12"/>
  <c r="J37" i="11"/>
  <c r="C38" i="11"/>
  <c r="K31" i="11"/>
  <c r="J38" i="11"/>
  <c r="C31" i="11"/>
  <c r="D27" i="11"/>
  <c r="K38" i="11"/>
  <c r="P36" i="11"/>
  <c r="I27" i="11"/>
  <c r="I29" i="11"/>
  <c r="K34" i="11"/>
  <c r="G36" i="11"/>
  <c r="C28" i="11"/>
  <c r="O38" i="11"/>
  <c r="K28" i="11"/>
  <c r="C34" i="11"/>
  <c r="J34" i="11"/>
  <c r="I34" i="11"/>
  <c r="J30" i="11"/>
  <c r="G29" i="11"/>
  <c r="H27" i="10"/>
  <c r="P27" i="10"/>
  <c r="N30" i="10"/>
  <c r="E36" i="10"/>
  <c r="H31" i="10"/>
  <c r="N27" i="10"/>
  <c r="O31" i="10"/>
  <c r="L38" i="10"/>
  <c r="L35" i="10"/>
  <c r="L34" i="10"/>
  <c r="L30" i="10"/>
  <c r="P34" i="10"/>
  <c r="N37" i="10"/>
  <c r="N29" i="10"/>
  <c r="P31" i="10"/>
  <c r="G27" i="10"/>
  <c r="F34" i="10"/>
  <c r="N34" i="10"/>
  <c r="E29" i="10"/>
  <c r="G31" i="10"/>
  <c r="O38" i="10"/>
  <c r="C38" i="9"/>
  <c r="H38" i="9"/>
  <c r="I31" i="9"/>
  <c r="Q29" i="9"/>
  <c r="J30" i="9"/>
  <c r="H28" i="9"/>
  <c r="P38" i="9"/>
  <c r="K31" i="9"/>
  <c r="J38" i="9"/>
  <c r="J34" i="9"/>
  <c r="Q27" i="9"/>
  <c r="I38" i="9"/>
  <c r="P28" i="9"/>
  <c r="I29" i="9"/>
  <c r="J35" i="9"/>
  <c r="H35" i="9"/>
  <c r="C31" i="9"/>
  <c r="H70" i="16"/>
  <c r="H55" i="16"/>
  <c r="I56" i="16"/>
  <c r="G72" i="16"/>
  <c r="I76" i="16"/>
  <c r="G67" i="16"/>
  <c r="H68" i="16"/>
  <c r="H73" i="16"/>
  <c r="D57" i="16"/>
  <c r="I61" i="16"/>
  <c r="I75" i="16"/>
  <c r="H56" i="16"/>
  <c r="G52" i="16"/>
  <c r="J54" i="16"/>
  <c r="E51" i="16"/>
  <c r="H54" i="16"/>
  <c r="I62" i="16"/>
  <c r="I59" i="16"/>
  <c r="H59" i="16"/>
  <c r="G53" i="16"/>
  <c r="H69" i="16"/>
  <c r="E56" i="16"/>
  <c r="J56" i="16"/>
  <c r="J70" i="16"/>
  <c r="F54" i="16"/>
  <c r="F60" i="16"/>
  <c r="F51" i="16"/>
  <c r="G58" i="16"/>
  <c r="F52" i="16"/>
  <c r="E55" i="16"/>
  <c r="G75" i="16"/>
  <c r="G61" i="16"/>
  <c r="F56" i="16"/>
  <c r="I58" i="16"/>
  <c r="I51" i="16"/>
  <c r="G60" i="16"/>
  <c r="G70" i="16"/>
  <c r="J68" i="16"/>
  <c r="I69" i="16"/>
  <c r="J62" i="16"/>
  <c r="J76" i="16"/>
  <c r="D53" i="16"/>
  <c r="E57" i="16"/>
  <c r="J71" i="16"/>
  <c r="J57" i="16"/>
  <c r="I68" i="16"/>
  <c r="E61" i="16"/>
  <c r="F61" i="16"/>
  <c r="G59" i="16"/>
  <c r="G73" i="16"/>
  <c r="E59" i="16"/>
  <c r="H67" i="16"/>
  <c r="H53" i="16"/>
  <c r="G76" i="16"/>
  <c r="G62" i="16"/>
  <c r="I72" i="16"/>
  <c r="I65" i="16"/>
  <c r="G74" i="16"/>
  <c r="G56" i="16"/>
  <c r="F57" i="16"/>
  <c r="F58" i="16"/>
  <c r="I54" i="16"/>
  <c r="I55" i="16"/>
  <c r="J74" i="16"/>
  <c r="J60" i="16"/>
  <c r="G54" i="16"/>
  <c r="D51" i="16"/>
  <c r="H66" i="16"/>
  <c r="H52" i="16"/>
  <c r="H75" i="16"/>
  <c r="H61" i="16"/>
  <c r="F62" i="16"/>
  <c r="D61" i="16"/>
  <c r="E54" i="16"/>
  <c r="F55" i="16"/>
  <c r="H71" i="16"/>
  <c r="D58" i="16"/>
  <c r="E58" i="16"/>
  <c r="G68" i="16"/>
  <c r="E53" i="16"/>
  <c r="G55" i="16"/>
  <c r="H74" i="16"/>
  <c r="H60" i="16"/>
  <c r="D54" i="16"/>
  <c r="I66" i="16"/>
  <c r="I52" i="16"/>
  <c r="J53" i="16"/>
  <c r="J67" i="16"/>
  <c r="I73" i="16"/>
  <c r="D59" i="16"/>
  <c r="D52" i="16"/>
  <c r="H57" i="16"/>
  <c r="F59" i="16"/>
  <c r="J61" i="16"/>
  <c r="J75" i="16"/>
  <c r="D56" i="16"/>
  <c r="I53" i="16"/>
  <c r="H62" i="16"/>
  <c r="H51" i="16"/>
  <c r="I71" i="16"/>
  <c r="F53" i="16"/>
  <c r="J73" i="16"/>
  <c r="J59" i="16"/>
  <c r="D55" i="16"/>
  <c r="J55" i="16"/>
  <c r="J69" i="16"/>
  <c r="J72" i="16"/>
  <c r="J58" i="16"/>
  <c r="G57" i="16"/>
  <c r="G71" i="16"/>
  <c r="G69" i="16"/>
  <c r="D62" i="16"/>
  <c r="G65" i="16"/>
  <c r="I74" i="16"/>
  <c r="I60" i="16"/>
  <c r="J65" i="16"/>
  <c r="J51" i="16"/>
  <c r="E52" i="16"/>
  <c r="H58" i="16"/>
  <c r="H72" i="16"/>
  <c r="I70" i="16"/>
  <c r="D60" i="16"/>
  <c r="E60" i="16"/>
  <c r="G51" i="16"/>
  <c r="E62" i="16"/>
  <c r="J66" i="16"/>
  <c r="J52" i="16"/>
  <c r="I67" i="16"/>
  <c r="H76" i="16"/>
  <c r="H65" i="16"/>
  <c r="I57" i="16"/>
  <c r="G66" i="16"/>
  <c r="C36" i="9"/>
  <c r="C29" i="9"/>
  <c r="O37" i="10"/>
  <c r="O30" i="10"/>
  <c r="G35" i="10"/>
  <c r="G28" i="10"/>
  <c r="J36" i="14"/>
  <c r="J29" i="14"/>
  <c r="P38" i="12"/>
  <c r="P31" i="12"/>
  <c r="L37" i="11"/>
  <c r="L30" i="11"/>
  <c r="M37" i="12"/>
  <c r="M30" i="12"/>
  <c r="I28" i="9"/>
  <c r="I35" i="9"/>
  <c r="M36" i="12"/>
  <c r="M29" i="12"/>
  <c r="G37" i="12"/>
  <c r="G30" i="12"/>
  <c r="C36" i="11"/>
  <c r="C29" i="11"/>
  <c r="N36" i="13"/>
  <c r="N29" i="13"/>
  <c r="G35" i="11"/>
  <c r="G28" i="11"/>
  <c r="N38" i="10"/>
  <c r="N31" i="10"/>
  <c r="H36" i="12"/>
  <c r="H29" i="12"/>
  <c r="G36" i="13"/>
  <c r="G29" i="13"/>
  <c r="K36" i="13"/>
  <c r="K29" i="13"/>
  <c r="Q31" i="9"/>
  <c r="Q38" i="9"/>
  <c r="M35" i="13"/>
  <c r="M28" i="13"/>
  <c r="H37" i="12"/>
  <c r="H30" i="12"/>
  <c r="G36" i="12"/>
  <c r="G29" i="12"/>
  <c r="L38" i="11"/>
  <c r="L31" i="11"/>
  <c r="F36" i="10"/>
  <c r="F29" i="10"/>
  <c r="I31" i="12"/>
  <c r="I38" i="12"/>
  <c r="O36" i="11"/>
  <c r="J36" i="11"/>
  <c r="J29" i="11"/>
  <c r="P38" i="11"/>
  <c r="P31" i="11"/>
  <c r="O35" i="11"/>
  <c r="O28" i="11"/>
  <c r="K34" i="13"/>
  <c r="K27" i="13"/>
  <c r="Q35" i="12"/>
  <c r="Q28" i="12"/>
  <c r="I28" i="14"/>
  <c r="I35" i="14"/>
  <c r="C35" i="9"/>
  <c r="C28" i="9"/>
  <c r="Q35" i="9"/>
  <c r="Q28" i="9"/>
  <c r="K36" i="9"/>
  <c r="K29" i="9"/>
  <c r="J36" i="9"/>
  <c r="J29" i="9"/>
  <c r="J35" i="14"/>
  <c r="J28" i="14"/>
  <c r="P36" i="9"/>
  <c r="P29" i="9"/>
  <c r="M29" i="13"/>
  <c r="M36" i="13"/>
  <c r="K35" i="14"/>
  <c r="K28" i="14"/>
  <c r="P37" i="9"/>
  <c r="P30" i="9"/>
  <c r="E37" i="10"/>
  <c r="E30" i="10"/>
  <c r="L36" i="10"/>
  <c r="L29" i="10"/>
  <c r="C34" i="13"/>
  <c r="C27" i="13"/>
  <c r="K28" i="13"/>
  <c r="G35" i="12"/>
  <c r="G28" i="12"/>
  <c r="I35" i="12"/>
  <c r="I28" i="12"/>
  <c r="F38" i="10"/>
  <c r="F31" i="10"/>
  <c r="H35" i="12"/>
  <c r="H28" i="12"/>
  <c r="Q38" i="12"/>
  <c r="Q31" i="12"/>
  <c r="F35" i="13"/>
  <c r="F28" i="13"/>
  <c r="F35" i="10"/>
  <c r="F28" i="10"/>
  <c r="G38" i="11"/>
  <c r="G31" i="11"/>
  <c r="N35" i="10"/>
  <c r="N28" i="10"/>
  <c r="Q34" i="11"/>
  <c r="Q27" i="11"/>
  <c r="O35" i="10"/>
  <c r="O28" i="10"/>
  <c r="E36" i="13"/>
  <c r="E29" i="13"/>
  <c r="O36" i="13"/>
  <c r="O29" i="13"/>
  <c r="H35" i="11"/>
  <c r="H28" i="11"/>
  <c r="H37" i="10"/>
  <c r="H30" i="10"/>
  <c r="P36" i="10"/>
  <c r="P29" i="10"/>
  <c r="K38" i="13"/>
  <c r="K31" i="13"/>
  <c r="N37" i="13"/>
  <c r="N30" i="13"/>
  <c r="K35" i="13"/>
  <c r="I35" i="11"/>
  <c r="I28" i="11"/>
  <c r="Q35" i="11"/>
  <c r="Q28" i="11"/>
  <c r="K36" i="11"/>
  <c r="K29" i="11"/>
  <c r="L35" i="13"/>
  <c r="L28" i="13"/>
  <c r="Q37" i="12"/>
  <c r="Q30" i="12"/>
  <c r="L29" i="11"/>
  <c r="L36" i="11"/>
  <c r="M38" i="12"/>
  <c r="M31" i="12"/>
  <c r="Q28" i="14"/>
  <c r="Q35" i="14"/>
  <c r="H31" i="12"/>
  <c r="H38" i="12"/>
  <c r="I36" i="12"/>
  <c r="I29" i="12"/>
  <c r="C36" i="14"/>
  <c r="C29" i="14"/>
  <c r="H38" i="11"/>
  <c r="H31" i="11"/>
  <c r="D36" i="11"/>
  <c r="D29" i="11"/>
  <c r="D35" i="11"/>
  <c r="D28" i="11"/>
  <c r="H28" i="14"/>
  <c r="H35" i="14"/>
  <c r="E28" i="13"/>
  <c r="E35" i="13"/>
  <c r="O31" i="11"/>
  <c r="Q36" i="14"/>
  <c r="Q29" i="14"/>
  <c r="O36" i="10"/>
  <c r="O29" i="10"/>
  <c r="H34" i="12"/>
  <c r="H27" i="12"/>
  <c r="H36" i="9"/>
  <c r="H29" i="9"/>
  <c r="O37" i="13"/>
  <c r="O30" i="13"/>
  <c r="K37" i="11"/>
  <c r="K30" i="11"/>
  <c r="H35" i="10"/>
  <c r="H28" i="10"/>
  <c r="G34" i="11"/>
  <c r="G27" i="11"/>
  <c r="F37" i="13"/>
  <c r="F30" i="13"/>
  <c r="L28" i="11"/>
  <c r="L35" i="11"/>
  <c r="P36" i="12"/>
  <c r="P29" i="12"/>
  <c r="G36" i="10"/>
  <c r="G29" i="10"/>
  <c r="G37" i="10"/>
  <c r="G30" i="10"/>
  <c r="G31" i="12"/>
  <c r="G38" i="12"/>
  <c r="C37" i="11"/>
  <c r="C30" i="11"/>
  <c r="D37" i="11"/>
  <c r="D30" i="11"/>
  <c r="I37" i="12"/>
  <c r="I30" i="12"/>
  <c r="E31" i="10"/>
  <c r="E38" i="10"/>
  <c r="H36" i="10"/>
  <c r="H29" i="10"/>
  <c r="K37" i="14"/>
  <c r="K30" i="14"/>
  <c r="G37" i="11"/>
  <c r="G30" i="11"/>
  <c r="I37" i="9"/>
  <c r="I30" i="9"/>
  <c r="Q37" i="9"/>
  <c r="Q30" i="9"/>
  <c r="E27" i="10"/>
  <c r="E34" i="10"/>
  <c r="P34" i="12"/>
  <c r="P27" i="12"/>
  <c r="Q29" i="11"/>
  <c r="O37" i="11"/>
  <c r="O30" i="11"/>
  <c r="C37" i="14"/>
  <c r="C30" i="14"/>
  <c r="J35" i="11"/>
  <c r="J28" i="11"/>
  <c r="K35" i="9"/>
  <c r="K28" i="9"/>
  <c r="O27" i="11"/>
  <c r="O34" i="11"/>
  <c r="I36" i="14"/>
  <c r="I29" i="14"/>
  <c r="F36" i="13"/>
  <c r="F29" i="13"/>
  <c r="D28" i="13"/>
  <c r="D35" i="13"/>
  <c r="P35" i="12"/>
  <c r="P28" i="12"/>
  <c r="N35" i="13"/>
  <c r="N28" i="13"/>
  <c r="J37" i="14"/>
  <c r="J30" i="14"/>
  <c r="C37" i="9"/>
  <c r="C30" i="9"/>
  <c r="Q38" i="11"/>
  <c r="Q31" i="11"/>
  <c r="E35" i="10"/>
  <c r="E28" i="10"/>
  <c r="K37" i="9"/>
  <c r="K30" i="9"/>
  <c r="Q37" i="11"/>
  <c r="Q30" i="11"/>
  <c r="K36" i="14"/>
  <c r="K29" i="14"/>
  <c r="D31" i="11"/>
  <c r="D38" i="11"/>
  <c r="P35" i="10"/>
  <c r="P28" i="10"/>
  <c r="P35" i="11"/>
  <c r="P28" i="11"/>
  <c r="P37" i="10"/>
  <c r="P30" i="10"/>
  <c r="P37" i="12"/>
  <c r="P30" i="12"/>
  <c r="K37" i="13"/>
  <c r="K30" i="13"/>
  <c r="Q36" i="11"/>
  <c r="K51" i="16" l="1"/>
  <c r="K72" i="16"/>
  <c r="K60" i="16"/>
  <c r="K67" i="16"/>
  <c r="K52" i="16"/>
  <c r="L52" i="16" s="1"/>
  <c r="K62" i="16"/>
  <c r="L62" i="16" s="1"/>
  <c r="K70" i="16"/>
  <c r="K68" i="16"/>
  <c r="K53" i="16"/>
  <c r="L53" i="16" s="1"/>
  <c r="K59" i="16"/>
  <c r="L59" i="16" s="1"/>
  <c r="K73" i="16"/>
  <c r="K76" i="16"/>
  <c r="K71" i="16"/>
  <c r="K61" i="16"/>
  <c r="L61" i="16" s="1"/>
  <c r="K57" i="16"/>
  <c r="K75" i="16"/>
  <c r="K69" i="16"/>
  <c r="K54" i="16"/>
  <c r="L54" i="16" s="1"/>
  <c r="K65" i="16"/>
  <c r="K56" i="16"/>
  <c r="L56" i="16" s="1"/>
  <c r="K55" i="16"/>
  <c r="L55" i="16" s="1"/>
  <c r="K58" i="16"/>
  <c r="L58" i="16" s="1"/>
  <c r="K66" i="16"/>
  <c r="K74" i="16"/>
  <c r="R37" i="7"/>
  <c r="R37" i="8"/>
  <c r="F44" i="20"/>
  <c r="F42" i="19"/>
  <c r="R35" i="8"/>
  <c r="R34" i="6"/>
  <c r="R38" i="6"/>
  <c r="R37" i="6"/>
  <c r="R29" i="7"/>
  <c r="R29" i="6"/>
  <c r="R36" i="7"/>
  <c r="R35" i="7"/>
  <c r="R35" i="6"/>
  <c r="R31" i="8"/>
  <c r="R30" i="7"/>
  <c r="R28" i="8"/>
  <c r="R31" i="6"/>
  <c r="R28" i="6"/>
  <c r="R38" i="13"/>
  <c r="R28" i="7"/>
  <c r="R36" i="8"/>
  <c r="R27" i="8"/>
  <c r="R30" i="8"/>
  <c r="R34" i="7"/>
  <c r="R30" i="6"/>
  <c r="R34" i="8"/>
  <c r="R38" i="8"/>
  <c r="R34" i="10"/>
  <c r="R34" i="9"/>
  <c r="R36" i="6"/>
  <c r="R31" i="7"/>
  <c r="R27" i="6"/>
  <c r="R38" i="7"/>
  <c r="R27" i="7"/>
  <c r="F43" i="19"/>
  <c r="F44" i="19"/>
  <c r="F42" i="20"/>
  <c r="F43" i="20"/>
  <c r="F44" i="21"/>
  <c r="F43" i="21"/>
  <c r="F42" i="21"/>
  <c r="R28" i="13"/>
  <c r="R27" i="10"/>
  <c r="R34" i="14"/>
  <c r="R29" i="8"/>
  <c r="R35" i="12"/>
  <c r="R36" i="12"/>
  <c r="R34" i="12"/>
  <c r="R36" i="13"/>
  <c r="R27" i="12"/>
  <c r="R37" i="14"/>
  <c r="R28" i="10"/>
  <c r="R30" i="9"/>
  <c r="R38" i="10"/>
  <c r="R38" i="12"/>
  <c r="R37" i="13"/>
  <c r="R30" i="13"/>
  <c r="R29" i="13"/>
  <c r="R35" i="10"/>
  <c r="R35" i="13"/>
  <c r="R31" i="12"/>
  <c r="R27" i="11"/>
  <c r="R35" i="14"/>
  <c r="R35" i="11"/>
  <c r="R30" i="10"/>
  <c r="R35" i="9"/>
  <c r="R30" i="12"/>
  <c r="R31" i="14"/>
  <c r="R36" i="10"/>
  <c r="R31" i="10"/>
  <c r="R28" i="12"/>
  <c r="R37" i="10"/>
  <c r="R29" i="10"/>
  <c r="R29" i="12"/>
  <c r="R37" i="12"/>
  <c r="R27" i="9"/>
  <c r="R31" i="13"/>
  <c r="R27" i="14"/>
  <c r="R29" i="14"/>
  <c r="R36" i="14"/>
  <c r="R28" i="14"/>
  <c r="R30" i="14"/>
  <c r="R38" i="14"/>
  <c r="R27" i="13"/>
  <c r="R34" i="13"/>
  <c r="R30" i="11"/>
  <c r="R37" i="11"/>
  <c r="R38" i="11"/>
  <c r="R28" i="11"/>
  <c r="R31" i="11"/>
  <c r="R29" i="11"/>
  <c r="R34" i="11"/>
  <c r="R36" i="11"/>
  <c r="R31" i="9"/>
  <c r="R38" i="9"/>
  <c r="R36" i="9"/>
  <c r="R29" i="9"/>
  <c r="R37" i="9"/>
  <c r="R28" i="9"/>
  <c r="E71" i="16"/>
  <c r="E68" i="16"/>
  <c r="F65" i="16"/>
  <c r="F66" i="16"/>
  <c r="L57" i="16"/>
  <c r="D67" i="16"/>
  <c r="E74" i="16"/>
  <c r="D76" i="16"/>
  <c r="E69" i="16"/>
  <c r="F68" i="16"/>
  <c r="E66" i="16"/>
  <c r="D69" i="16"/>
  <c r="F70" i="16"/>
  <c r="E72" i="16"/>
  <c r="D65" i="16"/>
  <c r="F75" i="16"/>
  <c r="D75" i="16"/>
  <c r="D74" i="16"/>
  <c r="E67" i="16"/>
  <c r="L51" i="16"/>
  <c r="D70" i="16"/>
  <c r="D72" i="16"/>
  <c r="D66" i="16"/>
  <c r="D73" i="16"/>
  <c r="D68" i="16"/>
  <c r="D71" i="16"/>
  <c r="E75" i="16"/>
  <c r="E70" i="16"/>
  <c r="L60" i="16"/>
  <c r="F67" i="16"/>
  <c r="F69" i="16"/>
  <c r="F76" i="16"/>
  <c r="F73" i="16"/>
  <c r="F72" i="16"/>
  <c r="F71" i="16"/>
  <c r="F74" i="16"/>
  <c r="E65" i="16"/>
  <c r="E76" i="16"/>
  <c r="E73" i="16"/>
  <c r="D45" i="10" l="1"/>
  <c r="D46" i="7"/>
  <c r="D45" i="8"/>
  <c r="D47" i="6"/>
  <c r="D44" i="7"/>
  <c r="D47" i="13"/>
  <c r="D43" i="14"/>
  <c r="D43" i="6"/>
  <c r="D46" i="8"/>
  <c r="D45" i="7"/>
  <c r="D46" i="9"/>
  <c r="D44" i="8"/>
  <c r="D44" i="6"/>
  <c r="D46" i="13"/>
  <c r="D44" i="13"/>
  <c r="D44" i="11"/>
  <c r="D43" i="10"/>
  <c r="D43" i="7"/>
  <c r="D47" i="8"/>
  <c r="D45" i="6"/>
  <c r="D46" i="6"/>
  <c r="D43" i="8"/>
  <c r="D46" i="11"/>
  <c r="D43" i="9"/>
  <c r="D44" i="10"/>
  <c r="D44" i="14"/>
  <c r="D44" i="12"/>
  <c r="D47" i="7"/>
  <c r="D45" i="13"/>
  <c r="D45" i="12"/>
  <c r="D43" i="11"/>
  <c r="D47" i="12"/>
  <c r="D46" i="14"/>
  <c r="D47" i="10"/>
  <c r="D46" i="12"/>
  <c r="D43" i="12"/>
  <c r="D44" i="9"/>
  <c r="D45" i="11"/>
  <c r="D45" i="9"/>
  <c r="D47" i="14"/>
  <c r="D45" i="14"/>
  <c r="D46" i="10"/>
  <c r="D43" i="13"/>
  <c r="D47" i="11"/>
  <c r="D47" i="9"/>
  <c r="L66" i="16"/>
  <c r="E80" i="16" s="1"/>
  <c r="L70" i="16"/>
  <c r="E84" i="16" s="1"/>
  <c r="L69" i="16"/>
  <c r="E83" i="16" s="1"/>
  <c r="L68" i="16"/>
  <c r="E82" i="16" s="1"/>
  <c r="L71" i="16"/>
  <c r="E85" i="16" s="1"/>
  <c r="L74" i="16"/>
  <c r="E88" i="16" s="1"/>
  <c r="L76" i="16"/>
  <c r="E90" i="16" s="1"/>
  <c r="L75" i="16"/>
  <c r="E89" i="16" s="1"/>
  <c r="L73" i="16"/>
  <c r="E87" i="16" s="1"/>
  <c r="L67" i="16"/>
  <c r="E81" i="16" s="1"/>
  <c r="L72" i="16"/>
  <c r="E86" i="16" s="1"/>
  <c r="L65" i="16"/>
  <c r="E79" i="16" s="1"/>
  <c r="B43" i="6" l="1"/>
  <c r="F42" i="6" s="1"/>
  <c r="B46" i="6"/>
  <c r="B43" i="8"/>
  <c r="B43" i="7"/>
  <c r="F42" i="7" s="1"/>
  <c r="B44" i="6"/>
  <c r="F43" i="6" s="1"/>
  <c r="B47" i="6"/>
  <c r="B45" i="6"/>
  <c r="B44" i="8"/>
  <c r="B46" i="8"/>
  <c r="B47" i="7"/>
  <c r="B47" i="11"/>
  <c r="B45" i="8"/>
  <c r="B47" i="8"/>
  <c r="B46" i="12"/>
  <c r="B45" i="14"/>
  <c r="B47" i="10"/>
  <c r="B47" i="12"/>
  <c r="B45" i="7"/>
  <c r="B46" i="7"/>
  <c r="B44" i="7"/>
  <c r="B46" i="10"/>
  <c r="B44" i="12"/>
  <c r="B47" i="9"/>
  <c r="C79" i="16"/>
  <c r="B43" i="10"/>
  <c r="B44" i="10"/>
  <c r="B43" i="12"/>
  <c r="B45" i="12"/>
  <c r="B43" i="14"/>
  <c r="F43" i="14" s="1"/>
  <c r="B47" i="14"/>
  <c r="B44" i="14"/>
  <c r="B45" i="10"/>
  <c r="B45" i="9"/>
  <c r="B46" i="14"/>
  <c r="B43" i="13"/>
  <c r="B45" i="13"/>
  <c r="B47" i="13"/>
  <c r="B46" i="13"/>
  <c r="B44" i="13"/>
  <c r="B46" i="11"/>
  <c r="B45" i="11"/>
  <c r="B44" i="11"/>
  <c r="B43" i="11"/>
  <c r="B44" i="9"/>
  <c r="B43" i="9"/>
  <c r="B46" i="9"/>
  <c r="C89" i="16"/>
  <c r="C86" i="16"/>
  <c r="C83" i="16"/>
  <c r="C81" i="16"/>
  <c r="C88" i="16"/>
  <c r="C84" i="16"/>
  <c r="C82" i="16"/>
  <c r="C90" i="16"/>
  <c r="C87" i="16"/>
  <c r="C85" i="16"/>
  <c r="C80" i="16"/>
  <c r="F44" i="7" l="1"/>
  <c r="F44" i="6"/>
  <c r="F44" i="8"/>
  <c r="F42" i="10"/>
  <c r="F42" i="8"/>
  <c r="F43" i="8"/>
  <c r="F44" i="12"/>
  <c r="F43" i="7"/>
  <c r="H81" i="16"/>
  <c r="H4" i="18" s="1"/>
  <c r="H6" i="18" s="1"/>
  <c r="F42" i="12"/>
  <c r="F43" i="12"/>
  <c r="H83" i="16"/>
  <c r="J4" i="18" s="1"/>
  <c r="J6" i="18" s="1"/>
  <c r="H80" i="16"/>
  <c r="G4" i="18" s="1"/>
  <c r="G6" i="18" s="1"/>
  <c r="H84" i="16"/>
  <c r="K4" i="18" s="1"/>
  <c r="K6" i="18" s="1"/>
  <c r="H82" i="16"/>
  <c r="I4" i="18" s="1"/>
  <c r="I6" i="18" s="1"/>
  <c r="H79" i="16"/>
  <c r="F4" i="18" s="1"/>
  <c r="F6" i="18" s="1"/>
  <c r="F42" i="14"/>
  <c r="F43" i="10"/>
  <c r="F44" i="10"/>
  <c r="F44" i="11"/>
  <c r="F43" i="11"/>
  <c r="F42" i="11"/>
  <c r="F42" i="13"/>
  <c r="F44" i="13"/>
  <c r="F43" i="13"/>
  <c r="F44" i="14"/>
  <c r="F43" i="9"/>
  <c r="F44" i="9"/>
  <c r="F42" i="9"/>
  <c r="H8" i="18"/>
  <c r="J8" i="18"/>
  <c r="K7" i="18"/>
  <c r="I8" i="18"/>
  <c r="B17" i="17" l="1"/>
  <c r="B11" i="17"/>
  <c r="B14" i="17"/>
  <c r="B19" i="17"/>
  <c r="J7" i="18"/>
  <c r="G8" i="18"/>
  <c r="F7" i="18"/>
  <c r="K8" i="18"/>
  <c r="I9" i="18"/>
  <c r="K9" i="18"/>
  <c r="F8" i="18"/>
  <c r="F9" i="18"/>
  <c r="H9" i="18"/>
  <c r="I7" i="18"/>
  <c r="G9" i="18"/>
  <c r="G7" i="18"/>
  <c r="H7" i="18"/>
  <c r="J9" i="18"/>
  <c r="B15" i="17" l="1"/>
  <c r="C15" i="17" s="1"/>
  <c r="B18" i="17"/>
  <c r="D18" i="17" s="1"/>
  <c r="B16" i="17"/>
  <c r="C16" i="17" s="1"/>
  <c r="B13" i="17"/>
  <c r="F13" i="17" s="1"/>
  <c r="B10" i="17"/>
  <c r="F10" i="17" s="1"/>
  <c r="B12" i="17"/>
  <c r="F12" i="17" s="1"/>
  <c r="F11" i="17"/>
  <c r="F14" i="17"/>
  <c r="F19" i="17"/>
  <c r="F17" i="17"/>
  <c r="D19" i="17"/>
  <c r="E19" i="17"/>
  <c r="J19" i="17" s="1"/>
  <c r="D17" i="17"/>
  <c r="E17" i="17"/>
  <c r="J17" i="17" s="1"/>
  <c r="D14" i="17"/>
  <c r="E14" i="17"/>
  <c r="J14" i="17" s="1"/>
  <c r="D11" i="17"/>
  <c r="E11" i="17"/>
  <c r="J11" i="17" s="1"/>
  <c r="C14" i="17"/>
  <c r="C11" i="17"/>
  <c r="C19" i="17"/>
  <c r="C17" i="17"/>
  <c r="B20" i="17"/>
  <c r="B7" i="17"/>
  <c r="B5" i="17"/>
  <c r="B21" i="17"/>
  <c r="B9" i="17"/>
  <c r="B4" i="17"/>
  <c r="C4" i="17" s="1"/>
  <c r="B8" i="17"/>
  <c r="B6" i="17"/>
  <c r="D13" i="17" l="1"/>
  <c r="O13" i="17" s="1"/>
  <c r="E13" i="17"/>
  <c r="J13" i="17" s="1"/>
  <c r="E16" i="17"/>
  <c r="J16" i="17" s="1"/>
  <c r="C13" i="17"/>
  <c r="I13" i="17" s="1"/>
  <c r="F16" i="17"/>
  <c r="K16" i="17" s="1"/>
  <c r="D16" i="17"/>
  <c r="O16" i="17" s="1"/>
  <c r="E18" i="17"/>
  <c r="J18" i="17" s="1"/>
  <c r="F18" i="17"/>
  <c r="K18" i="17" s="1"/>
  <c r="C18" i="17"/>
  <c r="I18" i="17" s="1"/>
  <c r="D15" i="17"/>
  <c r="O15" i="17" s="1"/>
  <c r="E15" i="17"/>
  <c r="J15" i="17" s="1"/>
  <c r="F15" i="17"/>
  <c r="K15" i="17" s="1"/>
  <c r="K11" i="17"/>
  <c r="K14" i="17"/>
  <c r="K12" i="17"/>
  <c r="K10" i="17"/>
  <c r="I14" i="17"/>
  <c r="I15" i="17"/>
  <c r="I16" i="17"/>
  <c r="I11" i="17"/>
  <c r="O14" i="17"/>
  <c r="O19" i="17"/>
  <c r="O17" i="17"/>
  <c r="O18" i="17"/>
  <c r="O11" i="17"/>
  <c r="E12" i="17"/>
  <c r="J12" i="17" s="1"/>
  <c r="D12" i="17"/>
  <c r="C12" i="17"/>
  <c r="E10" i="17"/>
  <c r="J10" i="17" s="1"/>
  <c r="C10" i="17"/>
  <c r="D10" i="17"/>
  <c r="F6" i="17"/>
  <c r="F32" i="18" a="1"/>
  <c r="F32" i="18" s="1"/>
  <c r="G32" i="18" s="1"/>
  <c r="F8" i="17"/>
  <c r="F5" i="17"/>
  <c r="F7" i="17"/>
  <c r="F9" i="17"/>
  <c r="F33" i="18" a="1"/>
  <c r="F33" i="18" s="1"/>
  <c r="G33" i="18" s="1"/>
  <c r="F28" i="18" a="1"/>
  <c r="F28" i="18" s="1"/>
  <c r="G28" i="18" s="1"/>
  <c r="F34" i="18" a="1"/>
  <c r="F34" i="18" s="1"/>
  <c r="G34" i="18" s="1"/>
  <c r="F35" i="18" a="1"/>
  <c r="F35" i="18" s="1"/>
  <c r="G35" i="18" s="1"/>
  <c r="F26" i="18" a="1"/>
  <c r="F26" i="18" s="1"/>
  <c r="G26" i="18" s="1"/>
  <c r="F27" i="18" a="1"/>
  <c r="F27" i="18" s="1"/>
  <c r="G27" i="18" s="1"/>
  <c r="F31" i="18" a="1"/>
  <c r="F31" i="18" s="1"/>
  <c r="G31" i="18" s="1"/>
  <c r="F30" i="18" a="1"/>
  <c r="F30" i="18" s="1"/>
  <c r="G30" i="18" s="1"/>
  <c r="F4" i="17"/>
  <c r="E4" i="17"/>
  <c r="F25" i="18" a="1"/>
  <c r="F25" i="18" s="1"/>
  <c r="G25" i="18" s="1"/>
  <c r="F20" i="17"/>
  <c r="F36" i="18" a="1"/>
  <c r="F36" i="18" s="1"/>
  <c r="G36" i="18" s="1"/>
  <c r="F21" i="17"/>
  <c r="F37" i="18" a="1"/>
  <c r="F37" i="18" s="1"/>
  <c r="G37" i="18" s="1"/>
  <c r="D8" i="17"/>
  <c r="E8" i="17"/>
  <c r="J8" i="17" s="1"/>
  <c r="D5" i="17"/>
  <c r="E5" i="17"/>
  <c r="J5" i="17" s="1"/>
  <c r="D6" i="17"/>
  <c r="E6" i="17"/>
  <c r="J6" i="17" s="1"/>
  <c r="D21" i="17"/>
  <c r="E21" i="17"/>
  <c r="J21" i="17" s="1"/>
  <c r="D7" i="17"/>
  <c r="E7" i="17"/>
  <c r="J7" i="17" s="1"/>
  <c r="D9" i="17"/>
  <c r="E9" i="17"/>
  <c r="J9" i="17" s="1"/>
  <c r="D20" i="17"/>
  <c r="E20" i="17"/>
  <c r="J20" i="17" s="1"/>
  <c r="D4" i="17"/>
  <c r="C8" i="17"/>
  <c r="C5" i="17"/>
  <c r="C6" i="17"/>
  <c r="C21" i="17"/>
  <c r="C7" i="17"/>
  <c r="C9" i="17"/>
  <c r="C20" i="17"/>
  <c r="F24" i="18" a="1"/>
  <c r="F24" i="18" s="1"/>
  <c r="G24" i="18" s="1"/>
  <c r="F29" i="18" a="1"/>
  <c r="F29" i="18" s="1"/>
  <c r="G29" i="18" s="1"/>
  <c r="F21" i="18" a="1"/>
  <c r="F21" i="18" s="1"/>
  <c r="G21" i="18" s="1"/>
  <c r="F22" i="18" a="1"/>
  <c r="F22" i="18" s="1"/>
  <c r="G22" i="18" s="1"/>
  <c r="F23" i="18" a="1"/>
  <c r="F23" i="18" s="1"/>
  <c r="G23" i="18" s="1"/>
  <c r="F20" i="18" a="1"/>
  <c r="F20" i="18" s="1"/>
  <c r="G20" i="18" s="1"/>
  <c r="K13" i="17"/>
  <c r="I17" i="17"/>
  <c r="K17" i="17"/>
  <c r="I19" i="17"/>
  <c r="K19" i="17"/>
  <c r="R20" i="17" l="1"/>
  <c r="H24" i="18" s="1"/>
  <c r="R18" i="17"/>
  <c r="H20" i="18" s="1"/>
  <c r="R19" i="17"/>
  <c r="H22" i="18" s="1"/>
  <c r="K21" i="17"/>
  <c r="I21" i="17"/>
  <c r="I12" i="17"/>
  <c r="I10" i="17"/>
  <c r="O20" i="17"/>
  <c r="O8" i="17"/>
  <c r="O9" i="17"/>
  <c r="O21" i="17"/>
  <c r="O5" i="17"/>
  <c r="O10" i="17"/>
  <c r="O12" i="17"/>
  <c r="O7" i="17"/>
  <c r="O6" i="17"/>
  <c r="O4" i="17"/>
  <c r="R5" i="17"/>
  <c r="H29" i="18" s="1"/>
  <c r="R6" i="17"/>
  <c r="H31" i="18" s="1"/>
  <c r="R4" i="17"/>
  <c r="I4" i="17"/>
  <c r="J4" i="17"/>
  <c r="J23" i="17" s="1"/>
  <c r="K4" i="17"/>
  <c r="I9" i="17"/>
  <c r="K9" i="17"/>
  <c r="I5" i="17"/>
  <c r="K5" i="17"/>
  <c r="I6" i="17"/>
  <c r="K6" i="17"/>
  <c r="I7" i="17"/>
  <c r="K7" i="17"/>
  <c r="I8" i="17"/>
  <c r="K8" i="17"/>
  <c r="I20" i="17"/>
  <c r="K20" i="17"/>
  <c r="W4" i="17" l="1"/>
  <c r="H27" i="18"/>
  <c r="O22" i="17"/>
  <c r="R8" i="17" s="1"/>
  <c r="K27" i="17"/>
  <c r="R7" i="17" s="1"/>
  <c r="K23" i="17"/>
  <c r="E26" i="18"/>
  <c r="E22" i="18" l="1"/>
  <c r="O23" i="17"/>
  <c r="E23" i="18" s="1"/>
  <c r="E29" i="18"/>
  <c r="W8" i="17"/>
  <c r="W12" i="17" l="1"/>
  <c r="W5" i="17"/>
  <c r="W6" i="17"/>
  <c r="W7" i="17" l="1"/>
  <c r="F70" i="22"/>
  <c r="F69" i="22"/>
  <c r="F68" i="22"/>
  <c r="F67" i="22"/>
  <c r="F66" i="22"/>
  <c r="F65" i="22"/>
  <c r="F64" i="22"/>
  <c r="F63" i="22"/>
  <c r="F62" i="22"/>
  <c r="F61" i="22"/>
  <c r="F60" i="22"/>
  <c r="F59" i="22"/>
  <c r="F58" i="22"/>
  <c r="F57" i="22"/>
  <c r="F56" i="22"/>
  <c r="F55" i="22"/>
  <c r="F54" i="22"/>
  <c r="F53" i="22"/>
  <c r="F52" i="22"/>
  <c r="F51" i="22"/>
  <c r="F50" i="22"/>
  <c r="F49" i="22"/>
  <c r="F48" i="22"/>
  <c r="F47" i="22"/>
  <c r="F46" i="22"/>
  <c r="F45" i="22"/>
  <c r="F44" i="22"/>
  <c r="F43" i="22"/>
  <c r="F42" i="22"/>
  <c r="F41" i="22"/>
  <c r="F40" i="22"/>
  <c r="F39" i="22"/>
  <c r="F38" i="22"/>
  <c r="F37" i="22"/>
  <c r="F36" i="22"/>
  <c r="F35" i="22"/>
  <c r="F34" i="22"/>
  <c r="F33" i="22"/>
  <c r="F32" i="22"/>
  <c r="F31" i="22"/>
  <c r="F30" i="22"/>
  <c r="F29" i="22"/>
  <c r="F28" i="22"/>
  <c r="F27" i="22"/>
  <c r="F26" i="22"/>
  <c r="F25" i="22"/>
  <c r="F24" i="22"/>
  <c r="F23" i="22"/>
  <c r="F22" i="22"/>
  <c r="F21" i="22"/>
  <c r="F20" i="22"/>
  <c r="F19" i="22"/>
  <c r="F18" i="22"/>
  <c r="F17" i="22"/>
  <c r="F16" i="22"/>
  <c r="F15" i="22"/>
  <c r="F14" i="22"/>
  <c r="F13" i="22"/>
  <c r="F12" i="22"/>
  <c r="E70" i="22"/>
  <c r="E69" i="22"/>
  <c r="E68" i="22"/>
  <c r="E67" i="22"/>
  <c r="E66" i="22"/>
  <c r="E65" i="22"/>
  <c r="E64" i="22"/>
  <c r="E63" i="22"/>
  <c r="E62" i="22"/>
  <c r="E61" i="22"/>
  <c r="E60" i="22"/>
  <c r="E59" i="22"/>
  <c r="E58" i="22"/>
  <c r="E57" i="22"/>
  <c r="E56" i="22"/>
  <c r="E55" i="22"/>
  <c r="E54" i="22"/>
  <c r="E53" i="22"/>
  <c r="E52" i="22"/>
  <c r="E51" i="22"/>
  <c r="E50" i="22"/>
  <c r="E49" i="22"/>
  <c r="E48" i="22"/>
  <c r="E47" i="22"/>
  <c r="E46" i="22"/>
  <c r="E45" i="22"/>
  <c r="E44" i="22"/>
  <c r="E43" i="22"/>
  <c r="E42" i="22"/>
  <c r="E41" i="22"/>
  <c r="E40" i="22"/>
  <c r="E39" i="22"/>
  <c r="E38" i="22"/>
  <c r="E37" i="22"/>
  <c r="E36" i="22"/>
  <c r="E35" i="22"/>
  <c r="E34" i="22"/>
  <c r="E33" i="22"/>
  <c r="E32" i="22"/>
  <c r="E31" i="22"/>
  <c r="E30" i="22"/>
  <c r="E29" i="22"/>
  <c r="E28" i="22"/>
  <c r="E27" i="22"/>
  <c r="E26" i="22"/>
  <c r="E25" i="22"/>
  <c r="E24" i="22"/>
  <c r="E23" i="22"/>
  <c r="E22" i="22"/>
  <c r="E21" i="22"/>
  <c r="E20" i="22"/>
  <c r="E19" i="22"/>
  <c r="E18" i="22"/>
  <c r="E17" i="22"/>
  <c r="E16" i="22"/>
  <c r="E15" i="22"/>
  <c r="E14" i="22"/>
  <c r="E13" i="22"/>
  <c r="E12"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C70" i="22"/>
  <c r="C69" i="22"/>
  <c r="C68" i="22"/>
  <c r="C67" i="22"/>
  <c r="C66" i="22"/>
  <c r="C65" i="22"/>
  <c r="C64" i="22"/>
  <c r="C63" i="22"/>
  <c r="C62" i="22"/>
  <c r="C61" i="22"/>
  <c r="C60" i="22"/>
  <c r="C59" i="22"/>
  <c r="C58" i="22"/>
  <c r="C57" i="22"/>
  <c r="C56" i="22"/>
  <c r="C55" i="22"/>
  <c r="C54" i="22"/>
  <c r="C53" i="22"/>
  <c r="C52" i="22"/>
  <c r="C51" i="22"/>
  <c r="C50" i="22"/>
  <c r="C49" i="22"/>
  <c r="C48" i="22"/>
  <c r="C47" i="22"/>
  <c r="C46" i="22"/>
  <c r="C45" i="22"/>
  <c r="C44" i="22"/>
  <c r="C43" i="22"/>
  <c r="C42" i="22"/>
  <c r="C41" i="22"/>
  <c r="C40" i="22"/>
  <c r="C39" i="22"/>
  <c r="C38" i="22"/>
  <c r="C37" i="22"/>
  <c r="C36" i="22"/>
  <c r="C35" i="22"/>
  <c r="C34" i="22"/>
  <c r="C33" i="22"/>
  <c r="C32" i="22"/>
  <c r="C31" i="22"/>
  <c r="C30" i="22"/>
  <c r="C29" i="22"/>
  <c r="C28" i="22"/>
  <c r="C27" i="22"/>
  <c r="C26" i="22"/>
  <c r="C25" i="22"/>
  <c r="C24" i="22"/>
  <c r="C23" i="22"/>
  <c r="C22" i="22"/>
  <c r="C21" i="22"/>
  <c r="C20" i="22"/>
  <c r="C19" i="22"/>
  <c r="C18" i="22"/>
  <c r="C17" i="22"/>
  <c r="C16" i="22"/>
  <c r="C15" i="22"/>
  <c r="C14" i="22"/>
  <c r="C13" i="22"/>
  <c r="C12"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Q16" authorId="0" shapeId="0" xr:uid="{00000000-0006-0000-0200-000005000000}">
      <text>
        <r>
          <rPr>
            <sz val="10"/>
            <color rgb="FF000000"/>
            <rFont val="Arial"/>
            <family val="2"/>
            <scheme val="minor"/>
          </rPr>
          <t>ICRA assigned A1 No Crisil
	-Rajjyoti Mazumdar</t>
        </r>
      </text>
    </comment>
    <comment ref="Q19" authorId="0" shapeId="0" xr:uid="{00000000-0006-0000-0200-000004000000}">
      <text>
        <r>
          <rPr>
            <sz val="10"/>
            <color rgb="FF000000"/>
            <rFont val="Arial"/>
            <family val="2"/>
            <scheme val="minor"/>
          </rPr>
          <t>ICRA A. No Crisil
	-Rajjyoti Mazumdar</t>
        </r>
      </text>
    </comment>
    <comment ref="Q23" authorId="0" shapeId="0" xr:uid="{00000000-0006-0000-0200-000003000000}">
      <text>
        <r>
          <rPr>
            <sz val="10"/>
            <color rgb="FF000000"/>
            <rFont val="Arial"/>
            <family val="2"/>
            <scheme val="minor"/>
          </rPr>
          <t>ICRA A, No crisil
	-Rajjyoti Mazumdar</t>
        </r>
      </text>
    </comment>
    <comment ref="Q24" authorId="0" shapeId="0" xr:uid="{00000000-0006-0000-0200-000002000000}">
      <text>
        <r>
          <rPr>
            <sz val="10"/>
            <color rgb="FF000000"/>
            <rFont val="Arial"/>
            <family val="2"/>
            <scheme val="minor"/>
          </rPr>
          <t>AA- ratings at CARE,No CRISIL
	-Rajjyoti Mazumdar</t>
        </r>
      </text>
    </comment>
    <comment ref="Q28" authorId="0" shapeId="0" xr:uid="{00000000-0006-0000-0200-000001000000}">
      <text>
        <r>
          <rPr>
            <sz val="10"/>
            <color rgb="FF000000"/>
            <rFont val="Arial"/>
            <family val="2"/>
            <scheme val="minor"/>
          </rPr>
          <t>CARE AA rating
	-Rajjyoti Mazumdar</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<sst xmlns="http://schemas.openxmlformats.org/spreadsheetml/2006/main" count="3775" uniqueCount="1004">
  <si>
    <t>CASE PROPOSAL</t>
  </si>
  <si>
    <t>https://www.fool.com/investing/stock-market/types-of-stocks/esg-investing/esg-portfolio/</t>
  </si>
  <si>
    <t>Short list the top 10 performing sectors in the economy in each market cap.
 Exclude a few sectors such as Tobbaco, Conversational weapons, NUclear power, Fossil fuels, Tobbacco, Cannabis, Alcohol,, gambling, Adult entertainment, Thermal Coal
 PARAMETER:
 1. Future growth rate 
 2. GDP Contributor
 3. Market Size
 4. Threat of new entrants
 5. Organised or Unorganised Sector
 6. is it a cyclical business
 7. dependent on government policies
 8. Technology factors affecting it
 9. Complimenting industries in the portfolio
 MODEL to use:
 Use TOPSIS to shortlist the industries in each sector</t>
  </si>
  <si>
    <t>Within each sector find the Top performing stock
 PARAMETER:
 1. ESG Score - Environmental - Carbon Emission, Energy efficiency, Pollution, water scarcity
 2. ESG Score -Social - Labor standards,Workplace diversity, Supply chain management
 3. ESG Scroe - Governance - CEO and executive compensation, Board Diversity, Board structure, Transperancy, Data security, conumer privacy
 4. Future growth rate of the company
 5. Market cap
 6. Market Share
 7. EPS Growth
 8. Average volume
 9. Revenue growth
 10. CRISIL Rating
 11. Outstanding Debt
 12. Debt to Equity raatio
 13. RoE
 14. EV/EBITDA ratio
 Run a TOPSIS to shortlist the companies</t>
  </si>
  <si>
    <t>INDUSTRY</t>
  </si>
  <si>
    <t>Sno</t>
  </si>
  <si>
    <t>Industry/Sector Name</t>
  </si>
  <si>
    <t>Future Growth Rate</t>
  </si>
  <si>
    <t>GDP Contribution</t>
  </si>
  <si>
    <t>Market Size (in Billion)</t>
  </si>
  <si>
    <t>Threat of New entrants (High/Medium/Low)</t>
  </si>
  <si>
    <t>Reaonsing</t>
  </si>
  <si>
    <t>Organised/Unorganised sector</t>
  </si>
  <si>
    <t>Is it a cyclical business</t>
  </si>
  <si>
    <t>Dependent on government policies</t>
  </si>
  <si>
    <t>Technology affecting factors</t>
  </si>
  <si>
    <t>industries in portfolio</t>
  </si>
  <si>
    <t>FMCG</t>
  </si>
  <si>
    <t>Low</t>
  </si>
  <si>
    <t>Capital-intensive nature of the industry</t>
  </si>
  <si>
    <t>Mixed</t>
  </si>
  <si>
    <t>Yes</t>
  </si>
  <si>
    <t xml:space="preserve"> 3D printing,AI,Big data analytics, robotics, blockchain</t>
  </si>
  <si>
    <t>Electronics</t>
  </si>
  <si>
    <t>Medium</t>
  </si>
  <si>
    <t>New players can enter smaller markets in individual products and become a significant force in a narrow range of products</t>
  </si>
  <si>
    <t>AI, Drones, Virtual Reality</t>
  </si>
  <si>
    <t>Agro Chemical</t>
  </si>
  <si>
    <t>High</t>
  </si>
  <si>
    <t>switching costs are low for generic formulations, which leads to low entry barriers for new players</t>
  </si>
  <si>
    <t>Unorganized</t>
  </si>
  <si>
    <t>Drones, data analytics, blockchain,social media</t>
  </si>
  <si>
    <t>IT - Software</t>
  </si>
  <si>
    <t>Low barriers to entry, Availabilty of skilled talent, Government support, Globalization</t>
  </si>
  <si>
    <t>No</t>
  </si>
  <si>
    <t>Cloud computing, AI, blockchain, Iot, Cyber security, Data Analytics, Robotics, VR and AR</t>
  </si>
  <si>
    <t>The low barriers to entry, The large and growing market, The fragmented market, The dominance of established players, The high cost of marketing and distribution, The regulatory environment</t>
  </si>
  <si>
    <t>Digitalization, Contactless technology, Artificial intelligence, Cloud computing, Renewable energy</t>
  </si>
  <si>
    <t>Entertainment</t>
  </si>
  <si>
    <t>The low barriers to entry, The large and growing market, The fragmented market, The dominance of established players, The high cost of real estate, The regulatory environment</t>
  </si>
  <si>
    <t>Digitalization, Social media, Artificial intelligence, Blockchain, VR and AR</t>
  </si>
  <si>
    <t>Banks</t>
  </si>
  <si>
    <t xml:space="preserve"> Banking industry in India is highly regulated, and the Reserve Bank of India (RBI) controls the issuance of licenses, which creates entry barriers for new players</t>
  </si>
  <si>
    <t>Organized</t>
  </si>
  <si>
    <t>Digitalization</t>
  </si>
  <si>
    <t>low</t>
  </si>
  <si>
    <t>power sector in India faces challenges such as delays in capacity addition, problems in securing fuel linkages, and inefficiencies, especially in network segments and distribution sector, responsible for the supply and distribution of energy to consumers, is considered the weakest link in terms of financial and operational sustainability</t>
  </si>
  <si>
    <t>smart grids, renewable energy</t>
  </si>
  <si>
    <t>High capital costs and long gestation periods involved in setting up a new cement plant act as significant entry barriers</t>
  </si>
  <si>
    <t>Carbon capture and utilization, Digitaliztion &amp; Automation, Advanced process control</t>
  </si>
  <si>
    <t>Automobile</t>
  </si>
  <si>
    <t>The industry is capital-intensive, which makes it difficult for new entrants to enter the market</t>
  </si>
  <si>
    <t>Electric vehicles technology, Automation</t>
  </si>
  <si>
    <t>Pharmaceuticals</t>
  </si>
  <si>
    <t>The industry is highly regulated and requires significant investment in R&amp;D and manufacturing.The high cost of entry, the need for regulatory compliance, and the long lead times for product development make it difficult for new entrants</t>
  </si>
  <si>
    <t>Organized: 70%
Unorganized 30%</t>
  </si>
  <si>
    <t>Technology needed to improve the efficiency of manufacturing, the quality of products, and the discovery of new drugs.</t>
  </si>
  <si>
    <t>Infrastructure</t>
  </si>
  <si>
    <t>The infrastructure sector is a capital-intensive sector, which means that it requires a large amount of capital and expertise, which is not easily available.</t>
  </si>
  <si>
    <t>Organized: 20%
Unorganized 80%</t>
  </si>
  <si>
    <t>New technologies can be used to improve the efficiency and effectiveness of infrastructure projects.
Drones</t>
  </si>
  <si>
    <t>If possible select industry from below list</t>
  </si>
  <si>
    <t>https://www.ibef.org/industry/</t>
  </si>
  <si>
    <t>Data may vary a little</t>
  </si>
  <si>
    <t>Market Size(In billions)</t>
  </si>
  <si>
    <t>Growth</t>
  </si>
  <si>
    <t>Services</t>
  </si>
  <si>
    <t>Banking</t>
  </si>
  <si>
    <t>Financial Services</t>
  </si>
  <si>
    <t>Manufacturing</t>
  </si>
  <si>
    <t>Cement</t>
  </si>
  <si>
    <t>Agriculture and Allied Industries</t>
  </si>
  <si>
    <t>Engineering and Capital Goods</t>
  </si>
  <si>
    <t>Gems and Jewellery</t>
  </si>
  <si>
    <t>Electronics System Design &amp; Manufacturing</t>
  </si>
  <si>
    <t>Tourism and Hospitality</t>
  </si>
  <si>
    <t>Metals and Mining</t>
  </si>
  <si>
    <t>Media and Entertainment</t>
  </si>
  <si>
    <t>IT &amp; BPM</t>
  </si>
  <si>
    <t>Automobiles</t>
  </si>
  <si>
    <t>Insurance</t>
  </si>
  <si>
    <t>Steel</t>
  </si>
  <si>
    <t>Chemicals</t>
  </si>
  <si>
    <t>Telecommunications</t>
  </si>
  <si>
    <t>Real Estate</t>
  </si>
  <si>
    <t>Railways</t>
  </si>
  <si>
    <t>Healthcare</t>
  </si>
  <si>
    <t>Oil and Gas</t>
  </si>
  <si>
    <t>Education and Training</t>
  </si>
  <si>
    <t>Textiles</t>
  </si>
  <si>
    <t>Defence Manufacturing</t>
  </si>
  <si>
    <t>MSME</t>
  </si>
  <si>
    <t>Power</t>
  </si>
  <si>
    <t>Science and Technology</t>
  </si>
  <si>
    <t>Consumer Durables</t>
  </si>
  <si>
    <t>Retail</t>
  </si>
  <si>
    <t>E-Commerce</t>
  </si>
  <si>
    <t>Renewable Energy</t>
  </si>
  <si>
    <t>Biotechnology</t>
  </si>
  <si>
    <t>Auto Components</t>
  </si>
  <si>
    <t>Roads</t>
  </si>
  <si>
    <t>Medical Devices</t>
  </si>
  <si>
    <t>Ports</t>
  </si>
  <si>
    <t>Aviation</t>
  </si>
  <si>
    <t>3 years</t>
  </si>
  <si>
    <t>YoY</t>
  </si>
  <si>
    <t>Company Name</t>
  </si>
  <si>
    <t>Sector</t>
  </si>
  <si>
    <t>Current Market Price(In Rs)</t>
  </si>
  <si>
    <t>Environmental Score</t>
  </si>
  <si>
    <t>Social Score</t>
  </si>
  <si>
    <t>Governance Score</t>
  </si>
  <si>
    <t>Future growth rate of the company</t>
  </si>
  <si>
    <t>Market Cap (cr)</t>
  </si>
  <si>
    <t>Market Share</t>
  </si>
  <si>
    <t>EPS Growth</t>
  </si>
  <si>
    <t>Average Volume</t>
  </si>
  <si>
    <t>Revenue Growth</t>
  </si>
  <si>
    <t>CRISIL Rating</t>
  </si>
  <si>
    <t>Outstanding Debt</t>
  </si>
  <si>
    <t>Debt to Equity Ratio</t>
  </si>
  <si>
    <t>Return on Equity</t>
  </si>
  <si>
    <t>EV/EBITDA Ratio</t>
  </si>
  <si>
    <t>Mahindra and Mahindra</t>
  </si>
  <si>
    <t>Tata Motors</t>
  </si>
  <si>
    <t>Maruti Suzuki</t>
  </si>
  <si>
    <t>K E C International Ltd</t>
  </si>
  <si>
    <t>Force Motors Ltd</t>
  </si>
  <si>
    <t>Kotak Mahindra Bank Limited</t>
  </si>
  <si>
    <t>HDFC Bank Limited</t>
  </si>
  <si>
    <t>Axis Bank Limited</t>
  </si>
  <si>
    <t>IDFC FIRST Bank Limited</t>
  </si>
  <si>
    <t>City Union Bank</t>
  </si>
  <si>
    <t>Sun Pharmaceuticals Industries Ltd</t>
  </si>
  <si>
    <t>Dr Reddy's Laboratories Ltd</t>
  </si>
  <si>
    <t>Aurobindo Pharma Ltd</t>
  </si>
  <si>
    <t>Suven Pharmaceuticals Limited</t>
  </si>
  <si>
    <t>Unichem Laboratories Limited</t>
  </si>
  <si>
    <t>Larsen &amp; Toubro Ltd</t>
  </si>
  <si>
    <t>Macrotech Developers Limited</t>
  </si>
  <si>
    <t>DLF Ltd</t>
  </si>
  <si>
    <t>NCC Limited</t>
  </si>
  <si>
    <t>JMC Projects India Limited</t>
  </si>
  <si>
    <t>Adani Green Energy Limited</t>
  </si>
  <si>
    <t>Power &amp; Distribution</t>
  </si>
  <si>
    <t>The Tata Power Company Limited</t>
  </si>
  <si>
    <t>NHPC Limited</t>
  </si>
  <si>
    <t>Gujarat Industries Power Company Limited</t>
  </si>
  <si>
    <t>Reliance Power Limited</t>
  </si>
  <si>
    <t>Shree Cement Limited</t>
  </si>
  <si>
    <t>Ambuja Cement Limited</t>
  </si>
  <si>
    <t>UltraTech Cement Limited</t>
  </si>
  <si>
    <t>Star Cement Limited</t>
  </si>
  <si>
    <t>NCL Industries Limited</t>
  </si>
  <si>
    <t>Tata Consultancy Services Ltd</t>
  </si>
  <si>
    <t>Infosys Ltd</t>
  </si>
  <si>
    <t>Tata Elxsi Ltd</t>
  </si>
  <si>
    <t>Happiest Minds Technologies Ltd</t>
  </si>
  <si>
    <t>Latent View Analytics Ltd</t>
  </si>
  <si>
    <t>Zee Entertainment Enterprises Ltd</t>
  </si>
  <si>
    <t>Entertainment &amp; Media</t>
  </si>
  <si>
    <t>Sun TV Network Ltd</t>
  </si>
  <si>
    <t>PVR Inox Ltd</t>
  </si>
  <si>
    <t>TV Today Network Limited</t>
  </si>
  <si>
    <t>Network 18 Media &amp; Investments Ltd</t>
  </si>
  <si>
    <t>Indian Hotels Co Ltd</t>
  </si>
  <si>
    <t>Hotels and Restaurants</t>
  </si>
  <si>
    <t>EIH Ltd</t>
  </si>
  <si>
    <t>Chalet Hotels Ltd</t>
  </si>
  <si>
    <t>Mahindra Holidays &amp; Resorts India Ltd</t>
  </si>
  <si>
    <t>Lemon Tree Hotels Ltd</t>
  </si>
  <si>
    <t>Sector classification</t>
  </si>
  <si>
    <t>Listed/Unlisted</t>
  </si>
  <si>
    <t>Environment Score</t>
  </si>
  <si>
    <t>ESG Score</t>
  </si>
  <si>
    <t>Category</t>
  </si>
  <si>
    <t>360 One Wam Limited</t>
  </si>
  <si>
    <t>Listed</t>
  </si>
  <si>
    <t>Adequate</t>
  </si>
  <si>
    <t>3M India Limited</t>
  </si>
  <si>
    <t>Industrial and capital goods</t>
  </si>
  <si>
    <t>Aadhar Housing Finance Limited</t>
  </si>
  <si>
    <t>Lending</t>
  </si>
  <si>
    <t>Unlisted</t>
  </si>
  <si>
    <t>Strong</t>
  </si>
  <si>
    <t>Aarti Industries Limited</t>
  </si>
  <si>
    <t>Chemical</t>
  </si>
  <si>
    <t>AAVAS Financiers Limited</t>
  </si>
  <si>
    <t>ABB India Limited</t>
  </si>
  <si>
    <t>Abbott India Limited</t>
  </si>
  <si>
    <t>ACC Limited</t>
  </si>
  <si>
    <t>Action Construction Equipment Limited</t>
  </si>
  <si>
    <t>Adani Enterprises Limited</t>
  </si>
  <si>
    <t>Logistics</t>
  </si>
  <si>
    <t>Below Average</t>
  </si>
  <si>
    <t>Power Renewable</t>
  </si>
  <si>
    <t>Adani Ports and Special Economic Zone Limited</t>
  </si>
  <si>
    <t>Adani Power Limited</t>
  </si>
  <si>
    <t>Power Thermal</t>
  </si>
  <si>
    <t>Adani Total Gas Limited</t>
  </si>
  <si>
    <t>Oil and Gas - Gas</t>
  </si>
  <si>
    <t>Adani Transmission Limited</t>
  </si>
  <si>
    <t>Power T&amp;amp;D</t>
  </si>
  <si>
    <t>Aditya Birla Capital Limited</t>
  </si>
  <si>
    <t>Holding</t>
  </si>
  <si>
    <t>Aditya Birla Fashion and Retail Limited</t>
  </si>
  <si>
    <t>Consumer Products</t>
  </si>
  <si>
    <t>Aditya Birla Finance Limited</t>
  </si>
  <si>
    <t>Aditya Birla Housing Finance Limited</t>
  </si>
  <si>
    <t>Aditya Birla Sun Life AMC Limited</t>
  </si>
  <si>
    <t>Advanced Enzyme Technologies Limited</t>
  </si>
  <si>
    <t>Affle (India) Limited</t>
  </si>
  <si>
    <t>IT</t>
  </si>
  <si>
    <t>Ahluwalia Contracts India Limited</t>
  </si>
  <si>
    <t>Construction EPC</t>
  </si>
  <si>
    <t>AIA Engineering Limited</t>
  </si>
  <si>
    <t>Heavy Engineering</t>
  </si>
  <si>
    <t>Ajanta Pharma Limited</t>
  </si>
  <si>
    <t>Akzo Nobel India Limited</t>
  </si>
  <si>
    <t>Paints</t>
  </si>
  <si>
    <t>Alembic Limited</t>
  </si>
  <si>
    <t>Alembic Pharmaceuticals Limited</t>
  </si>
  <si>
    <t>Alkem Laboratories Limited</t>
  </si>
  <si>
    <t>Amara Raja Batteries Limited</t>
  </si>
  <si>
    <t>Batteries</t>
  </si>
  <si>
    <t>Amber Enterprises India Limited</t>
  </si>
  <si>
    <t>Consumer Durable</t>
  </si>
  <si>
    <t>Ambuja Cements Limited</t>
  </si>
  <si>
    <t>Angel One Limited</t>
  </si>
  <si>
    <t>Apar Industries Limited</t>
  </si>
  <si>
    <t>APL Apollo Tubes Limited</t>
  </si>
  <si>
    <t>Metal</t>
  </si>
  <si>
    <t>Apollo Tyres Limited</t>
  </si>
  <si>
    <t>Tyre</t>
  </si>
  <si>
    <t>Arvind Fashions Limited</t>
  </si>
  <si>
    <t>Arvind Limited</t>
  </si>
  <si>
    <t>Ashok Leyland Limited</t>
  </si>
  <si>
    <t>Auto OEM</t>
  </si>
  <si>
    <t>Ashoka Buildcon Limited</t>
  </si>
  <si>
    <t>Road Infrastructure</t>
  </si>
  <si>
    <t>Asian Paints Limited</t>
  </si>
  <si>
    <t>Aster DM Healthcare Limited</t>
  </si>
  <si>
    <t>Astral Limited</t>
  </si>
  <si>
    <t>Building material</t>
  </si>
  <si>
    <t>Astrazeneca Pharma India Limited.</t>
  </si>
  <si>
    <t>Atul Limited</t>
  </si>
  <si>
    <t>AU Small Finance Bank Limited</t>
  </si>
  <si>
    <t>Aurobindo Pharma Limited</t>
  </si>
  <si>
    <t>Avenue Supermarts Limited</t>
  </si>
  <si>
    <t>Multi Brand retail</t>
  </si>
  <si>
    <t>Leadership</t>
  </si>
  <si>
    <t>Axis Finance Limited</t>
  </si>
  <si>
    <t>Bahadur Chand Investments Private Limited</t>
  </si>
  <si>
    <t>Bajaj Auto Limited</t>
  </si>
  <si>
    <t>Bajaj Consumer Care Limited</t>
  </si>
  <si>
    <t>Bajaj Electricals Limited</t>
  </si>
  <si>
    <t>Consumer electricals</t>
  </si>
  <si>
    <t>Bajaj Finance Limited</t>
  </si>
  <si>
    <t>Bajaj Finserv Limited</t>
  </si>
  <si>
    <t>Bajaj Holdings and Investment Limited</t>
  </si>
  <si>
    <t>Bajaj Housing Finance Limited</t>
  </si>
  <si>
    <t>Balkrishna Industries Limited</t>
  </si>
  <si>
    <t>Balrampur Chini Mills Limited</t>
  </si>
  <si>
    <t>Sugar</t>
  </si>
  <si>
    <t>Bandhan Bank Limited</t>
  </si>
  <si>
    <t>Bank of Baroda</t>
  </si>
  <si>
    <t>Bank of India</t>
  </si>
  <si>
    <t>Bank of Maharashtra</t>
  </si>
  <si>
    <t>BASF India Limited</t>
  </si>
  <si>
    <t>Bata India Limited</t>
  </si>
  <si>
    <t>Bayer Cropscience Limited</t>
  </si>
  <si>
    <t>BEML Limited</t>
  </si>
  <si>
    <t>Berger Paints India Limited</t>
  </si>
  <si>
    <t>Bharat Dynamics Limited</t>
  </si>
  <si>
    <t>Bharat Electronics Limited</t>
  </si>
  <si>
    <t>Bharat Forge Limited</t>
  </si>
  <si>
    <t>Auto Ancillary</t>
  </si>
  <si>
    <t>Bharat Heavy Electricals Limited</t>
  </si>
  <si>
    <t>Bharat Oman Refineries Limited</t>
  </si>
  <si>
    <t>Oil and Gas - OMC</t>
  </si>
  <si>
    <t>Bharat Petroleum Corporation Limited</t>
  </si>
  <si>
    <t>Bharat Sanchar Nigam Limited</t>
  </si>
  <si>
    <t>Telecom</t>
  </si>
  <si>
    <t>Bharti Airtel Limited</t>
  </si>
  <si>
    <t>Bharti Telecom Limited</t>
  </si>
  <si>
    <t>Bhopal Dhule Transmission Company Limited</t>
  </si>
  <si>
    <t>Biocon Limited</t>
  </si>
  <si>
    <t>Birla Corporation Limited</t>
  </si>
  <si>
    <t>Birla Group Holdings Private Limited</t>
  </si>
  <si>
    <t>Birlasoft Limited</t>
  </si>
  <si>
    <t>Blue Dart Express Limited</t>
  </si>
  <si>
    <t>Blue Star Limited</t>
  </si>
  <si>
    <t>Bosch Limited</t>
  </si>
  <si>
    <t>Brigade Enterprises Limited</t>
  </si>
  <si>
    <t>Britannia Industries Limited</t>
  </si>
  <si>
    <t>Brookfield India Real Estate Trust</t>
  </si>
  <si>
    <t>REIT</t>
  </si>
  <si>
    <t>Camlin Fine Sciences Limited</t>
  </si>
  <si>
    <t>Can Fin Homes Limited</t>
  </si>
  <si>
    <t>Canara Bank</t>
  </si>
  <si>
    <t>Capacite Infraprojects Limited</t>
  </si>
  <si>
    <t>Carborundum Universal Limited</t>
  </si>
  <si>
    <t>Cartrade Tech Limited</t>
  </si>
  <si>
    <t>Internet</t>
  </si>
  <si>
    <t>Castrol India Limited</t>
  </si>
  <si>
    <t>Lubricants</t>
  </si>
  <si>
    <t>CCL Products (India) Limited</t>
  </si>
  <si>
    <t>Ceat Limited</t>
  </si>
  <si>
    <t>Central Bank Of India</t>
  </si>
  <si>
    <t>Central Depository Services India Limited</t>
  </si>
  <si>
    <t>Centum Electronics Limited</t>
  </si>
  <si>
    <t>Century Plyboards India Limited</t>
  </si>
  <si>
    <t>Century Textiles and Industries Limited</t>
  </si>
  <si>
    <t>Cera Sanitaryware Limited</t>
  </si>
  <si>
    <t>CESC Limited</t>
  </si>
  <si>
    <t>CG Power and Industrial Solutions Limited</t>
  </si>
  <si>
    <t>Chalet Hotels Limited</t>
  </si>
  <si>
    <t>Hotel</t>
  </si>
  <si>
    <t>Chambal Fertilisers and Chemicals Limited</t>
  </si>
  <si>
    <t>Chemplast Sanmar Limited</t>
  </si>
  <si>
    <t>Chennai Petroleum Corporation Limited</t>
  </si>
  <si>
    <t>Cholamandalam Financial Holdings Limited</t>
  </si>
  <si>
    <t>Cholamandalam Investment and Finance Company Limited</t>
  </si>
  <si>
    <t>Cipla Limited</t>
  </si>
  <si>
    <t>City Union Bank Limited</t>
  </si>
  <si>
    <t>Clean Science and Technology Limited</t>
  </si>
  <si>
    <t>Coal India Limited</t>
  </si>
  <si>
    <t>Mining</t>
  </si>
  <si>
    <t>Coastal Gujarat Power Limited</t>
  </si>
  <si>
    <t>Coforge Limited</t>
  </si>
  <si>
    <t>Colgate - Palmolive India Limited</t>
  </si>
  <si>
    <t>Computer Age Management Services Limited</t>
  </si>
  <si>
    <t>Container Corporation of India Limited</t>
  </si>
  <si>
    <t>Coromandel International Limited</t>
  </si>
  <si>
    <t>CreditAccess Grameen Limited</t>
  </si>
  <si>
    <t>Crompton Greaves Consumer Electricals Limited</t>
  </si>
  <si>
    <t>CSB Bank Limited</t>
  </si>
  <si>
    <t>Cummins India Limited</t>
  </si>
  <si>
    <t>Cyient Limited</t>
  </si>
  <si>
    <t>Dabur India Limited</t>
  </si>
  <si>
    <t>Dalmia Bharat Limited- -formerly Odisha Cement Limited</t>
  </si>
  <si>
    <t>DB Corp Limited</t>
  </si>
  <si>
    <t>Media</t>
  </si>
  <si>
    <t>DCB Bank Limited</t>
  </si>
  <si>
    <t>Deepak Nitrite Limited</t>
  </si>
  <si>
    <t>Delta Corp Limited</t>
  </si>
  <si>
    <t>Dhanuka Agritech Limited</t>
  </si>
  <si>
    <t>Dilip Buildcon Limited</t>
  </si>
  <si>
    <t>Divis Laboratories Limited</t>
  </si>
  <si>
    <t>Dixon Technologies (India) Limited</t>
  </si>
  <si>
    <t>DLF Limited</t>
  </si>
  <si>
    <t>Dr. Lal Pathlabs Limited</t>
  </si>
  <si>
    <t>Dr. ReddyS Laboratories Limited</t>
  </si>
  <si>
    <t>Dynamatic Technologies Limited</t>
  </si>
  <si>
    <t>Eclerx Services Limited</t>
  </si>
  <si>
    <t>Edelweiss Financial Services Limited</t>
  </si>
  <si>
    <t>Edelweiss Rural and Corporate Services Limited</t>
  </si>
  <si>
    <t>Eicher Motors Limited</t>
  </si>
  <si>
    <t>EIH Limited</t>
  </si>
  <si>
    <t>Elecon Engineering Company Limited</t>
  </si>
  <si>
    <t>Elgi Equipments Limited</t>
  </si>
  <si>
    <t>Emami Limited</t>
  </si>
  <si>
    <t>Embassy Office Parks Reit</t>
  </si>
  <si>
    <t>Endurance Technologies Limited</t>
  </si>
  <si>
    <t>Engineers India Limited</t>
  </si>
  <si>
    <t>EPL Limited</t>
  </si>
  <si>
    <t>Equitas Holdings Limited</t>
  </si>
  <si>
    <t>Equitas Small Finance Bank Limited</t>
  </si>
  <si>
    <t>ERIS Lifesciences Limited</t>
  </si>
  <si>
    <t>Esab India Limited</t>
  </si>
  <si>
    <t>Escorts Kubota Limited</t>
  </si>
  <si>
    <t>Exide Industries Limited</t>
  </si>
  <si>
    <t>Export Import Bank of India</t>
  </si>
  <si>
    <t>DFI-Unlisted</t>
  </si>
  <si>
    <t>Fine Organic Industries Limited</t>
  </si>
  <si>
    <t>Finolex Cables Limited</t>
  </si>
  <si>
    <t>Finolex Industries Limited</t>
  </si>
  <si>
    <t>Firstsource Solutions Limited</t>
  </si>
  <si>
    <t>Food Corporation of India</t>
  </si>
  <si>
    <t>Agri Commodities</t>
  </si>
  <si>
    <t>Fortis Healthcare Limited</t>
  </si>
  <si>
    <t>FSN E-Commerce Ventures Limited</t>
  </si>
  <si>
    <t>Fullerton India Credit Company Limited</t>
  </si>
  <si>
    <t>G R Infraprojects Limited</t>
  </si>
  <si>
    <t>Gabriel India Limited</t>
  </si>
  <si>
    <t>Gail India Limited</t>
  </si>
  <si>
    <t>Galaxy Surfactants Limited</t>
  </si>
  <si>
    <t>Garden Reach Shipbuilders and Engineers Limited</t>
  </si>
  <si>
    <t>Shipbuilding</t>
  </si>
  <si>
    <t>Gateway Distriparks Limited</t>
  </si>
  <si>
    <t>Gati Limited</t>
  </si>
  <si>
    <t>GE Power India Limited</t>
  </si>
  <si>
    <t>GE T&amp;amp;D India Limited</t>
  </si>
  <si>
    <t>General Insurance Corporation of India</t>
  </si>
  <si>
    <t>GHCL Limited</t>
  </si>
  <si>
    <t>GIC Housing Finance Limited</t>
  </si>
  <si>
    <t>Gillette India Limited</t>
  </si>
  <si>
    <t>Gland Pharma Limited</t>
  </si>
  <si>
    <t>Glaxo Smithkline Pharmaceuticals Limited</t>
  </si>
  <si>
    <t>Glenmark Pharmaceuticals Limited</t>
  </si>
  <si>
    <t>GMM Pfaudler Limited</t>
  </si>
  <si>
    <t>GNA Axles Limited</t>
  </si>
  <si>
    <t>Go Fashion (India) Limited</t>
  </si>
  <si>
    <t>Godfrey Phillips India Limited</t>
  </si>
  <si>
    <t>Godrej Agrovet Limited</t>
  </si>
  <si>
    <t>Godrej Consumer Products Limited</t>
  </si>
  <si>
    <t>Godrej Properties Limited</t>
  </si>
  <si>
    <t>Gokaldas Exports Limited</t>
  </si>
  <si>
    <t>Goodyear India Limited</t>
  </si>
  <si>
    <t>Granules India Limited</t>
  </si>
  <si>
    <t>Graphite India Limited</t>
  </si>
  <si>
    <t>Grasim Industries Limited</t>
  </si>
  <si>
    <t>Diversified</t>
  </si>
  <si>
    <t>Greenlam Industries Limited</t>
  </si>
  <si>
    <t>Greenpanel Industries Limited</t>
  </si>
  <si>
    <t>Greenply Industries Limited</t>
  </si>
  <si>
    <t>Grindwell Norton Limited</t>
  </si>
  <si>
    <t>Gujarat Gas Limited</t>
  </si>
  <si>
    <t>Gujarat Narmada Valley Fertilizers and Chemicals Limited</t>
  </si>
  <si>
    <t>Gujarat Pipavav Port Limited</t>
  </si>
  <si>
    <t>Gujarat State Fertilizers and Chemicals Limited</t>
  </si>
  <si>
    <t>Gujarat State Petronet Limited</t>
  </si>
  <si>
    <t>H.G. Infra Engineering Limited</t>
  </si>
  <si>
    <t>Happiest Minds Technologies Limited</t>
  </si>
  <si>
    <t>Hatsun Agro Product Limited</t>
  </si>
  <si>
    <t>Havells India Limited</t>
  </si>
  <si>
    <t>Hawkins Cookers Limited</t>
  </si>
  <si>
    <t>HCL Technologies Limited</t>
  </si>
  <si>
    <t>HDB Financial Services Limited</t>
  </si>
  <si>
    <t>HDFC Asset Management Company Limited</t>
  </si>
  <si>
    <t>HDFC Credila Financial Services Limited</t>
  </si>
  <si>
    <t>HDFC Life Insurance Company Limited</t>
  </si>
  <si>
    <t>HDFC Securities Limited</t>
  </si>
  <si>
    <t>Healthcare Global Enterprises Limited</t>
  </si>
  <si>
    <t>Heidelberg Cement India Limited</t>
  </si>
  <si>
    <t>Heritage Foods Limited</t>
  </si>
  <si>
    <t>Hero FinCorp Limited</t>
  </si>
  <si>
    <t>Hero Motocorp Limited</t>
  </si>
  <si>
    <t>Himatsingka Seide Limited</t>
  </si>
  <si>
    <t>Hindalco Industries Limited</t>
  </si>
  <si>
    <t>Hinduja Leyland Finance Limited</t>
  </si>
  <si>
    <t>Hindustan Aeronautics Limited</t>
  </si>
  <si>
    <t>Hindustan Construction Company Limited</t>
  </si>
  <si>
    <t>Hindustan Copper Limited</t>
  </si>
  <si>
    <t>Hindustan Petroleum Corporation Limited</t>
  </si>
  <si>
    <t>Hindustan Unilever Limited</t>
  </si>
  <si>
    <t>Hindustan Zinc Limited</t>
  </si>
  <si>
    <t>Hitachi Energy India Limited</t>
  </si>
  <si>
    <t>Home First Finance Company India Limited</t>
  </si>
  <si>
    <t>Honeywell Automation India Limited</t>
  </si>
  <si>
    <t>Housing and Urban Development Corporation Limited</t>
  </si>
  <si>
    <t>Housing Development Finance Corporation Limited</t>
  </si>
  <si>
    <t>ICICI Bank Limited</t>
  </si>
  <si>
    <t>ICICI Home Finance Company Limited</t>
  </si>
  <si>
    <t>ICICI Lombard General Insurance Company Limited</t>
  </si>
  <si>
    <t>ICICI Prudential Life Insurance Company Limited</t>
  </si>
  <si>
    <t>ICICI Securities Limited</t>
  </si>
  <si>
    <t>IDBI Bank Limited</t>
  </si>
  <si>
    <t>IDFC Limited</t>
  </si>
  <si>
    <t>Ifgl Refractories Limited-formerly IFGL Exports Limited</t>
  </si>
  <si>
    <t>IIFL Finance Limited</t>
  </si>
  <si>
    <t>IIFL Home Finance Limited</t>
  </si>
  <si>
    <t>India Grid Trust</t>
  </si>
  <si>
    <t>Invit</t>
  </si>
  <si>
    <t>India Infradebt Limited</t>
  </si>
  <si>
    <t>Indiabulls Commercial Credit Limited</t>
  </si>
  <si>
    <t>Indiabulls Housing Finance Limited</t>
  </si>
  <si>
    <t>Indiamart Intermesh Limited</t>
  </si>
  <si>
    <t>Indian Bank</t>
  </si>
  <si>
    <t>Indian Energy Exchange Limited</t>
  </si>
  <si>
    <t>Indian Oil Corporation Limited</t>
  </si>
  <si>
    <t>Indian Overseas Bank</t>
  </si>
  <si>
    <t>Indian Railway Catering and Tourism Corporation Limited</t>
  </si>
  <si>
    <t>Indian Railway Finance Corporation Limited</t>
  </si>
  <si>
    <t>Indian Renewable Energy Development Agency Limited</t>
  </si>
  <si>
    <t>Indigo Paints Limited</t>
  </si>
  <si>
    <t>IndInfravit Trust</t>
  </si>
  <si>
    <t>Indoco Remedies Limited</t>
  </si>
  <si>
    <t>IndoStar Capital Finance Limited</t>
  </si>
  <si>
    <t>Indraprastha Gas Limited</t>
  </si>
  <si>
    <t>Indus Towers Limited</t>
  </si>
  <si>
    <t>IndusInd Bank Limited</t>
  </si>
  <si>
    <t>Infibeam Avenues Limited</t>
  </si>
  <si>
    <t>Info Edge (India) Limited</t>
  </si>
  <si>
    <t>Infosys Limited</t>
  </si>
  <si>
    <t>Ingersoll Rand India Limited</t>
  </si>
  <si>
    <t>Inox Leisure Limited</t>
  </si>
  <si>
    <t>Inox Wind Energy Limited</t>
  </si>
  <si>
    <t>Insecticides (India) Limited</t>
  </si>
  <si>
    <t>Intellect Design Arena Limited</t>
  </si>
  <si>
    <t>Interglobe Aviation Limited</t>
  </si>
  <si>
    <t>Airlines</t>
  </si>
  <si>
    <t>IPCA Laboratories Limited</t>
  </si>
  <si>
    <t>IRB Infrastructure Developers Limited</t>
  </si>
  <si>
    <t>ISGEC Heavy Engineering Limited</t>
  </si>
  <si>
    <t>ITC Limited</t>
  </si>
  <si>
    <t>ITD Cementation India Limited</t>
  </si>
  <si>
    <t>J B Chemicals and Pharmaceuticals Limited</t>
  </si>
  <si>
    <t>J. Kumar Infraprojects Limited</t>
  </si>
  <si>
    <t>Jagran Prakashan Limited</t>
  </si>
  <si>
    <t>Jamna Auto Industries Limited</t>
  </si>
  <si>
    <t>Jamnagar Utilities and Power Private Limited</t>
  </si>
  <si>
    <t>Jindal Steel and Power Limited</t>
  </si>
  <si>
    <t>JK Cement Limited</t>
  </si>
  <si>
    <t>JK Lakshmi Cement Limited</t>
  </si>
  <si>
    <t>JK Tyre and Industries Limited</t>
  </si>
  <si>
    <t>JM Financial Asset Reconstruction Company Limited</t>
  </si>
  <si>
    <t>JM Financial Credit Solutions Limited</t>
  </si>
  <si>
    <t>JM Financial Limited</t>
  </si>
  <si>
    <t>JM Financial Products Limited</t>
  </si>
  <si>
    <t>JM Financial Services Limited</t>
  </si>
  <si>
    <t>John Deere Financial India Private Limited</t>
  </si>
  <si>
    <t>Johnson Controls-Hitachi Air Conditioning India Limited</t>
  </si>
  <si>
    <t>JSW Energy Limited</t>
  </si>
  <si>
    <t>JSW Steel Limited</t>
  </si>
  <si>
    <t>Jubilant FoodWorks Limited</t>
  </si>
  <si>
    <t>Food Retail</t>
  </si>
  <si>
    <t>Jubilant Pharmova Limited</t>
  </si>
  <si>
    <t>Just Dial Limited</t>
  </si>
  <si>
    <t>Jyothy Labs Limited</t>
  </si>
  <si>
    <t>Kajaria Ceramics Limited</t>
  </si>
  <si>
    <t>Kalpataru Power Transmission Limited</t>
  </si>
  <si>
    <t>Kansai Nerolac Paints Limited</t>
  </si>
  <si>
    <t>KEC International Limited</t>
  </si>
  <si>
    <t>KEI Industries Limited</t>
  </si>
  <si>
    <t>Kennametal India Limited</t>
  </si>
  <si>
    <t>Kirloskar Ferrous Industries Limited</t>
  </si>
  <si>
    <t>Kirloskar Pneumatic Company Limited</t>
  </si>
  <si>
    <t>KNR Constructions Limited</t>
  </si>
  <si>
    <t>Kotak Mahindra Investments Limited</t>
  </si>
  <si>
    <t>Kotak Mahindra Prime Limited</t>
  </si>
  <si>
    <t>Kotak Securities Limited</t>
  </si>
  <si>
    <t>KPIT Technologies Limited</t>
  </si>
  <si>
    <t>KPR Mill Limited</t>
  </si>
  <si>
    <t>Krishna Institute of Medical Sciences Limited</t>
  </si>
  <si>
    <t>KSB Limited</t>
  </si>
  <si>
    <t>L G Balakrishnan and Bros Limited</t>
  </si>
  <si>
    <t>L&amp;T Finance Holdings Limited</t>
  </si>
  <si>
    <t>L&amp;T Finance Limited</t>
  </si>
  <si>
    <t>L&amp;T Technology Services Limited</t>
  </si>
  <si>
    <t>LA Opala R G Limited</t>
  </si>
  <si>
    <t>Lakshmi Machine Works Limited</t>
  </si>
  <si>
    <t>Larsen and Toubro Limited</t>
  </si>
  <si>
    <t>Latent View Analytics Limited</t>
  </si>
  <si>
    <t>Laurus Labs Limited</t>
  </si>
  <si>
    <t>Laxmi Organic Industries Limited</t>
  </si>
  <si>
    <t>Lemon Tree Hotels Limited</t>
  </si>
  <si>
    <t>LIC Housing Finance Limited</t>
  </si>
  <si>
    <t>Linde India Limited</t>
  </si>
  <si>
    <t>LTIMindtree Limited</t>
  </si>
  <si>
    <t>Lumax Industries Limited</t>
  </si>
  <si>
    <t>Lupin Limited</t>
  </si>
  <si>
    <t>Lux Industries Limited</t>
  </si>
  <si>
    <t>Mahanagar Gas Limited</t>
  </si>
  <si>
    <t>Mahanagar Telephone Nigam Limited</t>
  </si>
  <si>
    <t>Mahindra and Mahindra Financial Services Limited</t>
  </si>
  <si>
    <t>Mahindra and Mahindra Limited</t>
  </si>
  <si>
    <t>Mahindra Holidays and Resorts India Limited</t>
  </si>
  <si>
    <t>Mahindra Lifespace Developers Limited</t>
  </si>
  <si>
    <t>Mahindra Logistics Limited</t>
  </si>
  <si>
    <t>Mahindra Rural Housing Finance Limited</t>
  </si>
  <si>
    <t>Manappuram Finance Limited</t>
  </si>
  <si>
    <t>Mangalam Cement Limited</t>
  </si>
  <si>
    <t>Marico Limited</t>
  </si>
  <si>
    <t>Maruti Suzuki India Limited</t>
  </si>
  <si>
    <t>MAS Financial Services Limited</t>
  </si>
  <si>
    <t>Mastek Limited</t>
  </si>
  <si>
    <t>Max Financial Services Limited</t>
  </si>
  <si>
    <t>Max Healthcare Institute Limited</t>
  </si>
  <si>
    <t>MEP Infrastructure Developers Limited</t>
  </si>
  <si>
    <t>Metropolis Healthcare Limited</t>
  </si>
  <si>
    <t>Minda Corporation Limited</t>
  </si>
  <si>
    <t>Mindspace Business Parks REIT (Mindspace REIT)</t>
  </si>
  <si>
    <t>MindTree Limited</t>
  </si>
  <si>
    <t>Mishra Dhatu Nigam Limited</t>
  </si>
  <si>
    <t>MM Forgings Limited</t>
  </si>
  <si>
    <t>Motilal Oswal Financial Services Limited</t>
  </si>
  <si>
    <t>Motilal Oswal Home Finance Limited</t>
  </si>
  <si>
    <t>Mphasis Limited</t>
  </si>
  <si>
    <t>MPS Limited</t>
  </si>
  <si>
    <t>MRF Limited</t>
  </si>
  <si>
    <t>Mrs.Bectors Food Specialities Limited</t>
  </si>
  <si>
    <t>MTAR Technologies Limited</t>
  </si>
  <si>
    <t>Multi Commodity Exchange of India Limited</t>
  </si>
  <si>
    <t>Muthoot Finance Limited</t>
  </si>
  <si>
    <t>Nabha Power Limited</t>
  </si>
  <si>
    <t>Narayana Hrudayalaya Limited</t>
  </si>
  <si>
    <t>Natco Pharma Limited</t>
  </si>
  <si>
    <t>National Aluminium Company Limited</t>
  </si>
  <si>
    <t>National Bank For Agriculture and Rural Development</t>
  </si>
  <si>
    <t>National Cooperative Development Corporation</t>
  </si>
  <si>
    <t>National Housing Bank</t>
  </si>
  <si>
    <t>Navin Fluorine International Limited</t>
  </si>
  <si>
    <t>Navneet Education Limited</t>
  </si>
  <si>
    <t>Education &amp; Publishing</t>
  </si>
  <si>
    <t>Nayara Energy Limited</t>
  </si>
  <si>
    <t>Nazara Technologies Limited</t>
  </si>
  <si>
    <t>NBCC (India) Limited</t>
  </si>
  <si>
    <t>Neogen Chemicals Limited</t>
  </si>
  <si>
    <t>Nestle India Limited</t>
  </si>
  <si>
    <t>Network18 Media and Investments Limited</t>
  </si>
  <si>
    <t>Newgen Software Technologies Limited</t>
  </si>
  <si>
    <t>Nilkamal Limited</t>
  </si>
  <si>
    <t>Nippon Life India Asset Management Limited</t>
  </si>
  <si>
    <t>NLC India Limited</t>
  </si>
  <si>
    <t>NRB Bearings Limited</t>
  </si>
  <si>
    <t>NTPC Limited</t>
  </si>
  <si>
    <t>Nuclear Power Corporation of India Limited</t>
  </si>
  <si>
    <t>Nuvoco Vistas Corporation Limited</t>
  </si>
  <si>
    <t>Oberoi Realty Limited</t>
  </si>
  <si>
    <t>Oil India Limited</t>
  </si>
  <si>
    <t>Oil &amp; Gas - E&amp;P</t>
  </si>
  <si>
    <t>One 97 Communications Limited</t>
  </si>
  <si>
    <t>Oracle Financial Services Software Limited</t>
  </si>
  <si>
    <t>Orient Cement Limited</t>
  </si>
  <si>
    <t>Orient Electric Limited</t>
  </si>
  <si>
    <t>Oriental Carbon and Chemicals Limited</t>
  </si>
  <si>
    <t>Page Industries Limited</t>
  </si>
  <si>
    <t>Panatone Finvest Limited</t>
  </si>
  <si>
    <t>Paras Defence and Space Technologies Limited</t>
  </si>
  <si>
    <t>Patanjali Foods Limited</t>
  </si>
  <si>
    <t>PB Fintech Limited</t>
  </si>
  <si>
    <t>PCBL Limited</t>
  </si>
  <si>
    <t>Persistent Systems Limited</t>
  </si>
  <si>
    <t>Petronet LNG Limited</t>
  </si>
  <si>
    <t>Pfizer Limited</t>
  </si>
  <si>
    <t>Phoenix Mills Limited</t>
  </si>
  <si>
    <t>PI Industries Limited</t>
  </si>
  <si>
    <t>Pidilite Industries Limited</t>
  </si>
  <si>
    <t>Piramal Capital and Housing Finance Limited</t>
  </si>
  <si>
    <t>Piramal Enterprises Limited</t>
  </si>
  <si>
    <t>Pitti Engineering Limited</t>
  </si>
  <si>
    <t>PNB Housing Finance Limited</t>
  </si>
  <si>
    <t>PNC Infratech Limited</t>
  </si>
  <si>
    <t>Polycab India Limited</t>
  </si>
  <si>
    <t>Power Finance Corporation Limited</t>
  </si>
  <si>
    <t>DFI-Listed</t>
  </si>
  <si>
    <t>Power Grid Corporation of India Limited</t>
  </si>
  <si>
    <t>Power T&amp;D</t>
  </si>
  <si>
    <t>Power Mech Projects Limited</t>
  </si>
  <si>
    <t>Premier Explosives Limited</t>
  </si>
  <si>
    <t>Prestige Estates Projects Limited</t>
  </si>
  <si>
    <t>Prince Pipes and Fittings Limited</t>
  </si>
  <si>
    <t>Prism Johnson Limited</t>
  </si>
  <si>
    <t>Procter &amp; Gamble Health Limited</t>
  </si>
  <si>
    <t>Procter and Gamble Hygiene and Health Care Limited</t>
  </si>
  <si>
    <t>Pune Solapur Expressways Private Limited</t>
  </si>
  <si>
    <t>Weak</t>
  </si>
  <si>
    <t>Punjab and Sind Bank</t>
  </si>
  <si>
    <t>Punjab National Bank</t>
  </si>
  <si>
    <t>PVR Limited</t>
  </si>
  <si>
    <t>Quess Corp Limited</t>
  </si>
  <si>
    <t>Staffing services</t>
  </si>
  <si>
    <t>Radico Khaitan Limited</t>
  </si>
  <si>
    <t>Railtel Corporation of India Limited</t>
  </si>
  <si>
    <t>Rainbow Childrens Medicare Limited</t>
  </si>
  <si>
    <t>Rajratan Global Wire Limited</t>
  </si>
  <si>
    <t>Rallis India Limited</t>
  </si>
  <si>
    <t>Ramco Systems Limited</t>
  </si>
  <si>
    <t>Ratnamani Metals and Tubes Limited</t>
  </si>
  <si>
    <t>RBL Bank Limited</t>
  </si>
  <si>
    <t>REC Limited</t>
  </si>
  <si>
    <t>Redington Limited</t>
  </si>
  <si>
    <t>Relaxo Footwears Limited</t>
  </si>
  <si>
    <t>Reliance Industries Limited</t>
  </si>
  <si>
    <t>Reliance Jio Infocomm Limited</t>
  </si>
  <si>
    <t>Reliance Retail Ventures Limited</t>
  </si>
  <si>
    <t>Repco Home Finance Limited</t>
  </si>
  <si>
    <t>Restaurant Brands Asia Limited</t>
  </si>
  <si>
    <t>RHI Magnesita India Limited</t>
  </si>
  <si>
    <t>Rites Limited</t>
  </si>
  <si>
    <t>Rolex Rings Limited</t>
  </si>
  <si>
    <t>Rossari Biotech Limited</t>
  </si>
  <si>
    <t>S Chand and Company Limited</t>
  </si>
  <si>
    <t>Sadbhav Engineering Limited</t>
  </si>
  <si>
    <t>Sadbhav Infrastructure Project Limited</t>
  </si>
  <si>
    <t>Sagar Cements Limited</t>
  </si>
  <si>
    <t>Samvardhana Motherson International Limited</t>
  </si>
  <si>
    <t>Sanofi India Limited</t>
  </si>
  <si>
    <t>Sapphire Foods India Limited</t>
  </si>
  <si>
    <t>Savita Oil Technologies Limited</t>
  </si>
  <si>
    <t>SBI Cards and Payment Services Limited</t>
  </si>
  <si>
    <t>SBI Life Insurance Company Limited</t>
  </si>
  <si>
    <t>Schaeffler India Limited</t>
  </si>
  <si>
    <t>Shaily Engineering Plastics Limited</t>
  </si>
  <si>
    <t>Sharda Cropchem Limited</t>
  </si>
  <si>
    <t>Sharda Motor Industries Limited</t>
  </si>
  <si>
    <t>Sheela Foam Limited</t>
  </si>
  <si>
    <t>Shriram City Union Finance Limited</t>
  </si>
  <si>
    <t>Shriram Finance Limited</t>
  </si>
  <si>
    <t>Siemens Limited</t>
  </si>
  <si>
    <t>Sikka Ports &amp; Terminals Limited</t>
  </si>
  <si>
    <t>Simplex Infrastructures Limited</t>
  </si>
  <si>
    <t>SJVN Limited</t>
  </si>
  <si>
    <t>SKF India Limited</t>
  </si>
  <si>
    <t>Small Industries Development Bank of India</t>
  </si>
  <si>
    <t>Sobha Limited</t>
  </si>
  <si>
    <t>Solar Industries India Limited</t>
  </si>
  <si>
    <t>Solara Active Pharma Sciences Limited</t>
  </si>
  <si>
    <t>Sona BLW Precision Forgings Limited</t>
  </si>
  <si>
    <t>Sonata Software Limited</t>
  </si>
  <si>
    <t>Sp Jammu Udhampur Highway Limited</t>
  </si>
  <si>
    <t>SpiceJet Limited</t>
  </si>
  <si>
    <t>State Bank of India</t>
  </si>
  <si>
    <t>Steel Authority of India Limited</t>
  </si>
  <si>
    <t>Sterling And Wilson Renewable Energy Limited</t>
  </si>
  <si>
    <t>Sterlite Technologies Limited</t>
  </si>
  <si>
    <t>Strides Pharma Science Limited</t>
  </si>
  <si>
    <t>Subros Limited</t>
  </si>
  <si>
    <t>Sudarshan Chemical Industries Limited</t>
  </si>
  <si>
    <t>Sumitomo Chemical India Limited</t>
  </si>
  <si>
    <t>Sun Pharmaceutical Industries Limited</t>
  </si>
  <si>
    <t>Sun TV Network Limited</t>
  </si>
  <si>
    <t>Sundaram Finance Limited</t>
  </si>
  <si>
    <t>Sundaram Home Finance Limited</t>
  </si>
  <si>
    <t>Sundaram-Clayton Limited</t>
  </si>
  <si>
    <t>Sundram Fasteners Limited</t>
  </si>
  <si>
    <t>Suprajit Engineering Limited</t>
  </si>
  <si>
    <t>Swaraj Engines Limited</t>
  </si>
  <si>
    <t>Symphony Limited</t>
  </si>
  <si>
    <t>Syngene International Limited</t>
  </si>
  <si>
    <t>Talwandi Sabo Power Limited</t>
  </si>
  <si>
    <t>Tamil Nadu Newsprint and Papers Limited</t>
  </si>
  <si>
    <t>Paper</t>
  </si>
  <si>
    <t>Tanla Platforms Limited</t>
  </si>
  <si>
    <t>Tata Capital Financial Services Limited</t>
  </si>
  <si>
    <t>Tata Capital Housing Finance Limited</t>
  </si>
  <si>
    <t>Tata Capital Limited</t>
  </si>
  <si>
    <t>Tata Chemicals Limited</t>
  </si>
  <si>
    <t>Tata Communications Limited</t>
  </si>
  <si>
    <t>Tata Consultancy Services Limited</t>
  </si>
  <si>
    <t>Tata Consumer Products Limited</t>
  </si>
  <si>
    <t>Tata Elxsi Limited</t>
  </si>
  <si>
    <t>Tata Housing Development Company Limited</t>
  </si>
  <si>
    <t>Tata Metaliks Limited</t>
  </si>
  <si>
    <t>Tata Motors Finance Limited</t>
  </si>
  <si>
    <t>Tata Motors Finance Solutions Limited</t>
  </si>
  <si>
    <t>Tata Motors Limited</t>
  </si>
  <si>
    <t>Tata Power Renewable Energy Limited</t>
  </si>
  <si>
    <t>Tata Projects Limited</t>
  </si>
  <si>
    <t>Tata Realty and Infrastructure Limited</t>
  </si>
  <si>
    <t>Tata Sons Private Limited</t>
  </si>
  <si>
    <t>Tata Steel Limited</t>
  </si>
  <si>
    <t>Tata Steel Long Products Limited</t>
  </si>
  <si>
    <t>Tata Teleservices (Maharashtra) Limited</t>
  </si>
  <si>
    <t>Tata Teleservices Limited</t>
  </si>
  <si>
    <t>Tatva Chintan Pharma Chem Limited</t>
  </si>
  <si>
    <t>TCI Express Limited</t>
  </si>
  <si>
    <t>TeamLease Services Limited</t>
  </si>
  <si>
    <t>Tech Mahindra Limited</t>
  </si>
  <si>
    <t>Techno Electric And Engineering Company Limited</t>
  </si>
  <si>
    <t>Texmaco Rail &amp; Engineering Limited</t>
  </si>
  <si>
    <t>The Anup Engineering Limited</t>
  </si>
  <si>
    <t>The Federal Bank Limited</t>
  </si>
  <si>
    <t>The Great Eastern Shipping Company Limited</t>
  </si>
  <si>
    <t>Shipping</t>
  </si>
  <si>
    <t>The India Cements Limited</t>
  </si>
  <si>
    <t>The Indian Hotels Company Limited</t>
  </si>
  <si>
    <t>The Karur Vysya Bank Limited</t>
  </si>
  <si>
    <t>The Ramco Cements Limited</t>
  </si>
  <si>
    <t>The Supreme Industries Limited</t>
  </si>
  <si>
    <t>Thermax Limited</t>
  </si>
  <si>
    <t>Thyrocare Technologies Limited</t>
  </si>
  <si>
    <t>Time Technoplast Limited</t>
  </si>
  <si>
    <t>Timken India Limited</t>
  </si>
  <si>
    <t>Titagarh Wagons Limited</t>
  </si>
  <si>
    <t>Titan Company Limited</t>
  </si>
  <si>
    <t>TMF Holdings Limited</t>
  </si>
  <si>
    <t>Torrent Pharmaceuticals Limited</t>
  </si>
  <si>
    <t>Torrent Power Limited</t>
  </si>
  <si>
    <t>Transport Corporation of India Limited</t>
  </si>
  <si>
    <t>Trent Limited</t>
  </si>
  <si>
    <t>Triveni Turbine Limited</t>
  </si>
  <si>
    <t>TTK Prestige Limited</t>
  </si>
  <si>
    <t>Tube Investments Of India Limited</t>
  </si>
  <si>
    <t>TVS Motor Company Limited</t>
  </si>
  <si>
    <t>UCO Bank</t>
  </si>
  <si>
    <t>Ujjivan Small Finance Bank Limited</t>
  </si>
  <si>
    <t>Union Bank of India</t>
  </si>
  <si>
    <t>United Breweries Limited</t>
  </si>
  <si>
    <t>United Spirits Limited</t>
  </si>
  <si>
    <t>Uno Minda Limited</t>
  </si>
  <si>
    <t>UPL Limited</t>
  </si>
  <si>
    <t>UTI Asset Management Company Limited</t>
  </si>
  <si>
    <t>V Mart Retail Limited</t>
  </si>
  <si>
    <t>Vardhman Textiles Limited</t>
  </si>
  <si>
    <t>Varroc Engineering Limited</t>
  </si>
  <si>
    <t>Varun Beverages Limited</t>
  </si>
  <si>
    <t>Vedant Fashions Limited</t>
  </si>
  <si>
    <t>Vedanta Limited</t>
  </si>
  <si>
    <t>Vesuvius India Limited</t>
  </si>
  <si>
    <t>V-Guard Industries Limited</t>
  </si>
  <si>
    <t>Vinati Organics Limited</t>
  </si>
  <si>
    <t>VIP Industries Limited</t>
  </si>
  <si>
    <t>Vodafone Idea Limited</t>
  </si>
  <si>
    <t>Voltamp Transformers Limited</t>
  </si>
  <si>
    <t>Voltas Limited</t>
  </si>
  <si>
    <t>VRL Logistics Limited</t>
  </si>
  <si>
    <t>VST Industries Limited</t>
  </si>
  <si>
    <t>Walwhan Renewable Energy Limited</t>
  </si>
  <si>
    <t>Welspun India Limited</t>
  </si>
  <si>
    <t>Westlife Development Limited</t>
  </si>
  <si>
    <t>Wheels India Limited</t>
  </si>
  <si>
    <t>Whirlpool of India Limited</t>
  </si>
  <si>
    <t>Wipro Limited</t>
  </si>
  <si>
    <t>YES Bank Limited</t>
  </si>
  <si>
    <t>Zee Entertainment Enterprises Limited</t>
  </si>
  <si>
    <t>Zensar Technologies Limited</t>
  </si>
  <si>
    <t>ZF Commercial Vehicle Control Systems India Limited</t>
  </si>
  <si>
    <t>Zomato Limited</t>
  </si>
  <si>
    <t>Zydus Lifesciences Limited</t>
  </si>
  <si>
    <t>Zydus Wellness Limited</t>
  </si>
  <si>
    <t>CRISIL Ranking</t>
  </si>
  <si>
    <t>Long term</t>
  </si>
  <si>
    <t>Quantitative Rating</t>
  </si>
  <si>
    <t>Rating</t>
  </si>
  <si>
    <t>Long-term</t>
  </si>
  <si>
    <t>Short-term</t>
  </si>
  <si>
    <t>AAA</t>
  </si>
  <si>
    <t>Highest credit quality</t>
  </si>
  <si>
    <t>AA+</t>
  </si>
  <si>
    <t>AA</t>
  </si>
  <si>
    <t>Very high credit quality</t>
  </si>
  <si>
    <t>A1</t>
  </si>
  <si>
    <t>A</t>
  </si>
  <si>
    <t>High credit quality</t>
  </si>
  <si>
    <t>A2</t>
  </si>
  <si>
    <t>AA-</t>
  </si>
  <si>
    <t>BBB</t>
  </si>
  <si>
    <t>Good credit quality</t>
  </si>
  <si>
    <t>A3</t>
  </si>
  <si>
    <t>A+</t>
  </si>
  <si>
    <t>BB</t>
  </si>
  <si>
    <t>Speculative</t>
  </si>
  <si>
    <t>B1</t>
  </si>
  <si>
    <t>B</t>
  </si>
  <si>
    <t>Highly speculative</t>
  </si>
  <si>
    <t>B2</t>
  </si>
  <si>
    <t>A-</t>
  </si>
  <si>
    <t>C</t>
  </si>
  <si>
    <t>Very highly speculative</t>
  </si>
  <si>
    <t>B3</t>
  </si>
  <si>
    <t>BBB+</t>
  </si>
  <si>
    <t>D</t>
  </si>
  <si>
    <t>Default</t>
  </si>
  <si>
    <t>BBB-</t>
  </si>
  <si>
    <t>BB+</t>
  </si>
  <si>
    <t>BB-</t>
  </si>
  <si>
    <t>B+</t>
  </si>
  <si>
    <t>B-</t>
  </si>
  <si>
    <t>C+</t>
  </si>
  <si>
    <t>C-</t>
  </si>
  <si>
    <t>(Cost)</t>
  </si>
  <si>
    <t>(Benefit)</t>
  </si>
  <si>
    <t>Companies</t>
  </si>
  <si>
    <t>Weights</t>
  </si>
  <si>
    <t>Normalised Weights</t>
  </si>
  <si>
    <t>Denomonator</t>
  </si>
  <si>
    <t>Normalized Decision Matrix</t>
  </si>
  <si>
    <t>Weighted Normalized Decision Matrix</t>
  </si>
  <si>
    <t>Deviation from Worst</t>
  </si>
  <si>
    <t>For Deviation from Worst</t>
  </si>
  <si>
    <t>Deviation from Best</t>
  </si>
  <si>
    <t>For Deviation from Best</t>
  </si>
  <si>
    <t>Relatively closeness</t>
  </si>
  <si>
    <t>Company Data</t>
  </si>
  <si>
    <t>Normalized future growth rate</t>
  </si>
  <si>
    <t>Normalized GDP contribution</t>
  </si>
  <si>
    <t>Normalized Market share score</t>
  </si>
  <si>
    <t>Normalized threat scale</t>
  </si>
  <si>
    <t>Scale against sector</t>
  </si>
  <si>
    <t xml:space="preserve">Scale Cyclical Business </t>
  </si>
  <si>
    <t>Scale Against Dependent Business</t>
  </si>
  <si>
    <t>Numbers against Technology affecting factors</t>
  </si>
  <si>
    <t>threat scale numbered</t>
  </si>
  <si>
    <t>Criteria</t>
  </si>
  <si>
    <t>Benefit</t>
  </si>
  <si>
    <t>Cost</t>
  </si>
  <si>
    <t>benefit</t>
  </si>
  <si>
    <t>Weight</t>
  </si>
  <si>
    <t>Normalied weight</t>
  </si>
  <si>
    <t>Denominator</t>
  </si>
  <si>
    <t>Deviation From Worst</t>
  </si>
  <si>
    <t>Deviation from the Best</t>
  </si>
  <si>
    <t>Relative Closeness to Ideal</t>
  </si>
  <si>
    <t>How much priority rating would you give to the below factors while choosing the industry? (Scale of 1-10)</t>
  </si>
  <si>
    <t>How much priority rating would you give to these factors while choosing the company to invest in? (Scale of 1-10)</t>
  </si>
  <si>
    <t xml:space="preserve">Your Ideal Industry Portfolio </t>
  </si>
  <si>
    <t>Rank</t>
  </si>
  <si>
    <t>Top 3 companies</t>
  </si>
  <si>
    <t>TOP 6 industries</t>
  </si>
  <si>
    <t>IT_Software</t>
  </si>
  <si>
    <t>Hotels_and_Restaurants</t>
  </si>
  <si>
    <t>Power_Gen_and_Dist</t>
  </si>
  <si>
    <t>Top 3 companies for the industries</t>
  </si>
  <si>
    <t>Return</t>
  </si>
  <si>
    <t>Risk</t>
  </si>
  <si>
    <t>Type</t>
  </si>
  <si>
    <t>Number of companies you want in portfolio</t>
  </si>
  <si>
    <t>=</t>
  </si>
  <si>
    <t>Risk Factor</t>
  </si>
  <si>
    <t>Goal</t>
  </si>
  <si>
    <t>Selected Risk</t>
  </si>
  <si>
    <t>Selected Type</t>
  </si>
  <si>
    <t>Selected ESG Score</t>
  </si>
  <si>
    <t>Average Risk</t>
  </si>
  <si>
    <t>Average ESG</t>
  </si>
  <si>
    <t>Deviations</t>
  </si>
  <si>
    <t>Amount Over</t>
  </si>
  <si>
    <t>Amount Under</t>
  </si>
  <si>
    <t>Balance Constraints</t>
  </si>
  <si>
    <t>LHS</t>
  </si>
  <si>
    <t>Select Company?</t>
  </si>
  <si>
    <t>Total amount you want to invest (In Rupees)</t>
  </si>
  <si>
    <t>Amount to invest</t>
  </si>
  <si>
    <t>Total amount available for investment</t>
  </si>
  <si>
    <t>Expected Return</t>
  </si>
  <si>
    <t>Total Return</t>
  </si>
  <si>
    <t>Penalty Weights</t>
  </si>
  <si>
    <t>Weighted Sum</t>
  </si>
  <si>
    <t>Best Fit Investment Portfolio</t>
  </si>
  <si>
    <t>Number of companies you want to include in your portfolio (Max 18)</t>
  </si>
  <si>
    <t>Agro_Chemical</t>
  </si>
  <si>
    <t>Hindustan Unilever Ltd</t>
  </si>
  <si>
    <t>Nestle India Ltd</t>
  </si>
  <si>
    <t>Varun Beverages Ltd</t>
  </si>
  <si>
    <t>Mrs. Bectors Food Specialities Ltd</t>
  </si>
  <si>
    <t>Bajaj Consumers Care Ltd</t>
  </si>
  <si>
    <t>Bharat Electronics Ltd</t>
  </si>
  <si>
    <t>Honeywell Automation India Ltd</t>
  </si>
  <si>
    <t>Data Patterns (India) Ltd</t>
  </si>
  <si>
    <t>Syrma SGS Technology Ltd</t>
  </si>
  <si>
    <t>Cyient DLM Ltd</t>
  </si>
  <si>
    <t>Sumitomo Chemical India Ltd</t>
  </si>
  <si>
    <t>UPL Ltd</t>
  </si>
  <si>
    <t>Bayer CropScience Ltd</t>
  </si>
  <si>
    <t>Rallis India Ltd</t>
  </si>
  <si>
    <t>Sharda Cropchem Ltd</t>
  </si>
  <si>
    <t>Click on Run Analysis</t>
  </si>
  <si>
    <t>1-year returns</t>
  </si>
  <si>
    <t>Average ESG Score</t>
  </si>
  <si>
    <t>% Return</t>
  </si>
  <si>
    <t>Target ESG Score</t>
  </si>
  <si>
    <t>Am Over</t>
  </si>
  <si>
    <t>Am Under</t>
  </si>
  <si>
    <t>Expected Returns in 1 Year (in percentage)</t>
  </si>
  <si>
    <t>Expected Total Returns</t>
  </si>
  <si>
    <t>Average Portfolio ESG Score</t>
  </si>
  <si>
    <t>Expected Portfolio Risk</t>
  </si>
  <si>
    <t>Number of Large Cap</t>
  </si>
  <si>
    <t>Number of Mid Cap</t>
  </si>
  <si>
    <t>Number of Small Cap</t>
  </si>
  <si>
    <t>Amount to be Invested</t>
  </si>
  <si>
    <t>Step 1</t>
  </si>
  <si>
    <t>Step 3</t>
  </si>
  <si>
    <t>Step 2</t>
  </si>
  <si>
    <t>Step 4</t>
  </si>
  <si>
    <t xml:space="preserve">Step 5           </t>
  </si>
  <si>
    <t>Value</t>
  </si>
  <si>
    <t>Total ESG Score of Selected</t>
  </si>
  <si>
    <t>Total Returns from Selected</t>
  </si>
  <si>
    <t>Percent of fund in Large Caps</t>
  </si>
  <si>
    <t>Percent of fund in Mid Caps</t>
  </si>
  <si>
    <t>Percent of fund in Small Caps</t>
  </si>
  <si>
    <t>The below data gives you the 
best fit investment portfolio</t>
  </si>
  <si>
    <t>Percent Fund in Large Cap</t>
  </si>
  <si>
    <t>Percent Fund in Mid Cap</t>
  </si>
  <si>
    <t>Percent Fund in Small Cap</t>
  </si>
  <si>
    <t>Total ESG</t>
  </si>
  <si>
    <t>Amount invested in Large Cap</t>
  </si>
  <si>
    <t>Amount invested in Mid Cap</t>
  </si>
  <si>
    <t>Amount invested in Small Cap</t>
  </si>
  <si>
    <t>Minimum Investment</t>
  </si>
  <si>
    <t>Maximum investment</t>
  </si>
  <si>
    <t>***Minimum investment = 5% of total amount</t>
  </si>
  <si>
    <t>Min Investment</t>
  </si>
  <si>
    <t>Master</t>
  </si>
  <si>
    <t>Company</t>
  </si>
  <si>
    <t>Annual Return</t>
  </si>
  <si>
    <t>Annual Risk</t>
  </si>
  <si>
    <t>Monthly Standard Deviation</t>
  </si>
  <si>
    <t>Monthly average return</t>
  </si>
  <si>
    <t>Date</t>
  </si>
  <si>
    <t>Industry Data</t>
  </si>
  <si>
    <t>Industry TOPSIS</t>
  </si>
  <si>
    <t>Adjusted Closing Price Data</t>
  </si>
  <si>
    <t>Returns Calculation</t>
  </si>
  <si>
    <t>ESG Data</t>
  </si>
  <si>
    <t>CRISIL RANKING</t>
  </si>
  <si>
    <t>Numerical conversion of Dependency on Government Policies</t>
  </si>
  <si>
    <t xml:space="preserve">Numerical Conversion of Cyclical Business </t>
  </si>
  <si>
    <t>Numerical Conversion of sector type</t>
  </si>
  <si>
    <t>Assumptions</t>
  </si>
  <si>
    <t>Subject</t>
  </si>
  <si>
    <t>Type of Sector</t>
  </si>
  <si>
    <t>Investment in Unorganized sector is considered better than Organized Sector</t>
  </si>
  <si>
    <t>Business Cyclicity</t>
  </si>
  <si>
    <t>Dependence on Government policies</t>
  </si>
  <si>
    <t>Number of Technologies</t>
  </si>
  <si>
    <t>Higher the number of technologies affecting the business, better the scope of investment</t>
  </si>
  <si>
    <t>Independence is considered better than dependence on Government Policies for Investment</t>
  </si>
  <si>
    <t>Non Cyclical Business is considerd better than cyclic business for Investment</t>
  </si>
  <si>
    <t>Enter into Indian Stock market with Rs. 10Lakh(variable) (50% large cap, 30% mid-cap, 20% small cap)</t>
  </si>
  <si>
    <t>the weightage in each stock is dependent on the expected return
 Run a Solver table to select and decide the amount to be invested in each company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</si>
</sst>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 &quot;₹&quot;\ * #,##0.00_ ;_ &quot;₹&quot;\ * \-#,##0.00_ ;_ &quot;₹&quot;\ * &quot;-&quot;??_ ;_ @_ "/>
    <numFmt numFmtId="43" formatCode="_ * #,##0.00_ ;_ * \-#,##0.00_ ;_ * &quot;-&quot;??_ ;_ @_ "/>
    <numFmt numFmtId="164" formatCode="&quot;$&quot;#,##0"/>
    <numFmt numFmtId="165" formatCode="&quot;$&quot;#,##0.00"/>
    <numFmt numFmtId="166" formatCode="0.0"/>
    <numFmt numFmtId="167" formatCode="0.000"/>
    <numFmt numFmtId="168" formatCode="0.00000"/>
    <numFmt numFmtId="169" formatCode="_ [$₹-4009]\ * #,##0_ ;_ [$₹-4009]\ * \-#,##0_ ;_ [$₹-4009]\ * &quot;-&quot;??_ ;_ @_ "/>
    <numFmt numFmtId="170" formatCode="&quot;₹&quot;\ #,##0"/>
    <numFmt numFmtId="171" formatCode="0.0%"/>
    <numFmt numFmtId="172" formatCode="0.0000"/>
  </numFmts>
  <fonts count="62">
    <font>
      <sz val="10"/>
      <color rgb="FF000000"/>
      <name val="Arial"/>
      <scheme val="minor"/>
    </font>
    <font>
      <sz val="11"/>
      <color theme="1"/>
      <name val="Arial"/>
      <family val="2"/>
      <scheme val="minor"/>
    </font>
    <font>
      <sz val="11"/>
      <color rgb="FF000000"/>
      <name val="Calibri"/>
      <family val="2"/>
    </font>
    <font>
      <b/>
      <sz val="11"/>
      <color rgb="FF000000"/>
      <name val="Calibri"/>
      <family val="2"/>
    </font>
    <font>
      <i/>
      <sz val="11"/>
      <color rgb="FF7F7F7F"/>
      <name val="Calibri"/>
      <family val="2"/>
    </font>
    <font>
      <i/>
      <u/>
      <sz val="11"/>
      <color rgb="FF7F7F7F"/>
      <name val="Calibri"/>
      <family val="2"/>
    </font>
    <font>
      <b/>
      <sz val="10"/>
      <color rgb="FF000000"/>
      <name val="Arial"/>
      <family val="2"/>
    </font>
    <font>
      <b/>
      <sz val="10"/>
      <color theme="1"/>
      <name val="Arial"/>
      <family val="2"/>
      <scheme val="minor"/>
    </font>
    <font>
      <b/>
      <sz val="10"/>
      <color rgb="FFFFFFFF"/>
      <name val="Arial"/>
      <family val="2"/>
      <scheme val="minor"/>
    </font>
    <font>
      <b/>
      <sz val="11"/>
      <color rgb="FFFFFFFF"/>
      <name val="Calibri"/>
      <family val="2"/>
    </font>
    <font>
      <sz val="10"/>
      <color theme="1"/>
      <name val="Arial"/>
      <family val="2"/>
      <scheme val="minor"/>
    </font>
    <font>
      <sz val="10"/>
      <color rgb="FF1F1F1F"/>
      <name val="Google Sans"/>
    </font>
    <font>
      <sz val="10"/>
      <color theme="1"/>
      <name val="Google Sans"/>
    </font>
    <font>
      <sz val="10"/>
      <name val="Arial"/>
      <family val="2"/>
    </font>
    <font>
      <u/>
      <sz val="10"/>
      <color rgb="FF0000FF"/>
      <name val="Google Sans"/>
    </font>
    <font>
      <sz val="11"/>
      <color rgb="FF000000"/>
      <name val="Google Sans"/>
    </font>
    <font>
      <sz val="10"/>
      <color rgb="FF1F1F1F"/>
      <name val="&quot;Google Sans&quot;"/>
    </font>
    <font>
      <sz val="10"/>
      <color rgb="FF1F1F1F"/>
      <name val="Arial"/>
      <family val="2"/>
      <scheme val="minor"/>
    </font>
    <font>
      <sz val="11"/>
      <color rgb="FF22222F"/>
      <name val="&quot;Inter var&quot;"/>
    </font>
    <font>
      <sz val="10"/>
      <color theme="1"/>
      <name val="Arial"/>
      <family val="2"/>
      <scheme val="minor"/>
    </font>
    <font>
      <sz val="11"/>
      <color rgb="FF22222F"/>
      <name val="Arial"/>
      <family val="2"/>
    </font>
    <font>
      <sz val="10"/>
      <color rgb="FF000000"/>
      <name val="Arial"/>
      <family val="2"/>
    </font>
    <font>
      <sz val="10"/>
      <color rgb="FF22222F"/>
      <name val="Arial"/>
      <family val="2"/>
      <scheme val="minor"/>
    </font>
    <font>
      <sz val="10"/>
      <color rgb="FF22222F"/>
      <name val="&quot;Inter var&quot;"/>
    </font>
    <font>
      <sz val="10"/>
      <color rgb="FF1F1F1F"/>
      <name val="&quot;\&quot;Google Sans\&quot;&quot;"/>
    </font>
    <font>
      <sz val="10"/>
      <color rgb="FF22222F"/>
      <name val="Arial"/>
      <family val="2"/>
    </font>
    <font>
      <sz val="10"/>
      <color rgb="FF22222F"/>
      <name val="Arial"/>
      <family val="2"/>
    </font>
    <font>
      <sz val="11"/>
      <color rgb="FF333333"/>
      <name val="Akkuratregular"/>
    </font>
    <font>
      <sz val="10"/>
      <color rgb="FF000000"/>
      <name val="Arial"/>
      <family val="2"/>
      <scheme val="minor"/>
    </font>
    <font>
      <b/>
      <sz val="11"/>
      <color theme="1"/>
      <name val="Arial"/>
      <family val="2"/>
      <scheme val="minor"/>
    </font>
    <font>
      <sz val="9"/>
      <color rgb="FF000000"/>
      <name val="Arial"/>
      <family val="2"/>
      <scheme val="minor"/>
    </font>
    <font>
      <sz val="8"/>
      <color rgb="FF000000"/>
      <name val="Arial"/>
      <family val="2"/>
      <scheme val="minor"/>
    </font>
    <font>
      <b/>
      <sz val="8"/>
      <color rgb="FF000000"/>
      <name val="Arial"/>
      <family val="2"/>
      <scheme val="minor"/>
    </font>
    <font>
      <b/>
      <sz val="10"/>
      <color rgb="FF000000"/>
      <name val="Arial"/>
      <family val="2"/>
      <scheme val="minor"/>
    </font>
    <font>
      <sz val="10"/>
      <color rgb="FF000000"/>
      <name val="Arial"/>
      <family val="2"/>
      <scheme val="minor"/>
    </font>
    <font>
      <sz val="10"/>
      <color theme="1"/>
      <name val="Arial"/>
      <family val="2"/>
    </font>
    <font>
      <sz val="10"/>
      <color theme="1"/>
      <name val="Arial"/>
      <family val="2"/>
      <scheme val="minor"/>
    </font>
    <font>
      <sz val="10"/>
      <color rgb="FF000000"/>
      <name val="Calibri"/>
      <family val="2"/>
    </font>
    <font>
      <sz val="10"/>
      <color theme="0"/>
      <name val="Arial"/>
      <family val="2"/>
      <scheme val="minor"/>
    </font>
    <font>
      <b/>
      <u/>
      <sz val="11"/>
      <color theme="1"/>
      <name val="Arial"/>
      <family val="2"/>
      <scheme val="minor"/>
    </font>
    <font>
      <sz val="10"/>
      <color rgb="FF000000"/>
      <name val="Arial"/>
      <family val="2"/>
      <scheme val="minor"/>
    </font>
    <font>
      <b/>
      <sz val="11"/>
      <color theme="0"/>
      <name val="Arial"/>
      <family val="2"/>
      <scheme val="minor"/>
    </font>
    <font>
      <i/>
      <sz val="11"/>
      <color rgb="FF7F7F7F"/>
      <name val="Arial"/>
      <family val="2"/>
      <scheme val="minor"/>
    </font>
    <font>
      <b/>
      <u/>
      <sz val="15"/>
      <color rgb="FF000000"/>
      <name val="Arial"/>
      <family val="2"/>
      <scheme val="minor"/>
    </font>
    <font>
      <sz val="10"/>
      <name val="Arial"/>
      <family val="2"/>
      <scheme val="minor"/>
    </font>
    <font>
      <b/>
      <sz val="10"/>
      <name val="Arial"/>
      <family val="2"/>
      <scheme val="minor"/>
    </font>
    <font>
      <b/>
      <sz val="10"/>
      <color theme="0"/>
      <name val="Arial"/>
      <family val="2"/>
      <scheme val="minor"/>
    </font>
    <font>
      <b/>
      <sz val="11"/>
      <name val="Calibri"/>
      <family val="2"/>
    </font>
    <font>
      <b/>
      <sz val="11"/>
      <name val="Arial"/>
      <family val="2"/>
      <scheme val="minor"/>
    </font>
    <font>
      <sz val="11"/>
      <name val="Arial"/>
      <family val="2"/>
      <scheme val="minor"/>
    </font>
    <font>
      <b/>
      <sz val="9"/>
      <color theme="1"/>
      <name val="Calibri"/>
      <family val="2"/>
    </font>
    <font>
      <sz val="9"/>
      <color theme="1"/>
      <name val="Calibri"/>
      <family val="2"/>
    </font>
    <font>
      <sz val="9"/>
      <color rgb="FF000000"/>
      <name val="Calibri"/>
      <family val="2"/>
    </font>
    <font>
      <b/>
      <u/>
      <sz val="10"/>
      <color rgb="FF000000"/>
      <name val="Arial"/>
      <family val="2"/>
      <scheme val="minor"/>
    </font>
    <font>
      <b/>
      <sz val="10"/>
      <name val="Arial"/>
      <family val="2"/>
    </font>
    <font>
      <b/>
      <sz val="10"/>
      <color theme="1"/>
      <name val="Arial"/>
      <family val="2"/>
    </font>
    <font>
      <sz val="10"/>
      <color theme="0"/>
      <name val="Arial"/>
      <family val="2"/>
    </font>
    <font>
      <b/>
      <sz val="10"/>
      <color theme="0"/>
      <name val="Arial"/>
      <family val="2"/>
    </font>
    <font>
      <b/>
      <sz val="11"/>
      <name val="Akkuratregular"/>
    </font>
    <font>
      <b/>
      <sz val="9"/>
      <color theme="0"/>
      <name val="Calibri"/>
      <family val="2"/>
    </font>
    <font>
      <b/>
      <u/>
      <sz val="9"/>
      <color theme="1"/>
      <name val="Calibri"/>
      <family val="2"/>
    </font>
    <font>
      <b/>
      <u/>
      <sz val="10"/>
      <color theme="1"/>
      <name val="Arial"/>
      <family val="2"/>
      <scheme val="minor"/>
    </font>
  </fonts>
  <fills count="52">
    <fill>
      <patternFill patternType="none"/>
    </fill>
    <fill>
      <patternFill patternType="gray125"/>
    </fill>
    <fill>
      <patternFill patternType="solid">
        <fgColor rgb="FFE2EFDA"/>
        <bgColor rgb="FFE2EFDA"/>
      </patternFill>
    </fill>
    <fill>
      <patternFill patternType="solid">
        <fgColor rgb="FF44546A"/>
        <bgColor rgb="FF44546A"/>
      </patternFill>
    </fill>
    <fill>
      <patternFill patternType="solid">
        <fgColor rgb="FFFFFFFF"/>
        <bgColor rgb="FFFFFFFF"/>
      </patternFill>
    </fill>
    <fill>
      <patternFill patternType="solid">
        <fgColor rgb="FFB6D7A8"/>
        <bgColor rgb="FFB6D7A8"/>
      </patternFill>
    </fill>
    <fill>
      <patternFill patternType="solid">
        <fgColor rgb="FFFFFF00"/>
        <bgColor rgb="FFFFFF00"/>
      </patternFill>
    </fill>
    <fill>
      <patternFill patternType="solid">
        <fgColor theme="7" tint="0.59999389629810485"/>
        <bgColor indexed="64"/>
      </patternFill>
    </fill>
    <fill>
      <patternFill patternType="solid">
        <fgColor rgb="FFFFFF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663300"/>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rgb="FFEFFFFF"/>
        <bgColor indexed="64"/>
      </patternFill>
    </fill>
    <fill>
      <patternFill patternType="solid">
        <fgColor rgb="FFEFF8FF"/>
        <bgColor indexed="64"/>
      </patternFill>
    </fill>
    <fill>
      <patternFill patternType="solid">
        <fgColor rgb="FFFFEFEF"/>
        <bgColor indexed="64"/>
      </patternFill>
    </fill>
    <fill>
      <patternFill patternType="solid">
        <fgColor rgb="FFFFF5EB"/>
        <bgColor indexed="64"/>
      </patternFill>
    </fill>
    <fill>
      <patternFill patternType="solid">
        <fgColor theme="9" tint="-0.499984740745262"/>
        <bgColor indexed="64"/>
      </patternFill>
    </fill>
    <fill>
      <patternFill patternType="solid">
        <fgColor theme="8" tint="-0.499984740745262"/>
        <bgColor indexed="64"/>
      </patternFill>
    </fill>
    <fill>
      <patternFill patternType="solid">
        <fgColor theme="7" tint="-0.499984740745262"/>
        <bgColor indexed="64"/>
      </patternFill>
    </fill>
    <fill>
      <patternFill patternType="solid">
        <fgColor theme="6" tint="-0.499984740745262"/>
        <bgColor indexed="64"/>
      </patternFill>
    </fill>
    <fill>
      <patternFill patternType="solid">
        <fgColor theme="5" tint="-0.499984740745262"/>
        <bgColor indexed="64"/>
      </patternFill>
    </fill>
    <fill>
      <patternFill patternType="solid">
        <fgColor theme="4" tint="-0.499984740745262"/>
        <bgColor indexed="64"/>
      </patternFill>
    </fill>
    <fill>
      <patternFill patternType="solid">
        <fgColor theme="3" tint="-0.499984740745262"/>
        <bgColor indexed="64"/>
      </patternFill>
    </fill>
    <fill>
      <patternFill patternType="solid">
        <fgColor theme="2" tint="-0.89999084444715716"/>
        <bgColor indexed="64"/>
      </patternFill>
    </fill>
    <fill>
      <patternFill patternType="solid">
        <fgColor rgb="FF006666"/>
        <bgColor indexed="64"/>
      </patternFill>
    </fill>
    <fill>
      <patternFill patternType="solid">
        <fgColor theme="5" tint="-0.249977111117893"/>
        <bgColor indexed="64"/>
      </patternFill>
    </fill>
    <fill>
      <patternFill patternType="solid">
        <fgColor theme="3"/>
        <bgColor indexed="64"/>
      </patternFill>
    </fill>
    <fill>
      <patternFill patternType="solid">
        <fgColor theme="5" tint="0.79998168889431442"/>
        <bgColor rgb="FFFFFFFF"/>
      </patternFill>
    </fill>
    <fill>
      <patternFill patternType="solid">
        <fgColor theme="4" tint="0.79998168889431442"/>
        <bgColor rgb="FFFFFFFF"/>
      </patternFill>
    </fill>
    <fill>
      <patternFill patternType="solid">
        <fgColor theme="5" tint="0.59999389629810485"/>
        <bgColor rgb="FF44546A"/>
      </patternFill>
    </fill>
    <fill>
      <patternFill patternType="solid">
        <fgColor theme="4" tint="0.59999389629810485"/>
        <bgColor rgb="FF6986B0"/>
      </patternFill>
    </fill>
    <fill>
      <patternFill patternType="solid">
        <fgColor theme="5" tint="0.59999389629810485"/>
        <bgColor rgb="FFF6B26B"/>
      </patternFill>
    </fill>
    <fill>
      <patternFill patternType="solid">
        <fgColor theme="5" tint="0.79998168889431442"/>
        <bgColor rgb="FFFCE5CD"/>
      </patternFill>
    </fill>
    <fill>
      <patternFill patternType="solid">
        <fgColor theme="5" tint="0.39997558519241921"/>
        <bgColor rgb="FFFF0000"/>
      </patternFill>
    </fill>
    <fill>
      <patternFill patternType="solid">
        <fgColor theme="5" tint="0.79998168889431442"/>
        <bgColor rgb="FFB6D7A8"/>
      </patternFill>
    </fill>
    <fill>
      <patternFill patternType="solid">
        <fgColor theme="4" tint="0.59999389629810485"/>
        <bgColor rgb="FF44546A"/>
      </patternFill>
    </fill>
    <fill>
      <patternFill patternType="solid">
        <fgColor theme="5"/>
        <bgColor indexed="64"/>
      </patternFill>
    </fill>
    <fill>
      <patternFill patternType="solid">
        <fgColor theme="0" tint="-0.14999847407452621"/>
        <bgColor indexed="64"/>
      </patternFill>
    </fill>
  </fills>
  <borders count="58">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diagonal/>
    </border>
    <border>
      <left/>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right/>
      <top/>
      <bottom style="thin">
        <color rgb="FF00000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top style="medium">
        <color indexed="64"/>
      </top>
      <bottom/>
      <diagonal/>
    </border>
    <border>
      <left/>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rgb="FF000000"/>
      </top>
      <bottom style="medium">
        <color indexed="64"/>
      </bottom>
      <diagonal/>
    </border>
    <border>
      <left style="medium">
        <color indexed="64"/>
      </left>
      <right style="thin">
        <color indexed="64"/>
      </right>
      <top/>
      <bottom style="thin">
        <color indexed="64"/>
      </bottom>
      <diagonal/>
    </border>
    <border>
      <left style="thin">
        <color rgb="FF000000"/>
      </left>
      <right style="thin">
        <color rgb="FF000000"/>
      </right>
      <top style="medium">
        <color indexed="64"/>
      </top>
      <bottom style="medium">
        <color indexed="64"/>
      </bottom>
      <diagonal/>
    </border>
    <border>
      <left style="thin">
        <color rgb="FF000000"/>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s>
  <cellStyleXfs count="9">
    <xf numFmtId="0" fontId="0" fillId="0" borderId="0"/>
    <xf numFmtId="0" fontId="28" fillId="0" borderId="0"/>
    <xf numFmtId="44" fontId="34" fillId="0" borderId="0" applyFont="0" applyFill="0" applyBorder="0" applyAlignment="0" applyProtection="0"/>
    <xf numFmtId="9" fontId="34"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3" fontId="40" fillId="0" borderId="0" applyFont="0" applyFill="0" applyBorder="0" applyAlignment="0" applyProtection="0"/>
    <xf numFmtId="0" fontId="42" fillId="0" borderId="0" applyNumberFormat="0" applyFill="0" applyBorder="0" applyAlignment="0" applyProtection="0"/>
  </cellStyleXfs>
  <cellXfs count="573">
    <xf numFmtId="0" fontId="0" fillId="0" borderId="0" xfId="0"/>
    <xf numFmtId="0" fontId="2" fillId="0" borderId="0" xfId="0" applyFont="1"/>
    <xf numFmtId="0" fontId="3" fillId="0" borderId="0" xfId="0" applyFont="1"/>
    <xf numFmtId="0" fontId="4" fillId="0" borderId="0" xfId="0" applyFont="1"/>
    <xf numFmtId="0" fontId="6" fillId="2" borderId="1" xfId="0" applyFont="1" applyFill="1" applyBorder="1" applyAlignment="1">
      <alignment horizontal="center"/>
    </xf>
    <xf numFmtId="0" fontId="2" fillId="0" borderId="2" xfId="0" applyFont="1" applyBorder="1"/>
    <xf numFmtId="0" fontId="7" fillId="0" borderId="0" xfId="0" applyFont="1"/>
    <xf numFmtId="10" fontId="11" fillId="4" borderId="3" xfId="0" applyNumberFormat="1" applyFont="1" applyFill="1" applyBorder="1"/>
    <xf numFmtId="0" fontId="12" fillId="0" borderId="2" xfId="0" applyFont="1" applyBorder="1"/>
    <xf numFmtId="0" fontId="12" fillId="0" borderId="3" xfId="0" applyFont="1" applyBorder="1"/>
    <xf numFmtId="0" fontId="11" fillId="4" borderId="3" xfId="0" applyFont="1" applyFill="1" applyBorder="1"/>
    <xf numFmtId="10" fontId="12" fillId="0" borderId="3" xfId="0" applyNumberFormat="1" applyFont="1" applyBorder="1"/>
    <xf numFmtId="10" fontId="16" fillId="4" borderId="0" xfId="0" applyNumberFormat="1" applyFont="1" applyFill="1"/>
    <xf numFmtId="0" fontId="16" fillId="4" borderId="0" xfId="0" applyFont="1" applyFill="1"/>
    <xf numFmtId="0" fontId="10" fillId="0" borderId="0" xfId="0" applyFont="1" applyAlignment="1">
      <alignment horizontal="center"/>
    </xf>
    <xf numFmtId="0" fontId="10" fillId="0" borderId="0" xfId="0" applyFont="1"/>
    <xf numFmtId="0" fontId="28" fillId="0" borderId="0" xfId="1"/>
    <xf numFmtId="0" fontId="8" fillId="3" borderId="0" xfId="1" applyFont="1" applyFill="1" applyAlignment="1">
      <alignment vertical="center" wrapText="1"/>
    </xf>
    <xf numFmtId="0" fontId="9" fillId="3" borderId="3" xfId="1" applyFont="1" applyFill="1" applyBorder="1" applyAlignment="1">
      <alignment vertical="center" wrapText="1"/>
    </xf>
    <xf numFmtId="0" fontId="28" fillId="0" borderId="0" xfId="0" applyFont="1"/>
    <xf numFmtId="0" fontId="33" fillId="0" borderId="0" xfId="0" applyFont="1"/>
    <xf numFmtId="0" fontId="28" fillId="0" borderId="0" xfId="0" applyFont="1" applyAlignment="1">
      <alignment horizontal="center"/>
    </xf>
    <xf numFmtId="0" fontId="29" fillId="0" borderId="0" xfId="0" applyFont="1"/>
    <xf numFmtId="0" fontId="0" fillId="0" borderId="27" xfId="0" applyBorder="1" applyAlignment="1">
      <alignment horizontal="center" vertical="center"/>
    </xf>
    <xf numFmtId="0" fontId="0" fillId="12" borderId="25" xfId="0" applyFill="1" applyBorder="1"/>
    <xf numFmtId="0" fontId="0" fillId="12" borderId="26" xfId="0" applyFill="1" applyBorder="1"/>
    <xf numFmtId="0" fontId="0" fillId="12" borderId="16" xfId="0" applyFill="1" applyBorder="1"/>
    <xf numFmtId="0" fontId="0" fillId="12" borderId="17" xfId="0" applyFill="1" applyBorder="1"/>
    <xf numFmtId="0" fontId="0" fillId="0" borderId="0" xfId="0" applyAlignment="1">
      <alignment horizontal="center" wrapText="1"/>
    </xf>
    <xf numFmtId="0" fontId="28" fillId="11" borderId="19" xfId="0" applyFont="1" applyFill="1" applyBorder="1" applyAlignment="1">
      <alignment horizontal="center" wrapText="1"/>
    </xf>
    <xf numFmtId="0" fontId="28" fillId="11" borderId="20" xfId="0" applyFont="1" applyFill="1" applyBorder="1" applyAlignment="1">
      <alignment horizontal="center" wrapText="1"/>
    </xf>
    <xf numFmtId="0" fontId="28" fillId="11" borderId="21" xfId="0" applyFont="1" applyFill="1" applyBorder="1" applyAlignment="1">
      <alignment horizontal="center" wrapText="1"/>
    </xf>
    <xf numFmtId="0" fontId="0" fillId="13" borderId="18" xfId="0" applyFill="1" applyBorder="1" applyAlignment="1">
      <alignment horizontal="center"/>
    </xf>
    <xf numFmtId="0" fontId="0" fillId="0" borderId="0" xfId="0" applyAlignment="1">
      <alignment horizontal="center"/>
    </xf>
    <xf numFmtId="0" fontId="0" fillId="9" borderId="14" xfId="0" applyFill="1" applyBorder="1"/>
    <xf numFmtId="0" fontId="0" fillId="9" borderId="25" xfId="0" applyFill="1" applyBorder="1"/>
    <xf numFmtId="0" fontId="0" fillId="9" borderId="16" xfId="0" applyFill="1" applyBorder="1"/>
    <xf numFmtId="0" fontId="31" fillId="9" borderId="22" xfId="0" applyFont="1" applyFill="1" applyBorder="1"/>
    <xf numFmtId="0" fontId="31" fillId="9" borderId="23" xfId="0" applyFont="1" applyFill="1" applyBorder="1"/>
    <xf numFmtId="0" fontId="31" fillId="9" borderId="24" xfId="0" applyFont="1" applyFill="1" applyBorder="1"/>
    <xf numFmtId="0" fontId="28" fillId="13" borderId="18" xfId="0" applyFont="1" applyFill="1" applyBorder="1" applyAlignment="1">
      <alignment horizontal="center" wrapText="1"/>
    </xf>
    <xf numFmtId="0" fontId="0" fillId="9" borderId="18" xfId="0" applyFill="1" applyBorder="1" applyAlignment="1">
      <alignment horizontal="center"/>
    </xf>
    <xf numFmtId="0" fontId="0" fillId="12" borderId="22" xfId="0" applyFill="1" applyBorder="1"/>
    <xf numFmtId="0" fontId="0" fillId="12" borderId="23" xfId="0" applyFill="1" applyBorder="1"/>
    <xf numFmtId="0" fontId="0" fillId="12" borderId="24" xfId="0" applyFill="1" applyBorder="1"/>
    <xf numFmtId="0" fontId="0" fillId="11" borderId="18" xfId="0" applyFill="1" applyBorder="1"/>
    <xf numFmtId="0" fontId="28" fillId="9" borderId="25" xfId="0" applyFont="1" applyFill="1" applyBorder="1" applyAlignment="1">
      <alignment horizontal="center" vertical="center"/>
    </xf>
    <xf numFmtId="0" fontId="28" fillId="9" borderId="26" xfId="0" applyFont="1" applyFill="1" applyBorder="1" applyAlignment="1">
      <alignment horizontal="center" vertical="center"/>
    </xf>
    <xf numFmtId="0" fontId="28" fillId="9" borderId="16" xfId="0" applyFont="1" applyFill="1" applyBorder="1" applyAlignment="1">
      <alignment horizontal="center" vertical="center"/>
    </xf>
    <xf numFmtId="0" fontId="28" fillId="9" borderId="17" xfId="0" applyFont="1" applyFill="1" applyBorder="1" applyAlignment="1">
      <alignment horizontal="center" vertical="center"/>
    </xf>
    <xf numFmtId="0" fontId="28" fillId="17" borderId="18" xfId="0" applyFont="1" applyFill="1" applyBorder="1" applyAlignment="1">
      <alignment horizontal="center" wrapText="1"/>
    </xf>
    <xf numFmtId="0" fontId="28" fillId="14" borderId="19" xfId="0" applyFont="1" applyFill="1" applyBorder="1" applyAlignment="1">
      <alignment horizontal="center" vertical="center" wrapText="1"/>
    </xf>
    <xf numFmtId="0" fontId="31" fillId="0" borderId="0" xfId="0" applyFont="1" applyAlignment="1">
      <alignment horizontal="right"/>
    </xf>
    <xf numFmtId="0" fontId="0" fillId="9" borderId="19" xfId="0" applyFill="1" applyBorder="1" applyAlignment="1">
      <alignment horizontal="center"/>
    </xf>
    <xf numFmtId="9" fontId="30" fillId="9" borderId="33" xfId="3" applyFont="1" applyFill="1" applyBorder="1"/>
    <xf numFmtId="0" fontId="28" fillId="14" borderId="21" xfId="0" applyFont="1" applyFill="1" applyBorder="1" applyAlignment="1">
      <alignment horizontal="center" vertical="center"/>
    </xf>
    <xf numFmtId="0" fontId="0" fillId="14" borderId="14" xfId="0" applyFill="1" applyBorder="1"/>
    <xf numFmtId="0" fontId="0" fillId="14" borderId="25" xfId="0" applyFill="1" applyBorder="1"/>
    <xf numFmtId="0" fontId="0" fillId="14" borderId="16" xfId="0" applyFill="1" applyBorder="1"/>
    <xf numFmtId="0" fontId="28" fillId="14" borderId="14" xfId="0" applyFont="1" applyFill="1" applyBorder="1"/>
    <xf numFmtId="0" fontId="28" fillId="14" borderId="25" xfId="0" applyFont="1" applyFill="1" applyBorder="1"/>
    <xf numFmtId="0" fontId="28" fillId="14" borderId="16" xfId="0" applyFont="1" applyFill="1" applyBorder="1"/>
    <xf numFmtId="0" fontId="28" fillId="17" borderId="15" xfId="0" applyFont="1" applyFill="1" applyBorder="1" applyAlignment="1">
      <alignment horizontal="center" wrapText="1"/>
    </xf>
    <xf numFmtId="0" fontId="38" fillId="0" borderId="0" xfId="0" applyFont="1"/>
    <xf numFmtId="0" fontId="37" fillId="9" borderId="34" xfId="0" applyFont="1" applyFill="1" applyBorder="1"/>
    <xf numFmtId="170" fontId="37" fillId="9" borderId="35" xfId="2" applyNumberFormat="1" applyFont="1" applyFill="1" applyBorder="1" applyAlignment="1">
      <alignment horizontal="right"/>
    </xf>
    <xf numFmtId="0" fontId="32" fillId="0" borderId="0" xfId="0" applyFont="1" applyAlignment="1">
      <alignment horizontal="center"/>
    </xf>
    <xf numFmtId="0" fontId="32" fillId="0" borderId="0" xfId="0" applyFont="1" applyAlignment="1">
      <alignment horizontal="right"/>
    </xf>
    <xf numFmtId="0" fontId="0" fillId="0" borderId="28" xfId="0" applyBorder="1" applyAlignment="1">
      <alignment horizontal="center" vertical="center"/>
    </xf>
    <xf numFmtId="0" fontId="28" fillId="14" borderId="22" xfId="0" applyFont="1" applyFill="1" applyBorder="1" applyAlignment="1">
      <alignment horizontal="right"/>
    </xf>
    <xf numFmtId="0" fontId="28" fillId="14" borderId="23" xfId="0" applyFont="1" applyFill="1" applyBorder="1" applyAlignment="1">
      <alignment horizontal="right"/>
    </xf>
    <xf numFmtId="0" fontId="28" fillId="14" borderId="24" xfId="0" applyFont="1" applyFill="1" applyBorder="1" applyAlignment="1">
      <alignment horizontal="right"/>
    </xf>
    <xf numFmtId="1" fontId="0" fillId="9" borderId="15" xfId="3" applyNumberFormat="1" applyFont="1" applyFill="1" applyBorder="1" applyAlignment="1">
      <alignment horizontal="center" vertical="center"/>
    </xf>
    <xf numFmtId="1" fontId="0" fillId="9" borderId="26" xfId="0" applyNumberFormat="1" applyFill="1" applyBorder="1" applyAlignment="1">
      <alignment horizontal="center" vertical="center"/>
    </xf>
    <xf numFmtId="1" fontId="0" fillId="9" borderId="17" xfId="0" applyNumberFormat="1" applyFill="1" applyBorder="1" applyAlignment="1">
      <alignment horizontal="center" vertical="center"/>
    </xf>
    <xf numFmtId="1" fontId="0" fillId="12" borderId="14" xfId="3" applyNumberFormat="1" applyFont="1" applyFill="1" applyBorder="1" applyAlignment="1">
      <alignment horizontal="center" vertical="center"/>
    </xf>
    <xf numFmtId="1" fontId="0" fillId="12" borderId="25" xfId="3" applyNumberFormat="1" applyFont="1" applyFill="1" applyBorder="1" applyAlignment="1">
      <alignment horizontal="center" vertical="center"/>
    </xf>
    <xf numFmtId="1" fontId="0" fillId="12" borderId="25" xfId="0" applyNumberFormat="1" applyFill="1" applyBorder="1" applyAlignment="1">
      <alignment horizontal="center" vertical="center"/>
    </xf>
    <xf numFmtId="1" fontId="0" fillId="12" borderId="16" xfId="3" applyNumberFormat="1" applyFont="1" applyFill="1" applyBorder="1" applyAlignment="1">
      <alignment horizontal="center" vertical="center"/>
    </xf>
    <xf numFmtId="0" fontId="28" fillId="11" borderId="14" xfId="0" applyFont="1" applyFill="1" applyBorder="1" applyAlignment="1">
      <alignment horizontal="center" vertical="center" wrapText="1"/>
    </xf>
    <xf numFmtId="0" fontId="0" fillId="0" borderId="27" xfId="0" applyBorder="1" applyAlignment="1">
      <alignment horizontal="center" vertical="center" wrapText="1"/>
    </xf>
    <xf numFmtId="0" fontId="0" fillId="14" borderId="15" xfId="0" applyFill="1" applyBorder="1" applyAlignment="1">
      <alignment horizontal="center" vertical="center" wrapText="1"/>
    </xf>
    <xf numFmtId="0" fontId="0" fillId="0" borderId="0" xfId="0" applyAlignment="1">
      <alignment horizontal="center" vertical="center"/>
    </xf>
    <xf numFmtId="1" fontId="0" fillId="9" borderId="26" xfId="3" applyNumberFormat="1" applyFont="1" applyFill="1" applyBorder="1" applyAlignment="1">
      <alignment horizontal="center" vertical="center"/>
    </xf>
    <xf numFmtId="0" fontId="0" fillId="9" borderId="22" xfId="0" applyFill="1" applyBorder="1"/>
    <xf numFmtId="0" fontId="0" fillId="9" borderId="23" xfId="0" applyFill="1" applyBorder="1"/>
    <xf numFmtId="0" fontId="0" fillId="9" borderId="24" xfId="0" applyFill="1" applyBorder="1"/>
    <xf numFmtId="1" fontId="0" fillId="0" borderId="0" xfId="0" applyNumberFormat="1"/>
    <xf numFmtId="1" fontId="0" fillId="9" borderId="23" xfId="0" applyNumberFormat="1" applyFill="1" applyBorder="1" applyAlignment="1">
      <alignment horizontal="right"/>
    </xf>
    <xf numFmtId="0" fontId="28" fillId="0" borderId="24" xfId="0" applyFont="1" applyBorder="1"/>
    <xf numFmtId="9" fontId="0" fillId="12" borderId="14" xfId="0" applyNumberFormat="1" applyFill="1" applyBorder="1"/>
    <xf numFmtId="0" fontId="0" fillId="12" borderId="15" xfId="0" applyFill="1" applyBorder="1"/>
    <xf numFmtId="9" fontId="0" fillId="12" borderId="25" xfId="0" applyNumberFormat="1" applyFill="1" applyBorder="1"/>
    <xf numFmtId="0" fontId="39" fillId="0" borderId="0" xfId="4" applyFont="1"/>
    <xf numFmtId="0" fontId="1" fillId="0" borderId="0" xfId="4"/>
    <xf numFmtId="0" fontId="2" fillId="0" borderId="41" xfId="1" applyFont="1" applyBorder="1" applyAlignment="1">
      <alignment wrapText="1"/>
    </xf>
    <xf numFmtId="167" fontId="2" fillId="0" borderId="41" xfId="1" applyNumberFormat="1" applyFont="1" applyBorder="1"/>
    <xf numFmtId="10" fontId="28" fillId="0" borderId="41" xfId="1" applyNumberFormat="1" applyBorder="1" applyAlignment="1">
      <alignment horizontal="right" wrapText="1"/>
    </xf>
    <xf numFmtId="168" fontId="2" fillId="0" borderId="41" xfId="1" applyNumberFormat="1" applyFont="1" applyBorder="1"/>
    <xf numFmtId="164" fontId="10" fillId="0" borderId="41" xfId="1" applyNumberFormat="1" applyFont="1" applyBorder="1"/>
    <xf numFmtId="0" fontId="2" fillId="0" borderId="41" xfId="1" applyFont="1" applyBorder="1"/>
    <xf numFmtId="0" fontId="28" fillId="0" borderId="41" xfId="1" applyBorder="1" applyAlignment="1">
      <alignment wrapText="1"/>
    </xf>
    <xf numFmtId="0" fontId="2" fillId="0" borderId="41" xfId="1" applyFont="1" applyBorder="1" applyAlignment="1">
      <alignment horizontal="center" vertical="center"/>
    </xf>
    <xf numFmtId="0" fontId="10" fillId="0" borderId="46" xfId="1" applyFont="1" applyBorder="1" applyAlignment="1">
      <alignment horizontal="center"/>
    </xf>
    <xf numFmtId="0" fontId="10" fillId="0" borderId="47" xfId="1" applyFont="1" applyBorder="1" applyAlignment="1">
      <alignment horizontal="center"/>
    </xf>
    <xf numFmtId="0" fontId="2" fillId="0" borderId="39" xfId="1" applyFont="1" applyBorder="1" applyAlignment="1">
      <alignment wrapText="1"/>
    </xf>
    <xf numFmtId="167" fontId="2" fillId="0" borderId="39" xfId="1" applyNumberFormat="1" applyFont="1" applyBorder="1"/>
    <xf numFmtId="10" fontId="28" fillId="0" borderId="39" xfId="1" applyNumberFormat="1" applyBorder="1" applyAlignment="1">
      <alignment horizontal="right" wrapText="1"/>
    </xf>
    <xf numFmtId="168" fontId="2" fillId="0" borderId="39" xfId="1" applyNumberFormat="1" applyFont="1" applyBorder="1"/>
    <xf numFmtId="164" fontId="10" fillId="0" borderId="39" xfId="1" applyNumberFormat="1" applyFont="1" applyBorder="1"/>
    <xf numFmtId="0" fontId="2" fillId="0" borderId="39" xfId="1" applyFont="1" applyBorder="1"/>
    <xf numFmtId="0" fontId="28" fillId="0" borderId="39" xfId="1" applyBorder="1" applyAlignment="1">
      <alignment wrapText="1"/>
    </xf>
    <xf numFmtId="0" fontId="2" fillId="0" borderId="39" xfId="1" applyFont="1" applyBorder="1" applyAlignment="1">
      <alignment horizontal="center" vertical="center"/>
    </xf>
    <xf numFmtId="0" fontId="43" fillId="0" borderId="0" xfId="1" applyFont="1"/>
    <xf numFmtId="0" fontId="9" fillId="3" borderId="2" xfId="1" applyFont="1" applyFill="1" applyBorder="1" applyAlignment="1">
      <alignment horizontal="center" vertical="center" wrapText="1"/>
    </xf>
    <xf numFmtId="172" fontId="28" fillId="0" borderId="0" xfId="1" applyNumberFormat="1" applyAlignment="1">
      <alignment horizontal="center"/>
    </xf>
    <xf numFmtId="0" fontId="28" fillId="0" borderId="0" xfId="1" applyAlignment="1">
      <alignment horizontal="center"/>
    </xf>
    <xf numFmtId="172" fontId="28" fillId="12" borderId="41" xfId="1" applyNumberFormat="1" applyFill="1" applyBorder="1" applyAlignment="1">
      <alignment horizontal="center"/>
    </xf>
    <xf numFmtId="172" fontId="28" fillId="12" borderId="10" xfId="1" applyNumberFormat="1" applyFill="1" applyBorder="1" applyAlignment="1">
      <alignment horizontal="center"/>
    </xf>
    <xf numFmtId="172" fontId="28" fillId="12" borderId="38" xfId="1" applyNumberFormat="1" applyFill="1" applyBorder="1" applyAlignment="1">
      <alignment horizontal="center"/>
    </xf>
    <xf numFmtId="172" fontId="28" fillId="12" borderId="11" xfId="1" applyNumberFormat="1" applyFill="1" applyBorder="1" applyAlignment="1">
      <alignment horizontal="center"/>
    </xf>
    <xf numFmtId="172" fontId="28" fillId="12" borderId="46" xfId="1" applyNumberFormat="1" applyFill="1" applyBorder="1" applyAlignment="1">
      <alignment horizontal="center"/>
    </xf>
    <xf numFmtId="172" fontId="28" fillId="12" borderId="44" xfId="1" applyNumberFormat="1" applyFill="1" applyBorder="1" applyAlignment="1">
      <alignment horizontal="center"/>
    </xf>
    <xf numFmtId="172" fontId="28" fillId="12" borderId="47" xfId="1" applyNumberFormat="1" applyFill="1" applyBorder="1" applyAlignment="1">
      <alignment horizontal="center"/>
    </xf>
    <xf numFmtId="172" fontId="28" fillId="12" borderId="39" xfId="1" applyNumberFormat="1" applyFill="1" applyBorder="1" applyAlignment="1">
      <alignment horizontal="center"/>
    </xf>
    <xf numFmtId="172" fontId="28" fillId="12" borderId="40" xfId="1" applyNumberFormat="1" applyFill="1" applyBorder="1" applyAlignment="1">
      <alignment horizontal="center"/>
    </xf>
    <xf numFmtId="0" fontId="7" fillId="11" borderId="19" xfId="1" applyFont="1" applyFill="1" applyBorder="1"/>
    <xf numFmtId="172" fontId="28" fillId="11" borderId="41" xfId="1" applyNumberFormat="1" applyFill="1" applyBorder="1" applyAlignment="1">
      <alignment horizontal="center"/>
    </xf>
    <xf numFmtId="172" fontId="28" fillId="11" borderId="10" xfId="1" applyNumberFormat="1" applyFill="1" applyBorder="1" applyAlignment="1">
      <alignment horizontal="center"/>
    </xf>
    <xf numFmtId="172" fontId="28" fillId="11" borderId="38" xfId="1" applyNumberFormat="1" applyFill="1" applyBorder="1" applyAlignment="1">
      <alignment horizontal="center"/>
    </xf>
    <xf numFmtId="172" fontId="28" fillId="11" borderId="46" xfId="1" applyNumberFormat="1" applyFill="1" applyBorder="1" applyAlignment="1">
      <alignment horizontal="center"/>
    </xf>
    <xf numFmtId="172" fontId="28" fillId="11" borderId="47" xfId="1" applyNumberFormat="1" applyFill="1" applyBorder="1" applyAlignment="1">
      <alignment horizontal="center"/>
    </xf>
    <xf numFmtId="172" fontId="28" fillId="11" borderId="39" xfId="1" applyNumberFormat="1" applyFill="1" applyBorder="1" applyAlignment="1">
      <alignment horizontal="center"/>
    </xf>
    <xf numFmtId="0" fontId="33" fillId="11" borderId="18" xfId="1" applyFont="1" applyFill="1" applyBorder="1"/>
    <xf numFmtId="0" fontId="45" fillId="11" borderId="19" xfId="1" applyFont="1" applyFill="1" applyBorder="1"/>
    <xf numFmtId="172" fontId="28" fillId="11" borderId="50" xfId="1" applyNumberFormat="1" applyFill="1" applyBorder="1" applyAlignment="1">
      <alignment horizontal="center"/>
    </xf>
    <xf numFmtId="172" fontId="28" fillId="11" borderId="51" xfId="1" applyNumberFormat="1" applyFill="1" applyBorder="1" applyAlignment="1">
      <alignment horizontal="center"/>
    </xf>
    <xf numFmtId="172" fontId="28" fillId="11" borderId="52" xfId="1" applyNumberFormat="1" applyFill="1" applyBorder="1" applyAlignment="1">
      <alignment horizontal="center"/>
    </xf>
    <xf numFmtId="172" fontId="28" fillId="12" borderId="50" xfId="1" applyNumberFormat="1" applyFill="1" applyBorder="1" applyAlignment="1">
      <alignment horizontal="center"/>
    </xf>
    <xf numFmtId="172" fontId="28" fillId="12" borderId="51" xfId="1" applyNumberFormat="1" applyFill="1" applyBorder="1" applyAlignment="1">
      <alignment horizontal="center"/>
    </xf>
    <xf numFmtId="172" fontId="28" fillId="12" borderId="52" xfId="1" applyNumberFormat="1" applyFill="1" applyBorder="1" applyAlignment="1">
      <alignment horizontal="center"/>
    </xf>
    <xf numFmtId="0" fontId="28" fillId="0" borderId="48" xfId="1" applyBorder="1"/>
    <xf numFmtId="0" fontId="28" fillId="0" borderId="49" xfId="1" applyBorder="1"/>
    <xf numFmtId="0" fontId="28" fillId="0" borderId="46" xfId="1" applyBorder="1" applyAlignment="1">
      <alignment horizontal="center"/>
    </xf>
    <xf numFmtId="0" fontId="28" fillId="0" borderId="44" xfId="1" applyBorder="1"/>
    <xf numFmtId="0" fontId="28" fillId="0" borderId="47" xfId="1" applyBorder="1" applyAlignment="1">
      <alignment horizontal="center"/>
    </xf>
    <xf numFmtId="0" fontId="28" fillId="0" borderId="40" xfId="1" applyBorder="1"/>
    <xf numFmtId="0" fontId="38" fillId="40" borderId="10" xfId="1" applyFont="1" applyFill="1" applyBorder="1" applyAlignment="1">
      <alignment horizontal="center" vertical="center"/>
    </xf>
    <xf numFmtId="0" fontId="38" fillId="40" borderId="11" xfId="1" applyFont="1" applyFill="1" applyBorder="1" applyAlignment="1">
      <alignment horizontal="center" vertical="center"/>
    </xf>
    <xf numFmtId="0" fontId="2" fillId="0" borderId="4" xfId="1" applyFont="1" applyBorder="1" applyAlignment="1">
      <alignment wrapText="1"/>
    </xf>
    <xf numFmtId="0" fontId="2" fillId="0" borderId="53" xfId="1" applyFont="1" applyBorder="1" applyAlignment="1">
      <alignment wrapText="1"/>
    </xf>
    <xf numFmtId="0" fontId="28" fillId="0" borderId="54" xfId="1" applyBorder="1" applyAlignment="1">
      <alignment horizontal="center"/>
    </xf>
    <xf numFmtId="0" fontId="2" fillId="0" borderId="9" xfId="1" applyFont="1" applyBorder="1" applyAlignment="1">
      <alignment wrapText="1"/>
    </xf>
    <xf numFmtId="0" fontId="46" fillId="40" borderId="19" xfId="1" applyFont="1" applyFill="1" applyBorder="1" applyAlignment="1">
      <alignment horizontal="center" vertical="center"/>
    </xf>
    <xf numFmtId="0" fontId="9" fillId="3" borderId="55" xfId="1" applyFont="1" applyFill="1" applyBorder="1" applyAlignment="1">
      <alignment vertical="center" wrapText="1"/>
    </xf>
    <xf numFmtId="0" fontId="9" fillId="3" borderId="56" xfId="1" applyFont="1" applyFill="1" applyBorder="1" applyAlignment="1">
      <alignment vertical="center" wrapText="1"/>
    </xf>
    <xf numFmtId="0" fontId="10" fillId="9" borderId="3" xfId="1" applyFont="1" applyFill="1" applyBorder="1" applyAlignment="1">
      <alignment horizontal="center"/>
    </xf>
    <xf numFmtId="0" fontId="2" fillId="9" borderId="3" xfId="1" applyFont="1" applyFill="1" applyBorder="1"/>
    <xf numFmtId="2" fontId="2" fillId="9" borderId="3" xfId="1" applyNumberFormat="1" applyFont="1" applyFill="1" applyBorder="1" applyAlignment="1">
      <alignment horizontal="center"/>
    </xf>
    <xf numFmtId="164" fontId="10" fillId="9" borderId="3" xfId="1" applyNumberFormat="1" applyFont="1" applyFill="1" applyBorder="1" applyAlignment="1">
      <alignment horizontal="center"/>
    </xf>
    <xf numFmtId="0" fontId="2" fillId="9" borderId="3" xfId="1" applyFont="1" applyFill="1" applyBorder="1" applyAlignment="1">
      <alignment horizontal="center"/>
    </xf>
    <xf numFmtId="0" fontId="10" fillId="9" borderId="3" xfId="1" applyFont="1" applyFill="1" applyBorder="1" applyAlignment="1">
      <alignment horizontal="center" wrapText="1"/>
    </xf>
    <xf numFmtId="0" fontId="2" fillId="9" borderId="3" xfId="1" applyFont="1" applyFill="1" applyBorder="1" applyAlignment="1">
      <alignment horizontal="center" vertical="center"/>
    </xf>
    <xf numFmtId="0" fontId="7" fillId="11" borderId="18" xfId="1" applyFont="1" applyFill="1" applyBorder="1"/>
    <xf numFmtId="2" fontId="28" fillId="12" borderId="45" xfId="1" applyNumberFormat="1" applyFill="1" applyBorder="1" applyAlignment="1">
      <alignment horizontal="center"/>
    </xf>
    <xf numFmtId="2" fontId="28" fillId="12" borderId="36" xfId="1" applyNumberFormat="1" applyFill="1" applyBorder="1" applyAlignment="1">
      <alignment horizontal="center"/>
    </xf>
    <xf numFmtId="2" fontId="28" fillId="12" borderId="35" xfId="1" applyNumberFormat="1" applyFill="1" applyBorder="1" applyAlignment="1">
      <alignment horizontal="center"/>
    </xf>
    <xf numFmtId="167" fontId="28" fillId="12" borderId="36" xfId="1" applyNumberFormat="1" applyFill="1" applyBorder="1" applyAlignment="1">
      <alignment horizontal="center"/>
    </xf>
    <xf numFmtId="167" fontId="28" fillId="12" borderId="35" xfId="1" applyNumberFormat="1" applyFill="1" applyBorder="1" applyAlignment="1">
      <alignment horizontal="center"/>
    </xf>
    <xf numFmtId="0" fontId="10" fillId="9" borderId="36" xfId="1" applyFont="1" applyFill="1" applyBorder="1" applyAlignment="1">
      <alignment horizontal="center"/>
    </xf>
    <xf numFmtId="0" fontId="28" fillId="9" borderId="36" xfId="1" applyFill="1" applyBorder="1" applyAlignment="1">
      <alignment horizontal="center"/>
    </xf>
    <xf numFmtId="0" fontId="2" fillId="9" borderId="36" xfId="1" applyFont="1" applyFill="1" applyBorder="1" applyAlignment="1">
      <alignment horizontal="center"/>
    </xf>
    <xf numFmtId="0" fontId="10" fillId="9" borderId="36" xfId="1" applyFont="1" applyFill="1" applyBorder="1" applyAlignment="1">
      <alignment horizontal="center" wrapText="1"/>
    </xf>
    <xf numFmtId="0" fontId="10" fillId="9" borderId="35" xfId="1" applyFont="1" applyFill="1" applyBorder="1" applyAlignment="1">
      <alignment horizontal="center" vertical="center"/>
    </xf>
    <xf numFmtId="0" fontId="10" fillId="9" borderId="45" xfId="1" applyFont="1" applyFill="1" applyBorder="1" applyAlignment="1">
      <alignment horizontal="center"/>
    </xf>
    <xf numFmtId="167" fontId="28" fillId="12" borderId="45" xfId="1" applyNumberFormat="1" applyFill="1" applyBorder="1" applyAlignment="1">
      <alignment horizontal="center"/>
    </xf>
    <xf numFmtId="0" fontId="46" fillId="40" borderId="18" xfId="1" applyFont="1" applyFill="1" applyBorder="1"/>
    <xf numFmtId="9" fontId="16" fillId="41" borderId="41" xfId="0" applyNumberFormat="1" applyFont="1" applyFill="1" applyBorder="1"/>
    <xf numFmtId="0" fontId="16" fillId="42" borderId="41" xfId="0" applyFont="1" applyFill="1" applyBorder="1"/>
    <xf numFmtId="0" fontId="10" fillId="42" borderId="41" xfId="0" applyFont="1" applyFill="1" applyBorder="1"/>
    <xf numFmtId="0" fontId="23" fillId="42" borderId="41" xfId="0" applyFont="1" applyFill="1" applyBorder="1" applyAlignment="1">
      <alignment horizontal="right"/>
    </xf>
    <xf numFmtId="0" fontId="18" fillId="42" borderId="41" xfId="0" applyFont="1" applyFill="1" applyBorder="1" applyAlignment="1">
      <alignment horizontal="right"/>
    </xf>
    <xf numFmtId="0" fontId="10" fillId="42" borderId="41" xfId="0" applyFont="1" applyFill="1" applyBorder="1" applyAlignment="1">
      <alignment horizontal="right"/>
    </xf>
    <xf numFmtId="3" fontId="10" fillId="42" borderId="41" xfId="0" applyNumberFormat="1" applyFont="1" applyFill="1" applyBorder="1"/>
    <xf numFmtId="0" fontId="17" fillId="41" borderId="41" xfId="0" applyFont="1" applyFill="1" applyBorder="1"/>
    <xf numFmtId="2" fontId="16" fillId="41" borderId="41" xfId="0" applyNumberFormat="1" applyFont="1" applyFill="1" applyBorder="1"/>
    <xf numFmtId="9" fontId="16" fillId="42" borderId="41" xfId="0" applyNumberFormat="1" applyFont="1" applyFill="1" applyBorder="1"/>
    <xf numFmtId="0" fontId="17" fillId="42" borderId="41" xfId="0" applyFont="1" applyFill="1" applyBorder="1"/>
    <xf numFmtId="0" fontId="2" fillId="42" borderId="41" xfId="0" applyFont="1" applyFill="1" applyBorder="1" applyAlignment="1">
      <alignment horizontal="right"/>
    </xf>
    <xf numFmtId="0" fontId="19" fillId="42" borderId="41" xfId="0" applyFont="1" applyFill="1" applyBorder="1"/>
    <xf numFmtId="0" fontId="22" fillId="42" borderId="41" xfId="0" applyFont="1" applyFill="1" applyBorder="1" applyAlignment="1">
      <alignment horizontal="right"/>
    </xf>
    <xf numFmtId="3" fontId="22" fillId="42" borderId="41" xfId="0" applyNumberFormat="1" applyFont="1" applyFill="1" applyBorder="1" applyAlignment="1">
      <alignment horizontal="right"/>
    </xf>
    <xf numFmtId="9" fontId="10" fillId="42" borderId="41" xfId="0" applyNumberFormat="1" applyFont="1" applyFill="1" applyBorder="1"/>
    <xf numFmtId="9" fontId="16" fillId="42" borderId="41" xfId="0" applyNumberFormat="1" applyFont="1" applyFill="1" applyBorder="1" applyAlignment="1">
      <alignment horizontal="right"/>
    </xf>
    <xf numFmtId="10" fontId="16" fillId="42" borderId="41" xfId="0" applyNumberFormat="1" applyFont="1" applyFill="1" applyBorder="1"/>
    <xf numFmtId="0" fontId="16" fillId="42" borderId="41" xfId="0" applyFont="1" applyFill="1" applyBorder="1" applyAlignment="1">
      <alignment horizontal="center"/>
    </xf>
    <xf numFmtId="10" fontId="20" fillId="42" borderId="41" xfId="0" applyNumberFormat="1" applyFont="1" applyFill="1" applyBorder="1" applyAlignment="1">
      <alignment horizontal="right"/>
    </xf>
    <xf numFmtId="0" fontId="21" fillId="42" borderId="41" xfId="0" applyFont="1" applyFill="1" applyBorder="1" applyAlignment="1">
      <alignment horizontal="center"/>
    </xf>
    <xf numFmtId="0" fontId="24" fillId="42" borderId="41" xfId="0" applyFont="1" applyFill="1" applyBorder="1" applyAlignment="1">
      <alignment horizontal="center"/>
    </xf>
    <xf numFmtId="10" fontId="25" fillId="42" borderId="41" xfId="0" applyNumberFormat="1" applyFont="1" applyFill="1" applyBorder="1" applyAlignment="1">
      <alignment horizontal="right"/>
    </xf>
    <xf numFmtId="0" fontId="10" fillId="42" borderId="41" xfId="0" applyFont="1" applyFill="1" applyBorder="1" applyAlignment="1">
      <alignment horizontal="center"/>
    </xf>
    <xf numFmtId="9" fontId="25" fillId="42" borderId="41" xfId="0" applyNumberFormat="1" applyFont="1" applyFill="1" applyBorder="1" applyAlignment="1">
      <alignment horizontal="right"/>
    </xf>
    <xf numFmtId="10" fontId="10" fillId="42" borderId="41" xfId="0" applyNumberFormat="1" applyFont="1" applyFill="1" applyBorder="1"/>
    <xf numFmtId="9" fontId="20" fillId="42" borderId="41" xfId="0" applyNumberFormat="1" applyFont="1" applyFill="1" applyBorder="1" applyAlignment="1">
      <alignment horizontal="right"/>
    </xf>
    <xf numFmtId="10" fontId="26" fillId="42" borderId="41" xfId="0" applyNumberFormat="1" applyFont="1" applyFill="1" applyBorder="1" applyAlignment="1">
      <alignment horizontal="right"/>
    </xf>
    <xf numFmtId="10" fontId="22" fillId="42" borderId="41" xfId="0" applyNumberFormat="1" applyFont="1" applyFill="1" applyBorder="1" applyAlignment="1">
      <alignment horizontal="right"/>
    </xf>
    <xf numFmtId="10" fontId="19" fillId="42" borderId="41" xfId="0" applyNumberFormat="1" applyFont="1" applyFill="1" applyBorder="1"/>
    <xf numFmtId="171" fontId="0" fillId="12" borderId="0" xfId="5" applyNumberFormat="1" applyFont="1" applyFill="1" applyBorder="1" applyAlignment="1">
      <alignment horizontal="center"/>
    </xf>
    <xf numFmtId="171" fontId="1" fillId="12" borderId="0" xfId="3" applyNumberFormat="1" applyFont="1" applyFill="1" applyBorder="1" applyAlignment="1">
      <alignment horizontal="center"/>
    </xf>
    <xf numFmtId="14" fontId="1" fillId="0" borderId="41" xfId="4" applyNumberFormat="1" applyBorder="1"/>
    <xf numFmtId="2" fontId="0" fillId="0" borderId="41" xfId="6" applyNumberFormat="1" applyFont="1" applyFill="1" applyBorder="1" applyAlignment="1">
      <alignment horizontal="center"/>
    </xf>
    <xf numFmtId="2" fontId="1" fillId="0" borderId="41" xfId="4" applyNumberFormat="1" applyBorder="1" applyAlignment="1">
      <alignment horizontal="center"/>
    </xf>
    <xf numFmtId="0" fontId="41" fillId="40" borderId="41" xfId="4" applyFont="1" applyFill="1" applyBorder="1"/>
    <xf numFmtId="0" fontId="51" fillId="0" borderId="0" xfId="4" applyFont="1"/>
    <xf numFmtId="14" fontId="51" fillId="0" borderId="42" xfId="4" applyNumberFormat="1" applyFont="1" applyBorder="1"/>
    <xf numFmtId="43" fontId="52" fillId="23" borderId="43" xfId="6" applyFont="1" applyFill="1" applyBorder="1"/>
    <xf numFmtId="0" fontId="51" fillId="23" borderId="41" xfId="4" applyFont="1" applyFill="1" applyBorder="1"/>
    <xf numFmtId="0" fontId="51" fillId="16" borderId="41" xfId="4" applyFont="1" applyFill="1" applyBorder="1"/>
    <xf numFmtId="0" fontId="51" fillId="19" borderId="41" xfId="4" applyFont="1" applyFill="1" applyBorder="1"/>
    <xf numFmtId="0" fontId="51" fillId="10" borderId="41" xfId="4" applyFont="1" applyFill="1" applyBorder="1"/>
    <xf numFmtId="0" fontId="51" fillId="0" borderId="41" xfId="4" applyFont="1" applyBorder="1"/>
    <xf numFmtId="0" fontId="51" fillId="12" borderId="41" xfId="4" applyFont="1" applyFill="1" applyBorder="1"/>
    <xf numFmtId="0" fontId="51" fillId="9" borderId="41" xfId="4" applyFont="1" applyFill="1" applyBorder="1"/>
    <xf numFmtId="0" fontId="51" fillId="24" borderId="41" xfId="4" applyFont="1" applyFill="1" applyBorder="1"/>
    <xf numFmtId="0" fontId="51" fillId="25" borderId="41" xfId="4" applyFont="1" applyFill="1" applyBorder="1"/>
    <xf numFmtId="0" fontId="51" fillId="26" borderId="41" xfId="4" applyFont="1" applyFill="1" applyBorder="1"/>
    <xf numFmtId="0" fontId="51" fillId="26" borderId="44" xfId="4" applyFont="1" applyFill="1" applyBorder="1"/>
    <xf numFmtId="10" fontId="52" fillId="27" borderId="41" xfId="5" applyNumberFormat="1" applyFont="1" applyFill="1" applyBorder="1"/>
    <xf numFmtId="10" fontId="52" fillId="28" borderId="41" xfId="5" applyNumberFormat="1" applyFont="1" applyFill="1" applyBorder="1"/>
    <xf numFmtId="10" fontId="52" fillId="29" borderId="41" xfId="5" applyNumberFormat="1" applyFont="1" applyFill="1" applyBorder="1"/>
    <xf numFmtId="10" fontId="52" fillId="23" borderId="43" xfId="5" applyNumberFormat="1" applyFont="1" applyFill="1" applyBorder="1"/>
    <xf numFmtId="10" fontId="52" fillId="23" borderId="41" xfId="5" applyNumberFormat="1" applyFont="1" applyFill="1" applyBorder="1"/>
    <xf numFmtId="10" fontId="52" fillId="16" borderId="41" xfId="5" applyNumberFormat="1" applyFont="1" applyFill="1" applyBorder="1"/>
    <xf numFmtId="10" fontId="52" fillId="19" borderId="41" xfId="5" applyNumberFormat="1" applyFont="1" applyFill="1" applyBorder="1"/>
    <xf numFmtId="10" fontId="52" fillId="10" borderId="41" xfId="5" applyNumberFormat="1" applyFont="1" applyFill="1" applyBorder="1"/>
    <xf numFmtId="10" fontId="52" fillId="0" borderId="41" xfId="5" applyNumberFormat="1" applyFont="1" applyBorder="1"/>
    <xf numFmtId="10" fontId="52" fillId="12" borderId="41" xfId="5" applyNumberFormat="1" applyFont="1" applyFill="1" applyBorder="1"/>
    <xf numFmtId="10" fontId="52" fillId="9" borderId="41" xfId="5" applyNumberFormat="1" applyFont="1" applyFill="1" applyBorder="1"/>
    <xf numFmtId="10" fontId="52" fillId="24" borderId="41" xfId="5" applyNumberFormat="1" applyFont="1" applyFill="1" applyBorder="1"/>
    <xf numFmtId="10" fontId="52" fillId="25" borderId="41" xfId="5" applyNumberFormat="1" applyFont="1" applyFill="1" applyBorder="1"/>
    <xf numFmtId="10" fontId="52" fillId="26" borderId="41" xfId="5" applyNumberFormat="1" applyFont="1" applyFill="1" applyBorder="1"/>
    <xf numFmtId="10" fontId="52" fillId="26" borderId="44" xfId="5" applyNumberFormat="1" applyFont="1" applyFill="1" applyBorder="1"/>
    <xf numFmtId="10" fontId="52" fillId="23" borderId="39" xfId="5" applyNumberFormat="1" applyFont="1" applyFill="1" applyBorder="1"/>
    <xf numFmtId="10" fontId="52" fillId="16" borderId="39" xfId="5" applyNumberFormat="1" applyFont="1" applyFill="1" applyBorder="1"/>
    <xf numFmtId="10" fontId="52" fillId="19" borderId="39" xfId="5" applyNumberFormat="1" applyFont="1" applyFill="1" applyBorder="1"/>
    <xf numFmtId="10" fontId="52" fillId="10" borderId="39" xfId="5" applyNumberFormat="1" applyFont="1" applyFill="1" applyBorder="1"/>
    <xf numFmtId="10" fontId="52" fillId="0" borderId="39" xfId="5" applyNumberFormat="1" applyFont="1" applyBorder="1"/>
    <xf numFmtId="10" fontId="52" fillId="12" borderId="39" xfId="5" applyNumberFormat="1" applyFont="1" applyFill="1" applyBorder="1"/>
    <xf numFmtId="10" fontId="52" fillId="9" borderId="39" xfId="5" applyNumberFormat="1" applyFont="1" applyFill="1" applyBorder="1"/>
    <xf numFmtId="10" fontId="52" fillId="24" borderId="39" xfId="5" applyNumberFormat="1" applyFont="1" applyFill="1" applyBorder="1"/>
    <xf numFmtId="10" fontId="52" fillId="25" borderId="39" xfId="5" applyNumberFormat="1" applyFont="1" applyFill="1" applyBorder="1"/>
    <xf numFmtId="10" fontId="52" fillId="26" borderId="39" xfId="5" applyNumberFormat="1" applyFont="1" applyFill="1" applyBorder="1"/>
    <xf numFmtId="10" fontId="52" fillId="26" borderId="40" xfId="5" applyNumberFormat="1" applyFont="1" applyFill="1" applyBorder="1"/>
    <xf numFmtId="0" fontId="27" fillId="42" borderId="0" xfId="0" applyFont="1" applyFill="1" applyAlignment="1">
      <alignment horizontal="left" vertical="top"/>
    </xf>
    <xf numFmtId="0" fontId="53" fillId="0" borderId="0" xfId="0" applyFont="1"/>
    <xf numFmtId="0" fontId="7" fillId="14" borderId="3" xfId="0" applyFont="1" applyFill="1" applyBorder="1"/>
    <xf numFmtId="0" fontId="7" fillId="14" borderId="2" xfId="0" applyFont="1" applyFill="1" applyBorder="1"/>
    <xf numFmtId="0" fontId="7" fillId="14" borderId="5" xfId="0" applyFont="1" applyFill="1" applyBorder="1"/>
    <xf numFmtId="0" fontId="10" fillId="9" borderId="5" xfId="0" applyFont="1" applyFill="1" applyBorder="1"/>
    <xf numFmtId="0" fontId="10" fillId="9" borderId="6" xfId="0" applyFont="1" applyFill="1" applyBorder="1"/>
    <xf numFmtId="0" fontId="10" fillId="9" borderId="7" xfId="0" applyFont="1" applyFill="1" applyBorder="1"/>
    <xf numFmtId="0" fontId="10" fillId="9" borderId="0" xfId="0" applyFont="1" applyFill="1"/>
    <xf numFmtId="0" fontId="10" fillId="9" borderId="8" xfId="0" applyFont="1" applyFill="1" applyBorder="1"/>
    <xf numFmtId="0" fontId="10" fillId="9" borderId="9" xfId="0" applyFont="1" applyFill="1" applyBorder="1"/>
    <xf numFmtId="0" fontId="7" fillId="14" borderId="10" xfId="0" applyFont="1" applyFill="1" applyBorder="1"/>
    <xf numFmtId="0" fontId="7" fillId="14" borderId="38" xfId="0" applyFont="1" applyFill="1" applyBorder="1"/>
    <xf numFmtId="0" fontId="7" fillId="14" borderId="11" xfId="0" applyFont="1" applyFill="1" applyBorder="1"/>
    <xf numFmtId="0" fontId="10" fillId="9" borderId="46" xfId="0" applyFont="1" applyFill="1" applyBorder="1"/>
    <xf numFmtId="0" fontId="10" fillId="9" borderId="41" xfId="0" applyFont="1" applyFill="1" applyBorder="1"/>
    <xf numFmtId="0" fontId="10" fillId="9" borderId="44" xfId="0" applyFont="1" applyFill="1" applyBorder="1"/>
    <xf numFmtId="0" fontId="10" fillId="9" borderId="47" xfId="0" applyFont="1" applyFill="1" applyBorder="1"/>
    <xf numFmtId="0" fontId="10" fillId="9" borderId="39" xfId="0" applyFont="1" applyFill="1" applyBorder="1"/>
    <xf numFmtId="0" fontId="10" fillId="9" borderId="40" xfId="0" applyFont="1" applyFill="1" applyBorder="1"/>
    <xf numFmtId="0" fontId="54" fillId="0" borderId="0" xfId="0" applyFont="1"/>
    <xf numFmtId="0" fontId="42" fillId="0" borderId="0" xfId="8" applyAlignment="1">
      <alignment horizontal="center"/>
    </xf>
    <xf numFmtId="0" fontId="18" fillId="42" borderId="0" xfId="0" applyFont="1" applyFill="1" applyAlignment="1">
      <alignment horizontal="center"/>
    </xf>
    <xf numFmtId="9" fontId="18" fillId="42" borderId="0" xfId="0" applyNumberFormat="1" applyFont="1" applyFill="1" applyAlignment="1">
      <alignment horizontal="center"/>
    </xf>
    <xf numFmtId="10" fontId="18" fillId="42" borderId="0" xfId="0" applyNumberFormat="1" applyFont="1" applyFill="1" applyAlignment="1">
      <alignment horizontal="center"/>
    </xf>
    <xf numFmtId="0" fontId="54" fillId="14" borderId="14" xfId="0" applyFont="1" applyFill="1" applyBorder="1"/>
    <xf numFmtId="0" fontId="47" fillId="14" borderId="27" xfId="0" applyFont="1" applyFill="1" applyBorder="1"/>
    <xf numFmtId="0" fontId="47" fillId="14" borderId="15" xfId="0" applyFont="1" applyFill="1" applyBorder="1"/>
    <xf numFmtId="0" fontId="36" fillId="9" borderId="25" xfId="0" applyFont="1" applyFill="1" applyBorder="1"/>
    <xf numFmtId="0" fontId="18" fillId="42" borderId="26" xfId="0" applyFont="1" applyFill="1" applyBorder="1" applyAlignment="1">
      <alignment horizontal="center"/>
    </xf>
    <xf numFmtId="0" fontId="36" fillId="9" borderId="16" xfId="0" applyFont="1" applyFill="1" applyBorder="1"/>
    <xf numFmtId="0" fontId="18" fillId="42" borderId="28" xfId="0" applyFont="1" applyFill="1" applyBorder="1" applyAlignment="1">
      <alignment horizontal="center"/>
    </xf>
    <xf numFmtId="9" fontId="18" fillId="42" borderId="28" xfId="0" applyNumberFormat="1" applyFont="1" applyFill="1" applyBorder="1" applyAlignment="1">
      <alignment horizontal="center"/>
    </xf>
    <xf numFmtId="10" fontId="18" fillId="42" borderId="28" xfId="0" applyNumberFormat="1" applyFont="1" applyFill="1" applyBorder="1" applyAlignment="1">
      <alignment horizontal="center"/>
    </xf>
    <xf numFmtId="0" fontId="18" fillId="42" borderId="17" xfId="0" applyFont="1" applyFill="1" applyBorder="1" applyAlignment="1">
      <alignment horizontal="center"/>
    </xf>
    <xf numFmtId="0" fontId="55" fillId="0" borderId="19" xfId="0" applyFont="1" applyBorder="1"/>
    <xf numFmtId="0" fontId="10" fillId="6" borderId="20" xfId="0" applyFont="1" applyFill="1" applyBorder="1" applyAlignment="1">
      <alignment horizontal="center"/>
    </xf>
    <xf numFmtId="0" fontId="10" fillId="6" borderId="21" xfId="0" applyFont="1" applyFill="1" applyBorder="1" applyAlignment="1">
      <alignment horizontal="center"/>
    </xf>
    <xf numFmtId="168" fontId="35" fillId="12" borderId="20" xfId="0" applyNumberFormat="1" applyFont="1" applyFill="1" applyBorder="1" applyAlignment="1">
      <alignment horizontal="center"/>
    </xf>
    <xf numFmtId="168" fontId="35" fillId="12" borderId="21" xfId="0" applyNumberFormat="1" applyFont="1" applyFill="1" applyBorder="1" applyAlignment="1">
      <alignment horizontal="center"/>
    </xf>
    <xf numFmtId="0" fontId="55" fillId="11" borderId="19" xfId="0" applyFont="1" applyFill="1" applyBorder="1"/>
    <xf numFmtId="172" fontId="35" fillId="46" borderId="20" xfId="0" applyNumberFormat="1" applyFont="1" applyFill="1" applyBorder="1" applyAlignment="1">
      <alignment horizontal="center"/>
    </xf>
    <xf numFmtId="172" fontId="35" fillId="46" borderId="21" xfId="0" applyNumberFormat="1" applyFont="1" applyFill="1" applyBorder="1" applyAlignment="1">
      <alignment horizontal="center"/>
    </xf>
    <xf numFmtId="0" fontId="55" fillId="45" borderId="19" xfId="0" applyFont="1" applyFill="1" applyBorder="1"/>
    <xf numFmtId="172" fontId="35" fillId="12" borderId="14" xfId="0" applyNumberFormat="1" applyFont="1" applyFill="1" applyBorder="1" applyAlignment="1">
      <alignment horizontal="center"/>
    </xf>
    <xf numFmtId="172" fontId="35" fillId="12" borderId="27" xfId="0" applyNumberFormat="1" applyFont="1" applyFill="1" applyBorder="1" applyAlignment="1">
      <alignment horizontal="center"/>
    </xf>
    <xf numFmtId="172" fontId="35" fillId="12" borderId="15" xfId="0" applyNumberFormat="1" applyFont="1" applyFill="1" applyBorder="1" applyAlignment="1">
      <alignment horizontal="center"/>
    </xf>
    <xf numFmtId="172" fontId="35" fillId="12" borderId="25" xfId="0" applyNumberFormat="1" applyFont="1" applyFill="1" applyBorder="1" applyAlignment="1">
      <alignment horizontal="center"/>
    </xf>
    <xf numFmtId="172" fontId="35" fillId="12" borderId="0" xfId="0" applyNumberFormat="1" applyFont="1" applyFill="1" applyAlignment="1">
      <alignment horizontal="center"/>
    </xf>
    <xf numFmtId="172" fontId="35" fillId="12" borderId="26" xfId="0" applyNumberFormat="1" applyFont="1" applyFill="1" applyBorder="1" applyAlignment="1">
      <alignment horizontal="center"/>
    </xf>
    <xf numFmtId="172" fontId="35" fillId="12" borderId="16" xfId="0" applyNumberFormat="1" applyFont="1" applyFill="1" applyBorder="1" applyAlignment="1">
      <alignment horizontal="center"/>
    </xf>
    <xf numFmtId="172" fontId="35" fillId="12" borderId="28" xfId="0" applyNumberFormat="1" applyFont="1" applyFill="1" applyBorder="1" applyAlignment="1">
      <alignment horizontal="center"/>
    </xf>
    <xf numFmtId="172" fontId="35" fillId="12" borderId="17" xfId="0" applyNumberFormat="1" applyFont="1" applyFill="1" applyBorder="1" applyAlignment="1">
      <alignment horizontal="center"/>
    </xf>
    <xf numFmtId="0" fontId="55" fillId="11" borderId="18" xfId="0" applyFont="1" applyFill="1" applyBorder="1"/>
    <xf numFmtId="0" fontId="56" fillId="39" borderId="0" xfId="0" applyFont="1" applyFill="1"/>
    <xf numFmtId="172" fontId="35" fillId="47" borderId="15" xfId="0" applyNumberFormat="1" applyFont="1" applyFill="1" applyBorder="1" applyAlignment="1">
      <alignment horizontal="center"/>
    </xf>
    <xf numFmtId="172" fontId="35" fillId="47" borderId="26" xfId="0" applyNumberFormat="1" applyFont="1" applyFill="1" applyBorder="1" applyAlignment="1">
      <alignment horizontal="center"/>
    </xf>
    <xf numFmtId="172" fontId="35" fillId="47" borderId="17" xfId="0" applyNumberFormat="1" applyFont="1" applyFill="1" applyBorder="1" applyAlignment="1">
      <alignment horizontal="center"/>
    </xf>
    <xf numFmtId="172" fontId="35" fillId="46" borderId="14" xfId="0" applyNumberFormat="1" applyFont="1" applyFill="1" applyBorder="1" applyAlignment="1">
      <alignment horizontal="center"/>
    </xf>
    <xf numFmtId="172" fontId="35" fillId="46" borderId="27" xfId="0" applyNumberFormat="1" applyFont="1" applyFill="1" applyBorder="1" applyAlignment="1">
      <alignment horizontal="center"/>
    </xf>
    <xf numFmtId="172" fontId="35" fillId="46" borderId="15" xfId="0" applyNumberFormat="1" applyFont="1" applyFill="1" applyBorder="1" applyAlignment="1">
      <alignment horizontal="center"/>
    </xf>
    <xf numFmtId="172" fontId="35" fillId="46" borderId="25" xfId="0" applyNumberFormat="1" applyFont="1" applyFill="1" applyBorder="1" applyAlignment="1">
      <alignment horizontal="center"/>
    </xf>
    <xf numFmtId="172" fontId="35" fillId="46" borderId="0" xfId="0" applyNumberFormat="1" applyFont="1" applyFill="1" applyAlignment="1">
      <alignment horizontal="center"/>
    </xf>
    <xf numFmtId="172" fontId="35" fillId="46" borderId="26" xfId="0" applyNumberFormat="1" applyFont="1" applyFill="1" applyBorder="1" applyAlignment="1">
      <alignment horizontal="center"/>
    </xf>
    <xf numFmtId="172" fontId="35" fillId="46" borderId="16" xfId="0" applyNumberFormat="1" applyFont="1" applyFill="1" applyBorder="1" applyAlignment="1">
      <alignment horizontal="center"/>
    </xf>
    <xf numFmtId="172" fontId="35" fillId="46" borderId="28" xfId="0" applyNumberFormat="1" applyFont="1" applyFill="1" applyBorder="1" applyAlignment="1">
      <alignment horizontal="center"/>
    </xf>
    <xf numFmtId="172" fontId="35" fillId="46" borderId="17" xfId="0" applyNumberFormat="1" applyFont="1" applyFill="1" applyBorder="1" applyAlignment="1">
      <alignment horizontal="center"/>
    </xf>
    <xf numFmtId="0" fontId="55" fillId="45" borderId="18" xfId="0" applyFont="1" applyFill="1" applyBorder="1"/>
    <xf numFmtId="0" fontId="57" fillId="40" borderId="38" xfId="0" applyFont="1" applyFill="1" applyBorder="1"/>
    <xf numFmtId="0" fontId="0" fillId="12" borderId="46" xfId="0" applyFill="1" applyBorder="1" applyAlignment="1">
      <alignment horizontal="center"/>
    </xf>
    <xf numFmtId="0" fontId="0" fillId="12" borderId="47" xfId="0" applyFill="1" applyBorder="1" applyAlignment="1">
      <alignment horizontal="center"/>
    </xf>
    <xf numFmtId="172" fontId="35" fillId="12" borderId="44" xfId="0" applyNumberFormat="1" applyFont="1" applyFill="1" applyBorder="1" applyAlignment="1">
      <alignment horizontal="center"/>
    </xf>
    <xf numFmtId="172" fontId="35" fillId="12" borderId="40" xfId="0" applyNumberFormat="1" applyFont="1" applyFill="1" applyBorder="1" applyAlignment="1">
      <alignment horizontal="center"/>
    </xf>
    <xf numFmtId="0" fontId="45" fillId="11" borderId="10" xfId="0" applyFont="1" applyFill="1" applyBorder="1" applyAlignment="1">
      <alignment horizontal="center"/>
    </xf>
    <xf numFmtId="0" fontId="36" fillId="0" borderId="41" xfId="0" applyFont="1" applyBorder="1"/>
    <xf numFmtId="0" fontId="36" fillId="0" borderId="39" xfId="0" applyFont="1" applyBorder="1"/>
    <xf numFmtId="0" fontId="45" fillId="11" borderId="57" xfId="0" applyFont="1" applyFill="1" applyBorder="1" applyAlignment="1">
      <alignment horizontal="center"/>
    </xf>
    <xf numFmtId="172" fontId="35" fillId="12" borderId="51" xfId="0" applyNumberFormat="1" applyFont="1" applyFill="1" applyBorder="1" applyAlignment="1">
      <alignment horizontal="center"/>
    </xf>
    <xf numFmtId="0" fontId="0" fillId="0" borderId="25" xfId="0" applyBorder="1"/>
    <xf numFmtId="0" fontId="0" fillId="0" borderId="26" xfId="0" applyBorder="1"/>
    <xf numFmtId="0" fontId="0" fillId="0" borderId="16" xfId="0" applyBorder="1"/>
    <xf numFmtId="0" fontId="0" fillId="0" borderId="17" xfId="0" applyBorder="1"/>
    <xf numFmtId="172" fontId="35" fillId="48" borderId="14" xfId="0" applyNumberFormat="1" applyFont="1" applyFill="1" applyBorder="1" applyAlignment="1">
      <alignment horizontal="center"/>
    </xf>
    <xf numFmtId="172" fontId="35" fillId="48" borderId="27" xfId="0" applyNumberFormat="1" applyFont="1" applyFill="1" applyBorder="1" applyAlignment="1">
      <alignment horizontal="center"/>
    </xf>
    <xf numFmtId="172" fontId="35" fillId="48" borderId="15" xfId="0" applyNumberFormat="1" applyFont="1" applyFill="1" applyBorder="1" applyAlignment="1">
      <alignment horizontal="center"/>
    </xf>
    <xf numFmtId="172" fontId="35" fillId="48" borderId="25" xfId="0" applyNumberFormat="1" applyFont="1" applyFill="1" applyBorder="1" applyAlignment="1">
      <alignment horizontal="center"/>
    </xf>
    <xf numFmtId="172" fontId="35" fillId="48" borderId="0" xfId="0" applyNumberFormat="1" applyFont="1" applyFill="1" applyAlignment="1">
      <alignment horizontal="center"/>
    </xf>
    <xf numFmtId="172" fontId="35" fillId="48" borderId="26" xfId="0" applyNumberFormat="1" applyFont="1" applyFill="1" applyBorder="1" applyAlignment="1">
      <alignment horizontal="center"/>
    </xf>
    <xf numFmtId="172" fontId="35" fillId="48" borderId="16" xfId="0" applyNumberFormat="1" applyFont="1" applyFill="1" applyBorder="1" applyAlignment="1">
      <alignment horizontal="center"/>
    </xf>
    <xf numFmtId="172" fontId="35" fillId="48" borderId="28" xfId="0" applyNumberFormat="1" applyFont="1" applyFill="1" applyBorder="1" applyAlignment="1">
      <alignment horizontal="center"/>
    </xf>
    <xf numFmtId="172" fontId="35" fillId="48" borderId="17" xfId="0" applyNumberFormat="1" applyFont="1" applyFill="1" applyBorder="1" applyAlignment="1">
      <alignment horizontal="center"/>
    </xf>
    <xf numFmtId="0" fontId="33" fillId="0" borderId="14" xfId="0" applyFont="1" applyBorder="1"/>
    <xf numFmtId="0" fontId="33" fillId="0" borderId="15" xfId="0" applyFont="1" applyBorder="1"/>
    <xf numFmtId="0" fontId="58" fillId="44" borderId="14" xfId="0" applyFont="1" applyFill="1" applyBorder="1" applyAlignment="1">
      <alignment horizontal="left" vertical="top"/>
    </xf>
    <xf numFmtId="0" fontId="58" fillId="44" borderId="27" xfId="0" applyFont="1" applyFill="1" applyBorder="1" applyAlignment="1">
      <alignment horizontal="left" vertical="top"/>
    </xf>
    <xf numFmtId="0" fontId="58" fillId="44" borderId="15" xfId="0" applyFont="1" applyFill="1" applyBorder="1" applyAlignment="1">
      <alignment horizontal="left" vertical="top"/>
    </xf>
    <xf numFmtId="0" fontId="27" fillId="42" borderId="25" xfId="0" applyFont="1" applyFill="1" applyBorder="1" applyAlignment="1">
      <alignment horizontal="left" vertical="top"/>
    </xf>
    <xf numFmtId="0" fontId="27" fillId="42" borderId="26" xfId="0" applyFont="1" applyFill="1" applyBorder="1" applyAlignment="1">
      <alignment horizontal="left" vertical="top"/>
    </xf>
    <xf numFmtId="0" fontId="27" fillId="42" borderId="16" xfId="0" applyFont="1" applyFill="1" applyBorder="1" applyAlignment="1">
      <alignment horizontal="left" vertical="top"/>
    </xf>
    <xf numFmtId="0" fontId="27" fillId="42" borderId="28" xfId="0" applyFont="1" applyFill="1" applyBorder="1" applyAlignment="1">
      <alignment horizontal="left" vertical="top"/>
    </xf>
    <xf numFmtId="0" fontId="27" fillId="42" borderId="17" xfId="0" applyFont="1" applyFill="1" applyBorder="1" applyAlignment="1">
      <alignment horizontal="left" vertical="top"/>
    </xf>
    <xf numFmtId="0" fontId="50" fillId="0" borderId="32" xfId="4" applyFont="1" applyBorder="1"/>
    <xf numFmtId="0" fontId="59" fillId="30" borderId="37" xfId="4" applyFont="1" applyFill="1" applyBorder="1"/>
    <xf numFmtId="0" fontId="59" fillId="30" borderId="38" xfId="4" applyFont="1" applyFill="1" applyBorder="1"/>
    <xf numFmtId="0" fontId="59" fillId="31" borderId="38" xfId="4" applyFont="1" applyFill="1" applyBorder="1"/>
    <xf numFmtId="0" fontId="59" fillId="32" borderId="38" xfId="4" applyFont="1" applyFill="1" applyBorder="1"/>
    <xf numFmtId="0" fontId="59" fillId="33" borderId="38" xfId="4" applyFont="1" applyFill="1" applyBorder="1"/>
    <xf numFmtId="0" fontId="59" fillId="34" borderId="38" xfId="4" applyFont="1" applyFill="1" applyBorder="1"/>
    <xf numFmtId="0" fontId="59" fillId="35" borderId="38" xfId="4" applyFont="1" applyFill="1" applyBorder="1"/>
    <xf numFmtId="0" fontId="59" fillId="36" borderId="38" xfId="4" applyFont="1" applyFill="1" applyBorder="1"/>
    <xf numFmtId="0" fontId="59" fillId="37" borderId="38" xfId="4" applyFont="1" applyFill="1" applyBorder="1"/>
    <xf numFmtId="0" fontId="59" fillId="38" borderId="38" xfId="4" applyFont="1" applyFill="1" applyBorder="1"/>
    <xf numFmtId="0" fontId="59" fillId="38" borderId="11" xfId="4" applyFont="1" applyFill="1" applyBorder="1"/>
    <xf numFmtId="0" fontId="59" fillId="20" borderId="41" xfId="4" applyFont="1" applyFill="1" applyBorder="1"/>
    <xf numFmtId="0" fontId="59" fillId="21" borderId="41" xfId="4" applyFont="1" applyFill="1" applyBorder="1"/>
    <xf numFmtId="0" fontId="59" fillId="22" borderId="41" xfId="4" applyFont="1" applyFill="1" applyBorder="1"/>
    <xf numFmtId="0" fontId="60" fillId="0" borderId="0" xfId="4" applyFont="1"/>
    <xf numFmtId="0" fontId="29" fillId="11" borderId="14" xfId="4" applyFont="1" applyFill="1" applyBorder="1"/>
    <xf numFmtId="0" fontId="29" fillId="11" borderId="27" xfId="4" applyFont="1" applyFill="1" applyBorder="1" applyAlignment="1">
      <alignment horizontal="center"/>
    </xf>
    <xf numFmtId="0" fontId="29" fillId="11" borderId="15" xfId="4" applyFont="1" applyFill="1" applyBorder="1" applyAlignment="1">
      <alignment horizontal="center"/>
    </xf>
    <xf numFmtId="0" fontId="1" fillId="12" borderId="25" xfId="4" applyFill="1" applyBorder="1"/>
    <xf numFmtId="171" fontId="1" fillId="12" borderId="26" xfId="3" applyNumberFormat="1" applyFont="1" applyFill="1" applyBorder="1" applyAlignment="1">
      <alignment horizontal="center"/>
    </xf>
    <xf numFmtId="0" fontId="1" fillId="12" borderId="16" xfId="4" applyFill="1" applyBorder="1"/>
    <xf numFmtId="171" fontId="1" fillId="12" borderId="28" xfId="3" applyNumberFormat="1" applyFont="1" applyFill="1" applyBorder="1" applyAlignment="1">
      <alignment horizontal="center"/>
    </xf>
    <xf numFmtId="171" fontId="1" fillId="12" borderId="17" xfId="3" applyNumberFormat="1" applyFont="1" applyFill="1" applyBorder="1" applyAlignment="1">
      <alignment horizontal="center"/>
    </xf>
    <xf numFmtId="0" fontId="29" fillId="14" borderId="14" xfId="4" applyFont="1" applyFill="1" applyBorder="1"/>
    <xf numFmtId="0" fontId="48" fillId="11" borderId="27" xfId="4" applyFont="1" applyFill="1" applyBorder="1" applyAlignment="1">
      <alignment horizontal="center"/>
    </xf>
    <xf numFmtId="0" fontId="48" fillId="11" borderId="27" xfId="4" applyFont="1" applyFill="1" applyBorder="1"/>
    <xf numFmtId="0" fontId="49" fillId="11" borderId="27" xfId="4" applyFont="1" applyFill="1" applyBorder="1"/>
    <xf numFmtId="0" fontId="49" fillId="11" borderId="15" xfId="4" applyFont="1" applyFill="1" applyBorder="1"/>
    <xf numFmtId="0" fontId="1" fillId="9" borderId="25" xfId="4" applyFill="1" applyBorder="1"/>
    <xf numFmtId="171" fontId="0" fillId="12" borderId="26" xfId="5" applyNumberFormat="1" applyFont="1" applyFill="1" applyBorder="1" applyAlignment="1">
      <alignment horizontal="center"/>
    </xf>
    <xf numFmtId="0" fontId="1" fillId="9" borderId="16" xfId="4" applyFill="1" applyBorder="1"/>
    <xf numFmtId="171" fontId="0" fillId="12" borderId="28" xfId="5" applyNumberFormat="1" applyFont="1" applyFill="1" applyBorder="1" applyAlignment="1">
      <alignment horizontal="center"/>
    </xf>
    <xf numFmtId="171" fontId="0" fillId="12" borderId="17" xfId="5" applyNumberFormat="1" applyFont="1" applyFill="1" applyBorder="1" applyAlignment="1">
      <alignment horizontal="center"/>
    </xf>
    <xf numFmtId="0" fontId="9" fillId="3" borderId="10" xfId="0" applyFont="1" applyFill="1" applyBorder="1"/>
    <xf numFmtId="0" fontId="9" fillId="3" borderId="38" xfId="0" applyFont="1" applyFill="1" applyBorder="1"/>
    <xf numFmtId="0" fontId="47" fillId="43" borderId="38" xfId="0" applyFont="1" applyFill="1" applyBorder="1"/>
    <xf numFmtId="0" fontId="9" fillId="3" borderId="38" xfId="0" applyFont="1" applyFill="1" applyBorder="1" applyAlignment="1">
      <alignment horizontal="center"/>
    </xf>
    <xf numFmtId="0" fontId="9" fillId="3" borderId="11" xfId="0" applyFont="1" applyFill="1" applyBorder="1"/>
    <xf numFmtId="0" fontId="16" fillId="42" borderId="46" xfId="0" applyFont="1" applyFill="1" applyBorder="1"/>
    <xf numFmtId="0" fontId="16" fillId="42" borderId="44" xfId="0" applyFont="1" applyFill="1" applyBorder="1" applyAlignment="1">
      <alignment horizontal="center"/>
    </xf>
    <xf numFmtId="0" fontId="2" fillId="42" borderId="46" xfId="0" applyFont="1" applyFill="1" applyBorder="1"/>
    <xf numFmtId="0" fontId="18" fillId="42" borderId="44" xfId="0" applyFont="1" applyFill="1" applyBorder="1" applyAlignment="1">
      <alignment horizontal="center"/>
    </xf>
    <xf numFmtId="0" fontId="23" fillId="42" borderId="44" xfId="0" applyFont="1" applyFill="1" applyBorder="1" applyAlignment="1">
      <alignment horizontal="center"/>
    </xf>
    <xf numFmtId="0" fontId="10" fillId="42" borderId="46" xfId="0" applyFont="1" applyFill="1" applyBorder="1"/>
    <xf numFmtId="0" fontId="25" fillId="42" borderId="44" xfId="0" applyFont="1" applyFill="1" applyBorder="1" applyAlignment="1">
      <alignment horizontal="center"/>
    </xf>
    <xf numFmtId="0" fontId="10" fillId="42" borderId="44" xfId="0" applyFont="1" applyFill="1" applyBorder="1" applyAlignment="1">
      <alignment horizontal="center"/>
    </xf>
    <xf numFmtId="166" fontId="10" fillId="42" borderId="44" xfId="0" applyNumberFormat="1" applyFont="1" applyFill="1" applyBorder="1" applyAlignment="1">
      <alignment horizontal="center"/>
    </xf>
    <xf numFmtId="0" fontId="10" fillId="42" borderId="47" xfId="0" applyFont="1" applyFill="1" applyBorder="1"/>
    <xf numFmtId="0" fontId="10" fillId="42" borderId="39" xfId="0" applyFont="1" applyFill="1" applyBorder="1"/>
    <xf numFmtId="9" fontId="16" fillId="41" borderId="39" xfId="0" applyNumberFormat="1" applyFont="1" applyFill="1" applyBorder="1"/>
    <xf numFmtId="9" fontId="10" fillId="42" borderId="39" xfId="0" applyNumberFormat="1" applyFont="1" applyFill="1" applyBorder="1"/>
    <xf numFmtId="3" fontId="10" fillId="42" borderId="39" xfId="0" applyNumberFormat="1" applyFont="1" applyFill="1" applyBorder="1"/>
    <xf numFmtId="0" fontId="17" fillId="41" borderId="39" xfId="0" applyFont="1" applyFill="1" applyBorder="1"/>
    <xf numFmtId="9" fontId="16" fillId="42" borderId="39" xfId="0" applyNumberFormat="1" applyFont="1" applyFill="1" applyBorder="1" applyAlignment="1">
      <alignment horizontal="right"/>
    </xf>
    <xf numFmtId="10" fontId="10" fillId="42" borderId="39" xfId="0" applyNumberFormat="1" applyFont="1" applyFill="1" applyBorder="1"/>
    <xf numFmtId="0" fontId="18" fillId="42" borderId="39" xfId="0" applyFont="1" applyFill="1" applyBorder="1" applyAlignment="1">
      <alignment horizontal="right"/>
    </xf>
    <xf numFmtId="10" fontId="19" fillId="42" borderId="39" xfId="0" applyNumberFormat="1" applyFont="1" applyFill="1" applyBorder="1"/>
    <xf numFmtId="0" fontId="10" fillId="42" borderId="39" xfId="0" applyFont="1" applyFill="1" applyBorder="1" applyAlignment="1">
      <alignment horizontal="center"/>
    </xf>
    <xf numFmtId="2" fontId="16" fillId="41" borderId="39" xfId="0" applyNumberFormat="1" applyFont="1" applyFill="1" applyBorder="1"/>
    <xf numFmtId="0" fontId="10" fillId="42" borderId="40" xfId="0" applyFont="1" applyFill="1" applyBorder="1" applyAlignment="1">
      <alignment horizontal="center"/>
    </xf>
    <xf numFmtId="0" fontId="61" fillId="0" borderId="0" xfId="0" applyFont="1"/>
    <xf numFmtId="0" fontId="53" fillId="0" borderId="0" xfId="1" applyFont="1"/>
    <xf numFmtId="0" fontId="33" fillId="11" borderId="19" xfId="1" applyFont="1" applyFill="1" applyBorder="1"/>
    <xf numFmtId="0" fontId="46" fillId="39" borderId="22" xfId="1" applyFont="1" applyFill="1" applyBorder="1" applyAlignment="1">
      <alignment horizontal="center"/>
    </xf>
    <xf numFmtId="172" fontId="44" fillId="17" borderId="42" xfId="1" applyNumberFormat="1" applyFont="1" applyFill="1" applyBorder="1" applyAlignment="1">
      <alignment horizontal="center"/>
    </xf>
    <xf numFmtId="172" fontId="44" fillId="17" borderId="33" xfId="1" applyNumberFormat="1" applyFont="1" applyFill="1" applyBorder="1" applyAlignment="1">
      <alignment horizontal="center"/>
    </xf>
    <xf numFmtId="0" fontId="2" fillId="0" borderId="26" xfId="0" applyFont="1" applyBorder="1"/>
    <xf numFmtId="0" fontId="10" fillId="0" borderId="26" xfId="0" applyFont="1" applyBorder="1"/>
    <xf numFmtId="0" fontId="10" fillId="0" borderId="17" xfId="0" applyFont="1" applyBorder="1"/>
    <xf numFmtId="0" fontId="10" fillId="0" borderId="23" xfId="0" applyFont="1" applyBorder="1" applyAlignment="1">
      <alignment horizontal="center"/>
    </xf>
    <xf numFmtId="0" fontId="10" fillId="0" borderId="24" xfId="0" applyFont="1" applyBorder="1" applyAlignment="1">
      <alignment horizontal="center"/>
    </xf>
    <xf numFmtId="0" fontId="2" fillId="0" borderId="23" xfId="0" applyFont="1" applyBorder="1"/>
    <xf numFmtId="0" fontId="10" fillId="0" borderId="23" xfId="0" applyFont="1" applyBorder="1"/>
    <xf numFmtId="0" fontId="10" fillId="0" borderId="24" xfId="0" applyFont="1" applyBorder="1"/>
    <xf numFmtId="0" fontId="2" fillId="9" borderId="23" xfId="0" applyFont="1" applyFill="1" applyBorder="1"/>
    <xf numFmtId="0" fontId="10" fillId="9" borderId="23" xfId="0" applyFont="1" applyFill="1" applyBorder="1"/>
    <xf numFmtId="0" fontId="10" fillId="9" borderId="24" xfId="0" applyFont="1" applyFill="1" applyBorder="1"/>
    <xf numFmtId="10" fontId="10" fillId="9" borderId="23" xfId="0" applyNumberFormat="1" applyFont="1" applyFill="1" applyBorder="1"/>
    <xf numFmtId="9" fontId="10" fillId="9" borderId="23" xfId="0" applyNumberFormat="1" applyFont="1" applyFill="1" applyBorder="1"/>
    <xf numFmtId="9" fontId="10" fillId="9" borderId="24" xfId="0" applyNumberFormat="1" applyFont="1" applyFill="1" applyBorder="1"/>
    <xf numFmtId="10" fontId="11" fillId="42" borderId="23" xfId="0" applyNumberFormat="1" applyFont="1" applyFill="1" applyBorder="1"/>
    <xf numFmtId="10" fontId="10" fillId="9" borderId="24" xfId="0" applyNumberFormat="1" applyFont="1" applyFill="1" applyBorder="1"/>
    <xf numFmtId="164" fontId="10" fillId="9" borderId="23" xfId="0" applyNumberFormat="1" applyFont="1" applyFill="1" applyBorder="1"/>
    <xf numFmtId="165" fontId="10" fillId="9" borderId="23" xfId="0" applyNumberFormat="1" applyFont="1" applyFill="1" applyBorder="1"/>
    <xf numFmtId="164" fontId="11" fillId="42" borderId="23" xfId="0" applyNumberFormat="1" applyFont="1" applyFill="1" applyBorder="1"/>
    <xf numFmtId="164" fontId="2" fillId="9" borderId="23" xfId="0" applyNumberFormat="1" applyFont="1" applyFill="1" applyBorder="1"/>
    <xf numFmtId="164" fontId="10" fillId="9" borderId="24" xfId="0" applyNumberFormat="1" applyFont="1" applyFill="1" applyBorder="1"/>
    <xf numFmtId="0" fontId="2" fillId="9" borderId="23" xfId="0" applyFont="1" applyFill="1" applyBorder="1" applyAlignment="1">
      <alignment horizontal="center"/>
    </xf>
    <xf numFmtId="0" fontId="10" fillId="9" borderId="23" xfId="0" applyFont="1" applyFill="1" applyBorder="1" applyAlignment="1">
      <alignment horizontal="center"/>
    </xf>
    <xf numFmtId="0" fontId="10" fillId="9" borderId="24" xfId="0" applyFont="1" applyFill="1" applyBorder="1" applyAlignment="1">
      <alignment horizontal="center"/>
    </xf>
    <xf numFmtId="0" fontId="10" fillId="9" borderId="23" xfId="0" applyFont="1" applyFill="1" applyBorder="1" applyAlignment="1">
      <alignment wrapText="1"/>
    </xf>
    <xf numFmtId="0" fontId="10" fillId="9" borderId="24" xfId="0" applyFont="1" applyFill="1" applyBorder="1" applyAlignment="1">
      <alignment wrapText="1"/>
    </xf>
    <xf numFmtId="0" fontId="2" fillId="9" borderId="0" xfId="0" applyFont="1" applyFill="1" applyAlignment="1">
      <alignment horizontal="center"/>
    </xf>
    <xf numFmtId="0" fontId="10" fillId="9" borderId="0" xfId="0" applyFont="1" applyFill="1" applyAlignment="1">
      <alignment horizontal="center"/>
    </xf>
    <xf numFmtId="0" fontId="10" fillId="9" borderId="28" xfId="0" applyFont="1" applyFill="1" applyBorder="1" applyAlignment="1">
      <alignment horizontal="center"/>
    </xf>
    <xf numFmtId="0" fontId="45" fillId="49" borderId="18" xfId="0" applyFont="1" applyFill="1" applyBorder="1"/>
    <xf numFmtId="0" fontId="47" fillId="49" borderId="18" xfId="0" applyFont="1" applyFill="1" applyBorder="1"/>
    <xf numFmtId="0" fontId="47" fillId="49" borderId="18" xfId="0" applyFont="1" applyFill="1" applyBorder="1" applyAlignment="1">
      <alignment horizontal="center"/>
    </xf>
    <xf numFmtId="0" fontId="47" fillId="49" borderId="20" xfId="0" applyFont="1" applyFill="1" applyBorder="1" applyAlignment="1">
      <alignment horizontal="center"/>
    </xf>
    <xf numFmtId="0" fontId="47" fillId="49" borderId="21" xfId="0" applyFont="1" applyFill="1" applyBorder="1"/>
    <xf numFmtId="171" fontId="0" fillId="9" borderId="27" xfId="3" applyNumberFormat="1" applyFont="1" applyFill="1" applyBorder="1" applyAlignment="1">
      <alignment horizontal="center"/>
    </xf>
    <xf numFmtId="171" fontId="0" fillId="9" borderId="0" xfId="3" applyNumberFormat="1" applyFont="1" applyFill="1" applyAlignment="1">
      <alignment horizontal="center"/>
    </xf>
    <xf numFmtId="171" fontId="0" fillId="9" borderId="28" xfId="3" applyNumberFormat="1" applyFont="1" applyFill="1" applyBorder="1" applyAlignment="1">
      <alignment horizontal="center"/>
    </xf>
    <xf numFmtId="2" fontId="0" fillId="9" borderId="15" xfId="0" applyNumberFormat="1" applyFill="1" applyBorder="1" applyAlignment="1">
      <alignment horizontal="center"/>
    </xf>
    <xf numFmtId="2" fontId="0" fillId="9" borderId="26" xfId="0" applyNumberFormat="1" applyFill="1" applyBorder="1" applyAlignment="1">
      <alignment horizontal="center"/>
    </xf>
    <xf numFmtId="2" fontId="0" fillId="9" borderId="17" xfId="0" applyNumberFormat="1" applyFill="1" applyBorder="1" applyAlignment="1">
      <alignment horizontal="center"/>
    </xf>
    <xf numFmtId="0" fontId="33" fillId="15" borderId="19" xfId="0" applyFont="1" applyFill="1" applyBorder="1" applyAlignment="1">
      <alignment vertical="center"/>
    </xf>
    <xf numFmtId="0" fontId="33" fillId="15" borderId="27" xfId="0" applyFont="1" applyFill="1" applyBorder="1" applyAlignment="1">
      <alignment vertical="center"/>
    </xf>
    <xf numFmtId="0" fontId="33" fillId="15" borderId="15" xfId="0" applyFont="1" applyFill="1" applyBorder="1" applyAlignment="1">
      <alignment vertical="center"/>
    </xf>
    <xf numFmtId="171" fontId="0" fillId="12" borderId="0" xfId="3" applyNumberFormat="1" applyFont="1" applyFill="1" applyAlignment="1">
      <alignment horizontal="center"/>
    </xf>
    <xf numFmtId="171" fontId="0" fillId="12" borderId="28" xfId="3" applyNumberFormat="1" applyFont="1" applyFill="1" applyBorder="1" applyAlignment="1">
      <alignment horizontal="center"/>
    </xf>
    <xf numFmtId="0" fontId="28" fillId="17" borderId="22" xfId="0" applyFont="1" applyFill="1" applyBorder="1" applyAlignment="1">
      <alignment horizontal="center" wrapText="1"/>
    </xf>
    <xf numFmtId="0" fontId="28" fillId="11" borderId="24" xfId="0" applyFont="1" applyFill="1" applyBorder="1"/>
    <xf numFmtId="0" fontId="28" fillId="17" borderId="14" xfId="0" applyFont="1" applyFill="1" applyBorder="1" applyAlignment="1">
      <alignment horizontal="center" wrapText="1"/>
    </xf>
    <xf numFmtId="0" fontId="28" fillId="11" borderId="16" xfId="0" applyFont="1" applyFill="1" applyBorder="1"/>
    <xf numFmtId="0" fontId="28" fillId="11" borderId="17" xfId="0" applyFont="1" applyFill="1" applyBorder="1"/>
    <xf numFmtId="1" fontId="0" fillId="10" borderId="22" xfId="0" applyNumberFormat="1" applyFill="1" applyBorder="1" applyAlignment="1">
      <alignment horizontal="center"/>
    </xf>
    <xf numFmtId="1" fontId="0" fillId="10" borderId="23" xfId="0" applyNumberFormat="1" applyFill="1" applyBorder="1" applyAlignment="1">
      <alignment horizontal="center"/>
    </xf>
    <xf numFmtId="1" fontId="0" fillId="10" borderId="24" xfId="0" applyNumberFormat="1" applyFill="1" applyBorder="1" applyAlignment="1">
      <alignment horizontal="center"/>
    </xf>
    <xf numFmtId="0" fontId="0" fillId="12" borderId="22" xfId="0" applyFill="1" applyBorder="1" applyAlignment="1">
      <alignment horizontal="center"/>
    </xf>
    <xf numFmtId="0" fontId="0" fillId="12" borderId="23" xfId="0" applyFill="1" applyBorder="1" applyAlignment="1">
      <alignment horizontal="center"/>
    </xf>
    <xf numFmtId="0" fontId="28" fillId="11" borderId="18" xfId="0" applyFont="1" applyFill="1" applyBorder="1" applyAlignment="1">
      <alignment horizontal="center" wrapText="1"/>
    </xf>
    <xf numFmtId="2" fontId="0" fillId="12" borderId="26" xfId="7" applyNumberFormat="1" applyFont="1" applyFill="1" applyBorder="1" applyAlignment="1">
      <alignment horizontal="center"/>
    </xf>
    <xf numFmtId="2" fontId="0" fillId="12" borderId="17" xfId="7" applyNumberFormat="1" applyFont="1" applyFill="1" applyBorder="1" applyAlignment="1">
      <alignment horizontal="center"/>
    </xf>
    <xf numFmtId="0" fontId="0" fillId="8" borderId="23" xfId="0" applyFill="1" applyBorder="1" applyAlignment="1">
      <alignment horizontal="center"/>
    </xf>
    <xf numFmtId="0" fontId="28" fillId="8" borderId="23" xfId="0" applyFont="1" applyFill="1" applyBorder="1" applyAlignment="1">
      <alignment horizontal="center"/>
    </xf>
    <xf numFmtId="0" fontId="0" fillId="8" borderId="24" xfId="0" applyFill="1" applyBorder="1" applyAlignment="1">
      <alignment horizontal="center"/>
    </xf>
    <xf numFmtId="0" fontId="0" fillId="12" borderId="18" xfId="0" applyFill="1" applyBorder="1" applyAlignment="1">
      <alignment horizontal="center"/>
    </xf>
    <xf numFmtId="0" fontId="33" fillId="0" borderId="18" xfId="0" applyFont="1" applyBorder="1" applyAlignment="1">
      <alignment horizontal="center" vertical="center" wrapText="1"/>
    </xf>
    <xf numFmtId="0" fontId="33" fillId="0" borderId="19" xfId="0" applyFont="1" applyBorder="1" applyAlignment="1">
      <alignment horizontal="center" vertical="center" wrapText="1"/>
    </xf>
    <xf numFmtId="0" fontId="33" fillId="0" borderId="21" xfId="0" applyFont="1" applyBorder="1" applyAlignment="1">
      <alignment horizontal="center" vertical="center" wrapText="1"/>
    </xf>
    <xf numFmtId="1" fontId="0" fillId="8" borderId="25" xfId="0" applyNumberFormat="1" applyFill="1" applyBorder="1" applyAlignment="1">
      <alignment horizontal="center" vertical="center" wrapText="1"/>
    </xf>
    <xf numFmtId="1" fontId="0" fillId="8" borderId="26" xfId="0" applyNumberFormat="1" applyFill="1" applyBorder="1" applyAlignment="1">
      <alignment horizontal="center" vertical="center" wrapText="1"/>
    </xf>
    <xf numFmtId="1" fontId="0" fillId="8" borderId="16" xfId="0" applyNumberFormat="1" applyFill="1" applyBorder="1" applyAlignment="1">
      <alignment horizontal="center" vertical="center" wrapText="1"/>
    </xf>
    <xf numFmtId="1" fontId="0" fillId="8" borderId="17" xfId="0" applyNumberFormat="1" applyFill="1" applyBorder="1" applyAlignment="1">
      <alignment horizontal="center" vertical="center" wrapText="1"/>
    </xf>
    <xf numFmtId="0" fontId="38" fillId="50" borderId="18" xfId="0" applyFont="1" applyFill="1" applyBorder="1" applyAlignment="1">
      <alignment horizontal="center"/>
    </xf>
    <xf numFmtId="0" fontId="33" fillId="9" borderId="18" xfId="0" applyFont="1" applyFill="1" applyBorder="1" applyAlignment="1">
      <alignment horizontal="center" vertical="center"/>
    </xf>
    <xf numFmtId="0" fontId="8" fillId="3" borderId="10" xfId="1" applyFont="1" applyFill="1" applyBorder="1" applyAlignment="1">
      <alignment horizontal="center" vertical="center" wrapText="1"/>
    </xf>
    <xf numFmtId="0" fontId="9" fillId="3" borderId="38" xfId="1" applyFont="1" applyFill="1" applyBorder="1" applyAlignment="1">
      <alignment horizontal="center" vertical="center" wrapText="1"/>
    </xf>
    <xf numFmtId="0" fontId="10" fillId="0" borderId="41" xfId="1" applyFont="1" applyBorder="1" applyAlignment="1">
      <alignment horizontal="center" vertical="center" wrapText="1"/>
    </xf>
    <xf numFmtId="0" fontId="2" fillId="0" borderId="41" xfId="1" applyFont="1" applyBorder="1" applyAlignment="1">
      <alignment horizontal="center" vertical="center" wrapText="1"/>
    </xf>
    <xf numFmtId="0" fontId="10" fillId="0" borderId="41" xfId="1" applyFont="1" applyBorder="1" applyAlignment="1">
      <alignment horizontal="center" vertical="center"/>
    </xf>
    <xf numFmtId="167" fontId="2" fillId="0" borderId="41" xfId="1" applyNumberFormat="1" applyFont="1" applyBorder="1" applyAlignment="1">
      <alignment horizontal="center" vertical="center"/>
    </xf>
    <xf numFmtId="0" fontId="28" fillId="0" borderId="41" xfId="1" applyBorder="1" applyAlignment="1">
      <alignment horizontal="center" vertical="center" wrapText="1"/>
    </xf>
    <xf numFmtId="0" fontId="10" fillId="0" borderId="39" xfId="1" applyFont="1" applyBorder="1" applyAlignment="1">
      <alignment horizontal="center" vertical="center" wrapText="1"/>
    </xf>
    <xf numFmtId="0" fontId="2" fillId="0" borderId="39" xfId="1" applyFont="1" applyBorder="1" applyAlignment="1">
      <alignment horizontal="center" vertical="center" wrapText="1"/>
    </xf>
    <xf numFmtId="167" fontId="2" fillId="0" borderId="39" xfId="1" applyNumberFormat="1" applyFont="1" applyBorder="1" applyAlignment="1">
      <alignment horizontal="center" vertical="center"/>
    </xf>
    <xf numFmtId="0" fontId="28" fillId="0" borderId="39" xfId="1" applyBorder="1" applyAlignment="1">
      <alignment horizontal="center" vertical="center" wrapText="1"/>
    </xf>
    <xf numFmtId="0" fontId="28" fillId="0" borderId="41" xfId="1" applyBorder="1"/>
    <xf numFmtId="0" fontId="2" fillId="0" borderId="2" xfId="0" applyFont="1" applyBorder="1" applyAlignment="1">
      <alignment wrapText="1"/>
    </xf>
    <xf numFmtId="0" fontId="0" fillId="51" borderId="0" xfId="0" applyFill="1"/>
    <xf numFmtId="0" fontId="38" fillId="51" borderId="0" xfId="0" applyFont="1" applyFill="1"/>
    <xf numFmtId="0" fontId="32" fillId="18" borderId="19" xfId="0" applyFont="1" applyFill="1" applyBorder="1"/>
    <xf numFmtId="0" fontId="32" fillId="18" borderId="19" xfId="0" applyFont="1" applyFill="1" applyBorder="1" applyAlignment="1">
      <alignment horizontal="center"/>
    </xf>
    <xf numFmtId="0" fontId="32" fillId="18" borderId="24" xfId="0" applyFont="1" applyFill="1" applyBorder="1" applyAlignment="1">
      <alignment horizontal="center"/>
    </xf>
    <xf numFmtId="0" fontId="32" fillId="18" borderId="18" xfId="0" applyFont="1" applyFill="1" applyBorder="1" applyAlignment="1">
      <alignment horizontal="center"/>
    </xf>
    <xf numFmtId="170" fontId="32" fillId="23" borderId="14" xfId="0" applyNumberFormat="1" applyFont="1" applyFill="1" applyBorder="1" applyAlignment="1">
      <alignment horizontal="center"/>
    </xf>
    <xf numFmtId="10" fontId="32" fillId="23" borderId="16" xfId="0" applyNumberFormat="1" applyFont="1" applyFill="1" applyBorder="1" applyAlignment="1">
      <alignment horizontal="center"/>
    </xf>
    <xf numFmtId="10" fontId="32" fillId="23" borderId="19" xfId="3" applyNumberFormat="1" applyFont="1" applyFill="1" applyBorder="1" applyAlignment="1">
      <alignment horizontal="center"/>
    </xf>
    <xf numFmtId="2" fontId="32" fillId="23" borderId="19" xfId="0" applyNumberFormat="1" applyFont="1" applyFill="1" applyBorder="1" applyAlignment="1">
      <alignment horizontal="center"/>
    </xf>
    <xf numFmtId="170" fontId="32" fillId="23" borderId="18" xfId="0" applyNumberFormat="1" applyFont="1" applyFill="1" applyBorder="1" applyAlignment="1">
      <alignment horizontal="center"/>
    </xf>
    <xf numFmtId="0" fontId="32" fillId="23" borderId="18" xfId="0" applyFont="1" applyFill="1" applyBorder="1" applyAlignment="1">
      <alignment horizontal="center"/>
    </xf>
    <xf numFmtId="0" fontId="32" fillId="14" borderId="14" xfId="0" applyFont="1" applyFill="1" applyBorder="1"/>
    <xf numFmtId="0" fontId="32" fillId="14" borderId="22" xfId="0" applyFont="1" applyFill="1" applyBorder="1"/>
    <xf numFmtId="0" fontId="31" fillId="12" borderId="22" xfId="0" applyFont="1" applyFill="1" applyBorder="1"/>
    <xf numFmtId="0" fontId="31" fillId="12" borderId="23" xfId="0" applyFont="1" applyFill="1" applyBorder="1"/>
    <xf numFmtId="0" fontId="31" fillId="12" borderId="24" xfId="0" applyFont="1" applyFill="1" applyBorder="1"/>
    <xf numFmtId="0" fontId="31" fillId="12" borderId="20" xfId="0" applyFont="1" applyFill="1" applyBorder="1"/>
    <xf numFmtId="0" fontId="31" fillId="12" borderId="21" xfId="0" applyFont="1" applyFill="1" applyBorder="1"/>
    <xf numFmtId="0" fontId="32" fillId="18" borderId="18" xfId="0" applyFont="1" applyFill="1" applyBorder="1"/>
    <xf numFmtId="0" fontId="32" fillId="18" borderId="14" xfId="0" applyFont="1" applyFill="1" applyBorder="1" applyAlignment="1">
      <alignment horizontal="right"/>
    </xf>
    <xf numFmtId="0" fontId="32" fillId="18" borderId="25" xfId="0" applyFont="1" applyFill="1" applyBorder="1" applyAlignment="1">
      <alignment horizontal="right"/>
    </xf>
    <xf numFmtId="0" fontId="32" fillId="18" borderId="16" xfId="0" applyFont="1" applyFill="1" applyBorder="1" applyAlignment="1">
      <alignment horizontal="right"/>
    </xf>
    <xf numFmtId="0" fontId="32" fillId="18" borderId="19" xfId="0" applyFont="1" applyFill="1" applyBorder="1" applyAlignment="1">
      <alignment horizontal="right"/>
    </xf>
    <xf numFmtId="0" fontId="5" fillId="0" borderId="0" xfId="0" applyFont="1"/>
    <xf numFmtId="0" fontId="0" fillId="0" borderId="0" xfId="0"/>
    <xf numFmtId="0" fontId="32" fillId="18" borderId="22" xfId="0" applyFont="1" applyFill="1" applyBorder="1" applyAlignment="1">
      <alignment horizontal="center" vertical="center" wrapText="1"/>
    </xf>
    <xf numFmtId="0" fontId="32" fillId="18" borderId="24" xfId="0" applyFont="1" applyFill="1" applyBorder="1" applyAlignment="1">
      <alignment horizontal="center" vertical="center" wrapText="1"/>
    </xf>
    <xf numFmtId="0" fontId="32" fillId="18" borderId="10" xfId="0" applyFont="1" applyFill="1" applyBorder="1" applyAlignment="1">
      <alignment horizontal="left" wrapText="1"/>
    </xf>
    <xf numFmtId="0" fontId="32" fillId="18" borderId="11" xfId="0" applyFont="1" applyFill="1" applyBorder="1" applyAlignment="1">
      <alignment horizontal="left" wrapText="1"/>
    </xf>
    <xf numFmtId="0" fontId="32" fillId="18" borderId="12" xfId="0" applyFont="1" applyFill="1" applyBorder="1" applyAlignment="1">
      <alignment horizontal="left" wrapText="1"/>
    </xf>
    <xf numFmtId="0" fontId="32" fillId="18" borderId="13" xfId="0" applyFont="1" applyFill="1" applyBorder="1" applyAlignment="1">
      <alignment horizontal="left" wrapText="1"/>
    </xf>
    <xf numFmtId="0" fontId="32" fillId="18" borderId="14" xfId="0" applyFont="1" applyFill="1" applyBorder="1" applyAlignment="1">
      <alignment horizontal="left" wrapText="1"/>
    </xf>
    <xf numFmtId="0" fontId="32" fillId="18" borderId="15" xfId="0" applyFont="1" applyFill="1" applyBorder="1" applyAlignment="1">
      <alignment horizontal="left" wrapText="1"/>
    </xf>
    <xf numFmtId="0" fontId="32" fillId="18" borderId="25" xfId="0" applyFont="1" applyFill="1" applyBorder="1" applyAlignment="1">
      <alignment horizontal="left" wrapText="1"/>
    </xf>
    <xf numFmtId="0" fontId="32" fillId="18" borderId="17" xfId="0" applyFont="1" applyFill="1" applyBorder="1" applyAlignment="1">
      <alignment horizontal="left" wrapText="1"/>
    </xf>
    <xf numFmtId="0" fontId="32" fillId="18" borderId="16" xfId="0" applyFont="1" applyFill="1" applyBorder="1" applyAlignment="1">
      <alignment horizontal="left"/>
    </xf>
    <xf numFmtId="0" fontId="32" fillId="18" borderId="28" xfId="0" applyFont="1" applyFill="1" applyBorder="1" applyAlignment="1">
      <alignment horizontal="left"/>
    </xf>
    <xf numFmtId="0" fontId="32" fillId="18" borderId="25" xfId="0" applyFont="1" applyFill="1" applyBorder="1" applyAlignment="1">
      <alignment horizontal="left"/>
    </xf>
    <xf numFmtId="0" fontId="32" fillId="18" borderId="26" xfId="0" applyFont="1" applyFill="1" applyBorder="1" applyAlignment="1">
      <alignment horizontal="left"/>
    </xf>
    <xf numFmtId="0" fontId="32" fillId="18" borderId="14" xfId="0" applyFont="1" applyFill="1" applyBorder="1" applyAlignment="1">
      <alignment horizontal="left"/>
    </xf>
    <xf numFmtId="0" fontId="32" fillId="18" borderId="15" xfId="0" applyFont="1" applyFill="1" applyBorder="1" applyAlignment="1">
      <alignment horizontal="left"/>
    </xf>
    <xf numFmtId="0" fontId="0" fillId="7" borderId="19" xfId="0" applyFill="1" applyBorder="1" applyAlignment="1">
      <alignment horizontal="right"/>
    </xf>
    <xf numFmtId="0" fontId="0" fillId="7" borderId="20" xfId="0" applyFill="1" applyBorder="1" applyAlignment="1">
      <alignment horizontal="right"/>
    </xf>
    <xf numFmtId="0" fontId="0" fillId="7" borderId="21" xfId="0" applyFill="1" applyBorder="1" applyAlignment="1">
      <alignment horizontal="right"/>
    </xf>
    <xf numFmtId="9" fontId="0" fillId="11" borderId="22" xfId="3" applyFont="1" applyFill="1" applyBorder="1" applyAlignment="1">
      <alignment horizontal="center" vertical="center"/>
    </xf>
    <xf numFmtId="9" fontId="0" fillId="11" borderId="24" xfId="3" applyFont="1" applyFill="1" applyBorder="1" applyAlignment="1">
      <alignment horizontal="center" vertical="center"/>
    </xf>
    <xf numFmtId="0" fontId="28" fillId="7" borderId="19" xfId="0" applyFont="1" applyFill="1" applyBorder="1" applyAlignment="1">
      <alignment horizontal="right"/>
    </xf>
    <xf numFmtId="0" fontId="28" fillId="7" borderId="20" xfId="0" applyFont="1" applyFill="1" applyBorder="1" applyAlignment="1">
      <alignment horizontal="right"/>
    </xf>
    <xf numFmtId="0" fontId="28" fillId="7" borderId="21" xfId="0" applyFont="1" applyFill="1" applyBorder="1" applyAlignment="1">
      <alignment horizontal="right"/>
    </xf>
    <xf numFmtId="0" fontId="28" fillId="17" borderId="22" xfId="0" applyFont="1" applyFill="1" applyBorder="1" applyAlignment="1">
      <alignment horizontal="center" vertical="center" wrapText="1"/>
    </xf>
    <xf numFmtId="0" fontId="28" fillId="17" borderId="24" xfId="0" applyFont="1" applyFill="1" applyBorder="1" applyAlignment="1">
      <alignment horizontal="center" vertical="center" wrapText="1"/>
    </xf>
    <xf numFmtId="0" fontId="28" fillId="0" borderId="22" xfId="0" applyFont="1" applyBorder="1" applyAlignment="1">
      <alignment horizontal="center" vertical="center" wrapText="1"/>
    </xf>
    <xf numFmtId="0" fontId="28" fillId="0" borderId="24" xfId="0" applyFont="1" applyBorder="1" applyAlignment="1">
      <alignment horizontal="center" vertical="center" wrapText="1"/>
    </xf>
    <xf numFmtId="0" fontId="12" fillId="5" borderId="1" xfId="0" applyFont="1" applyFill="1" applyBorder="1"/>
    <xf numFmtId="0" fontId="13" fillId="0" borderId="2" xfId="0" applyFont="1" applyBorder="1"/>
    <xf numFmtId="0" fontId="14" fillId="0" borderId="1" xfId="0" applyFont="1" applyBorder="1"/>
    <xf numFmtId="0" fontId="13" fillId="0" borderId="4" xfId="0" applyFont="1" applyBorder="1"/>
    <xf numFmtId="0" fontId="15" fillId="0" borderId="1" xfId="0" applyFont="1" applyBorder="1"/>
    <xf numFmtId="0" fontId="30" fillId="19" borderId="29" xfId="0" applyFont="1" applyFill="1" applyBorder="1"/>
    <xf numFmtId="0" fontId="30" fillId="19" borderId="30" xfId="0" applyFont="1" applyFill="1" applyBorder="1"/>
    <xf numFmtId="0" fontId="30" fillId="19" borderId="31" xfId="0" applyFont="1" applyFill="1" applyBorder="1"/>
    <xf numFmtId="169" fontId="30" fillId="19" borderId="32" xfId="0" applyNumberFormat="1" applyFont="1" applyFill="1" applyBorder="1"/>
    <xf numFmtId="0" fontId="30" fillId="19" borderId="23" xfId="0" applyFont="1" applyFill="1" applyBorder="1"/>
    <xf numFmtId="9" fontId="30" fillId="19" borderId="33" xfId="0" applyNumberFormat="1" applyFont="1" applyFill="1" applyBorder="1"/>
    <xf numFmtId="9" fontId="30" fillId="19" borderId="32" xfId="3" applyFont="1" applyFill="1" applyBorder="1"/>
    <xf numFmtId="9" fontId="30" fillId="19" borderId="23" xfId="3" applyFont="1" applyFill="1" applyBorder="1"/>
    <xf numFmtId="0" fontId="30" fillId="19" borderId="18" xfId="3" applyNumberFormat="1" applyFont="1" applyFill="1" applyBorder="1"/>
  </cellXfs>
  <cellStyles count="9">
    <cellStyle name="Comma" xfId="7" builtinId="3"/>
    <cellStyle name="Comma 2" xfId="6" xr:uid="{3352EEF1-A481-4BC0-84D1-F26A7E6E0A1E}"/>
    <cellStyle name="Currency" xfId="2" builtinId="4"/>
    <cellStyle name="Explanatory Text" xfId="8" builtinId="53"/>
    <cellStyle name="Normal" xfId="0" builtinId="0"/>
    <cellStyle name="Normal 2" xfId="1" xr:uid="{105DE19A-BCCC-497F-828E-F86F737951EE}"/>
    <cellStyle name="Normal 3" xfId="4" xr:uid="{C23A6D3C-B899-4E26-9B0E-FCDA773F128E}"/>
    <cellStyle name="Percent" xfId="3" builtinId="5"/>
    <cellStyle name="Percent 2" xfId="5" xr:uid="{098BAD50-19F9-4E81-B771-2E0DF0FA2A7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4</xdr:col>
      <xdr:colOff>0</xdr:colOff>
      <xdr:row>15</xdr:row>
      <xdr:rowOff>7936</xdr:rowOff>
    </xdr:from>
    <xdr:to>
      <xdr:col>4</xdr:col>
      <xdr:colOff>1333500</xdr:colOff>
      <xdr:row>17</xdr:row>
      <xdr:rowOff>7937</xdr:rowOff>
    </xdr:to>
    <xdr:sp macro="[0]!RunMyMacro" textlink="">
      <xdr:nvSpPr>
        <xdr:cNvPr id="2" name="Arrow: Pentagon 1" descr="3573e1f1-1a42-4981-9b40-f31b14799690">
          <a:extLst>
            <a:ext uri="{FF2B5EF4-FFF2-40B4-BE49-F238E27FC236}">
              <a16:creationId xmlns:a16="http://schemas.microsoft.com/office/drawing/2014/main" id="{64A4CA59-E24A-2F9C-526C-42591278CF0C}"/>
            </a:ext>
          </a:extLst>
        </xdr:cNvPr>
        <xdr:cNvSpPr/>
      </xdr:nvSpPr>
      <xdr:spPr>
        <a:xfrm>
          <a:off x="4548188" y="2793999"/>
          <a:ext cx="1333500" cy="325438"/>
        </a:xfrm>
        <a:prstGeom prst="homePlate">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chemeClr val="tx1"/>
              </a:solidFill>
              <a:latin typeface="Calibri" panose="020F0502020204030204" pitchFamily="34" charset="0"/>
              <a:ea typeface="Calibri" panose="020F0502020204030204" pitchFamily="34" charset="0"/>
              <a:cs typeface="Calibri" panose="020F0502020204030204" pitchFamily="34" charset="0"/>
            </a:rPr>
            <a:t>Run Analysis</a:t>
          </a:r>
        </a:p>
      </xdr:txBody>
    </xdr:sp>
    <xdr:clientData/>
  </xdr:twoCellAnchor>
  <xdr:twoCellAnchor>
    <xdr:from>
      <xdr:col>4</xdr:col>
      <xdr:colOff>585391</xdr:colOff>
      <xdr:row>13</xdr:row>
      <xdr:rowOff>87311</xdr:rowOff>
    </xdr:from>
    <xdr:to>
      <xdr:col>4</xdr:col>
      <xdr:colOff>865187</xdr:colOff>
      <xdr:row>15</xdr:row>
      <xdr:rowOff>7935</xdr:rowOff>
    </xdr:to>
    <xdr:cxnSp macro="">
      <xdr:nvCxnSpPr>
        <xdr:cNvPr id="4" name="Connector: Curved 3" descr="b5f4e4f5-4edd-4ee6-895f-41cae526b1eb">
          <a:extLst>
            <a:ext uri="{FF2B5EF4-FFF2-40B4-BE49-F238E27FC236}">
              <a16:creationId xmlns:a16="http://schemas.microsoft.com/office/drawing/2014/main" id="{84E65217-E218-0514-3E05-90C6EE0D316D}"/>
            </a:ext>
          </a:extLst>
        </xdr:cNvPr>
        <xdr:cNvCxnSpPr>
          <a:endCxn id="2" idx="0"/>
        </xdr:cNvCxnSpPr>
      </xdr:nvCxnSpPr>
      <xdr:spPr>
        <a:xfrm rot="10800000" flipV="1">
          <a:off x="5133579" y="2539999"/>
          <a:ext cx="279796" cy="253999"/>
        </a:xfrm>
        <a:prstGeom prst="curved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595316</xdr:colOff>
      <xdr:row>4</xdr:row>
      <xdr:rowOff>71436</xdr:rowOff>
    </xdr:from>
    <xdr:to>
      <xdr:col>3</xdr:col>
      <xdr:colOff>277812</xdr:colOff>
      <xdr:row>6</xdr:row>
      <xdr:rowOff>111123</xdr:rowOff>
    </xdr:to>
    <xdr:cxnSp macro="">
      <xdr:nvCxnSpPr>
        <xdr:cNvPr id="3" name="Connector: Curved 2" descr="3c09ab1f-dd6e-43fd-ae4b-90ba4918989a">
          <a:extLst>
            <a:ext uri="{FF2B5EF4-FFF2-40B4-BE49-F238E27FC236}">
              <a16:creationId xmlns:a16="http://schemas.microsoft.com/office/drawing/2014/main" id="{5E7FD9C3-F88B-40C8-906E-33A5496D0493}"/>
            </a:ext>
          </a:extLst>
        </xdr:cNvPr>
        <xdr:cNvCxnSpPr/>
      </xdr:nvCxnSpPr>
      <xdr:spPr>
        <a:xfrm rot="10800000" flipV="1">
          <a:off x="3921129" y="722311"/>
          <a:ext cx="293683" cy="206375"/>
        </a:xfrm>
        <a:prstGeom prst="curved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596905</xdr:colOff>
      <xdr:row>16</xdr:row>
      <xdr:rowOff>80961</xdr:rowOff>
    </xdr:from>
    <xdr:to>
      <xdr:col>3</xdr:col>
      <xdr:colOff>279401</xdr:colOff>
      <xdr:row>17</xdr:row>
      <xdr:rowOff>120648</xdr:rowOff>
    </xdr:to>
    <xdr:cxnSp macro="">
      <xdr:nvCxnSpPr>
        <xdr:cNvPr id="10" name="Connector: Curved 9" descr="a3a7f1cb-5f1b-4b6c-8964-132fd6e96be2">
          <a:extLst>
            <a:ext uri="{FF2B5EF4-FFF2-40B4-BE49-F238E27FC236}">
              <a16:creationId xmlns:a16="http://schemas.microsoft.com/office/drawing/2014/main" id="{8D3AF31C-1F03-48DC-9B79-4BE0E143A3C3}"/>
            </a:ext>
          </a:extLst>
        </xdr:cNvPr>
        <xdr:cNvCxnSpPr/>
      </xdr:nvCxnSpPr>
      <xdr:spPr>
        <a:xfrm rot="10800000" flipV="1">
          <a:off x="3922718" y="2525711"/>
          <a:ext cx="293683" cy="206375"/>
        </a:xfrm>
        <a:prstGeom prst="curved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xdr:colOff>
      <xdr:row>10</xdr:row>
      <xdr:rowOff>73022</xdr:rowOff>
    </xdr:from>
    <xdr:to>
      <xdr:col>9</xdr:col>
      <xdr:colOff>835028</xdr:colOff>
      <xdr:row>11</xdr:row>
      <xdr:rowOff>31750</xdr:rowOff>
    </xdr:to>
    <xdr:cxnSp macro="">
      <xdr:nvCxnSpPr>
        <xdr:cNvPr id="11" name="Connector: Curved 10" descr="bce4da01-d8a2-4532-9dc6-980c4b315e6c">
          <a:extLst>
            <a:ext uri="{FF2B5EF4-FFF2-40B4-BE49-F238E27FC236}">
              <a16:creationId xmlns:a16="http://schemas.microsoft.com/office/drawing/2014/main" id="{9BF00FDA-D061-49D0-AE7C-F6256B24FC70}"/>
            </a:ext>
          </a:extLst>
        </xdr:cNvPr>
        <xdr:cNvCxnSpPr/>
      </xdr:nvCxnSpPr>
      <xdr:spPr>
        <a:xfrm rot="10800000" flipV="1">
          <a:off x="12517439" y="1549397"/>
          <a:ext cx="835027" cy="117478"/>
        </a:xfrm>
        <a:prstGeom prst="curved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515939</xdr:colOff>
      <xdr:row>12</xdr:row>
      <xdr:rowOff>142875</xdr:rowOff>
    </xdr:from>
    <xdr:to>
      <xdr:col>6</xdr:col>
      <xdr:colOff>682626</xdr:colOff>
      <xdr:row>13</xdr:row>
      <xdr:rowOff>158750</xdr:rowOff>
    </xdr:to>
    <xdr:cxnSp macro="">
      <xdr:nvCxnSpPr>
        <xdr:cNvPr id="12" name="Connector: Curved 11" descr="5f5aa2a6-525e-477f-a7f3-8a36ce834e68">
          <a:extLst>
            <a:ext uri="{FF2B5EF4-FFF2-40B4-BE49-F238E27FC236}">
              <a16:creationId xmlns:a16="http://schemas.microsoft.com/office/drawing/2014/main" id="{4A1E1E7B-AAEA-4FE5-8866-BCA9F193117B}"/>
            </a:ext>
          </a:extLst>
        </xdr:cNvPr>
        <xdr:cNvCxnSpPr/>
      </xdr:nvCxnSpPr>
      <xdr:spPr>
        <a:xfrm rot="16200000" flipV="1">
          <a:off x="8747126" y="1944688"/>
          <a:ext cx="182563" cy="166687"/>
        </a:xfrm>
        <a:prstGeom prst="curved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Sheets">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www.fool.com/investing/stock-market/types-of-stocks/esg-investing/esg-portfolio/"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hyperlink" Target="https://www.ibef.org/industry/"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C12"/>
  <sheetViews>
    <sheetView showGridLines="0" topLeftCell="A5" workbookViewId="0">
      <selection activeCell="C21" sqref="C20:C21"/>
    </sheetView>
  </sheetViews>
  <sheetFormatPr defaultColWidth="12.54296875" defaultRowHeight="15.75" customHeight="1"/>
  <cols>
    <col min="1" max="1" width="2.7265625" customWidth="1"/>
    <col min="3" max="3" width="126.453125" customWidth="1"/>
  </cols>
  <sheetData>
    <row r="1" spans="1:3" ht="15.75" customHeight="1">
      <c r="A1" s="1"/>
      <c r="B1" s="1"/>
      <c r="C1" s="1"/>
    </row>
    <row r="2" spans="1:3" ht="15.75" customHeight="1">
      <c r="A2" s="1"/>
      <c r="B2" s="2" t="s">
        <v>0</v>
      </c>
      <c r="C2" s="1"/>
    </row>
    <row r="3" spans="1:3" ht="15.75" customHeight="1">
      <c r="A3" s="1"/>
      <c r="B3" s="3"/>
      <c r="C3" s="3"/>
    </row>
    <row r="4" spans="1:3" ht="15.75" customHeight="1">
      <c r="A4" s="1"/>
      <c r="B4" s="529" t="s">
        <v>1</v>
      </c>
      <c r="C4" s="530"/>
    </row>
    <row r="5" spans="1:3" ht="15.75" customHeight="1">
      <c r="A5" s="1"/>
      <c r="B5" s="1"/>
      <c r="C5" s="1"/>
    </row>
    <row r="6" spans="1:3" ht="15.75" customHeight="1">
      <c r="A6" s="1"/>
      <c r="B6" s="4">
        <v>1</v>
      </c>
      <c r="C6" s="5" t="s">
        <v>1002</v>
      </c>
    </row>
    <row r="7" spans="1:3" ht="15.75" customHeight="1">
      <c r="A7" s="1"/>
      <c r="B7" s="1"/>
      <c r="C7" s="1"/>
    </row>
    <row r="8" spans="1:3" ht="15.75" customHeight="1">
      <c r="A8" s="1"/>
      <c r="B8" s="4">
        <v>2</v>
      </c>
      <c r="C8" s="5" t="s">
        <v>2</v>
      </c>
    </row>
    <row r="9" spans="1:3" ht="15.75" customHeight="1">
      <c r="A9" s="1"/>
      <c r="B9" s="1"/>
      <c r="C9" s="1"/>
    </row>
    <row r="10" spans="1:3" ht="15.75" customHeight="1">
      <c r="A10" s="1"/>
      <c r="B10" s="4">
        <v>3</v>
      </c>
      <c r="C10" s="5" t="s">
        <v>3</v>
      </c>
    </row>
    <row r="11" spans="1:3" ht="15.75" customHeight="1">
      <c r="A11" s="1"/>
      <c r="B11" s="1"/>
      <c r="C11" s="1"/>
    </row>
    <row r="12" spans="1:3" ht="15.75" customHeight="1">
      <c r="A12" s="1"/>
      <c r="B12" s="4">
        <v>4</v>
      </c>
      <c r="C12" s="504" t="s">
        <v>1003</v>
      </c>
    </row>
  </sheetData>
  <mergeCells count="1">
    <mergeCell ref="B4:C4"/>
  </mergeCells>
  <hyperlinks>
    <hyperlink ref="B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E1E39B-BA61-4E09-AD17-084A4338074D}">
  <sheetPr codeName="Sheet2"/>
  <dimension ref="A1:X39"/>
  <sheetViews>
    <sheetView showGridLines="0" tabSelected="1" zoomScale="70" zoomScaleNormal="70" workbookViewId="0">
      <selection activeCell="I16" sqref="I16"/>
    </sheetView>
  </sheetViews>
  <sheetFormatPr defaultRowHeight="12.5"/>
  <cols>
    <col min="1" max="1" width="2.54296875" style="505" customWidth="1"/>
    <col min="2" max="2" width="38.81640625" style="505" bestFit="1" customWidth="1"/>
    <col min="3" max="4" width="8.7265625" style="505"/>
    <col min="5" max="5" width="27.26953125" style="505" bestFit="1" customWidth="1"/>
    <col min="6" max="6" width="25.453125" style="505" bestFit="1" customWidth="1"/>
    <col min="7" max="7" width="18" style="505" bestFit="1" customWidth="1"/>
    <col min="8" max="8" width="25.6328125" style="505" bestFit="1" customWidth="1"/>
    <col min="9" max="9" width="19.26953125" style="505" bestFit="1" customWidth="1"/>
    <col min="10" max="10" width="28.26953125" style="505" customWidth="1"/>
    <col min="11" max="11" width="24.54296875" style="505" bestFit="1" customWidth="1"/>
    <col min="12" max="16384" width="8.7265625" style="505"/>
  </cols>
  <sheetData>
    <row r="1" spans="1:24">
      <c r="A1"/>
      <c r="B1"/>
      <c r="C1"/>
      <c r="D1"/>
      <c r="E1"/>
      <c r="F1"/>
      <c r="G1"/>
      <c r="H1"/>
      <c r="I1"/>
      <c r="J1"/>
      <c r="K1"/>
      <c r="L1" s="63"/>
      <c r="M1" s="506"/>
      <c r="N1" s="506"/>
      <c r="O1" s="506"/>
      <c r="P1" s="506"/>
      <c r="Q1" s="506"/>
      <c r="R1" s="506"/>
      <c r="S1" s="506"/>
      <c r="T1" s="506"/>
      <c r="U1" s="506"/>
      <c r="V1" s="506"/>
      <c r="W1" s="506"/>
      <c r="X1" s="506"/>
    </row>
    <row r="2" spans="1:24">
      <c r="A2"/>
      <c r="B2"/>
      <c r="C2"/>
      <c r="D2"/>
      <c r="E2"/>
      <c r="F2"/>
      <c r="G2"/>
      <c r="H2"/>
      <c r="I2"/>
      <c r="J2"/>
      <c r="K2"/>
      <c r="L2" s="63"/>
      <c r="M2" s="506"/>
      <c r="N2" s="506"/>
      <c r="O2" s="506"/>
      <c r="P2" s="506"/>
      <c r="Q2" s="506"/>
      <c r="R2" s="506"/>
      <c r="S2" s="506"/>
      <c r="T2" s="506"/>
      <c r="U2" s="506"/>
      <c r="V2" s="506"/>
      <c r="W2" s="506"/>
      <c r="X2" s="506"/>
    </row>
    <row r="3" spans="1:24" ht="13" thickBot="1">
      <c r="A3"/>
      <c r="B3"/>
      <c r="C3"/>
      <c r="D3"/>
      <c r="E3"/>
      <c r="F3"/>
      <c r="G3"/>
      <c r="H3"/>
      <c r="I3"/>
      <c r="J3"/>
      <c r="K3"/>
      <c r="L3" s="63"/>
      <c r="M3" s="506"/>
      <c r="N3" s="506"/>
      <c r="O3" s="506"/>
      <c r="P3" s="506"/>
      <c r="Q3" s="506"/>
      <c r="R3" s="506"/>
      <c r="S3" s="506"/>
      <c r="T3" s="506"/>
      <c r="U3" s="506"/>
      <c r="V3" s="506"/>
      <c r="W3" s="506"/>
      <c r="X3" s="506"/>
    </row>
    <row r="4" spans="1:24" ht="13" thickBot="1">
      <c r="A4"/>
      <c r="B4" s="533" t="s">
        <v>885</v>
      </c>
      <c r="C4" s="534"/>
      <c r="D4"/>
      <c r="E4" s="524" t="s">
        <v>887</v>
      </c>
      <c r="F4" s="522" t="str">
        <f>'Industry Data Topsis'!H79</f>
        <v>Banks</v>
      </c>
      <c r="G4" s="522" t="str">
        <f>'Industry Data Topsis'!H80</f>
        <v>Infrastructure</v>
      </c>
      <c r="H4" s="522" t="str">
        <f>'Industry Data Topsis'!H81</f>
        <v>FMCG</v>
      </c>
      <c r="I4" s="522" t="str">
        <f>'Industry Data Topsis'!H82</f>
        <v>IT_Software</v>
      </c>
      <c r="J4" s="522" t="str">
        <f>'Industry Data Topsis'!H83</f>
        <v>Hotels_and_Restaurants</v>
      </c>
      <c r="K4" s="523" t="str">
        <f>'Industry Data Topsis'!H84</f>
        <v>Agro_Chemical</v>
      </c>
      <c r="L4" s="63"/>
      <c r="M4" s="506"/>
      <c r="N4" s="506">
        <v>0</v>
      </c>
      <c r="O4" s="506"/>
      <c r="P4" s="506"/>
      <c r="Q4" s="506"/>
      <c r="R4" s="506"/>
      <c r="S4" s="506"/>
      <c r="T4" s="506"/>
      <c r="U4" s="506"/>
      <c r="V4" s="506">
        <v>0</v>
      </c>
      <c r="W4" s="506">
        <v>0</v>
      </c>
      <c r="X4" s="506"/>
    </row>
    <row r="5" spans="1:24" ht="13" thickBot="1">
      <c r="A5"/>
      <c r="B5" s="535"/>
      <c r="C5" s="536"/>
      <c r="D5" s="67" t="s">
        <v>953</v>
      </c>
      <c r="E5"/>
      <c r="F5"/>
      <c r="G5"/>
      <c r="H5"/>
      <c r="I5"/>
      <c r="J5"/>
      <c r="K5"/>
      <c r="L5" s="63"/>
      <c r="M5" s="506"/>
      <c r="N5" s="506">
        <v>0</v>
      </c>
      <c r="O5" s="506"/>
      <c r="P5" s="506"/>
      <c r="Q5" s="506"/>
      <c r="R5" s="506"/>
      <c r="S5" s="506"/>
      <c r="T5" s="506"/>
      <c r="U5" s="506"/>
      <c r="V5" s="506">
        <v>0</v>
      </c>
      <c r="W5" s="506">
        <v>0</v>
      </c>
      <c r="X5" s="506"/>
    </row>
    <row r="6" spans="1:24" ht="13.5" hidden="1" thickBot="1">
      <c r="A6"/>
      <c r="B6"/>
      <c r="C6"/>
      <c r="D6"/>
      <c r="E6" s="20"/>
      <c r="F6" t="str">
        <f t="shared" ref="F6:K6" si="0">_xlfn.CONCAT("TOPSIS_",F4)</f>
        <v>TOPSIS_Banks</v>
      </c>
      <c r="G6" t="str">
        <f t="shared" si="0"/>
        <v>TOPSIS_Infrastructure</v>
      </c>
      <c r="H6" t="str">
        <f t="shared" si="0"/>
        <v>TOPSIS_FMCG</v>
      </c>
      <c r="I6" t="str">
        <f t="shared" si="0"/>
        <v>TOPSIS_IT_Software</v>
      </c>
      <c r="J6" t="str">
        <f t="shared" si="0"/>
        <v>TOPSIS_Hotels_and_Restaurants</v>
      </c>
      <c r="K6" t="str">
        <f t="shared" si="0"/>
        <v>TOPSIS_Agro_Chemical</v>
      </c>
      <c r="L6" s="63"/>
      <c r="M6" s="506"/>
      <c r="N6" s="506">
        <v>0</v>
      </c>
      <c r="O6" s="506"/>
      <c r="P6" s="506"/>
      <c r="Q6" s="506"/>
      <c r="R6" s="506"/>
      <c r="S6" s="506"/>
      <c r="T6" s="506"/>
      <c r="U6" s="506"/>
      <c r="V6" s="506">
        <v>0</v>
      </c>
      <c r="W6" s="506">
        <v>0</v>
      </c>
      <c r="X6" s="506"/>
    </row>
    <row r="7" spans="1:24" ht="13" thickBot="1">
      <c r="A7"/>
      <c r="B7" s="37" t="s">
        <v>7</v>
      </c>
      <c r="C7" s="564">
        <v>9</v>
      </c>
      <c r="D7"/>
      <c r="E7" s="507" t="s">
        <v>894</v>
      </c>
      <c r="F7" s="519" t="str">
        <f t="shared" ref="F7:K7" ca="1" si="1">INDIRECT("'" &amp; F$6 &amp; "'!F42")</f>
        <v>Axis Bank Limited</v>
      </c>
      <c r="G7" s="519" t="str">
        <f t="shared" ca="1" si="1"/>
        <v>DLF Ltd</v>
      </c>
      <c r="H7" s="519" t="str">
        <f t="shared" ca="1" si="1"/>
        <v>Hindustan Unilever Ltd</v>
      </c>
      <c r="I7" s="519" t="str">
        <f t="shared" ca="1" si="1"/>
        <v>Tata Consultancy Services Ltd</v>
      </c>
      <c r="J7" s="519" t="str">
        <f t="shared" ca="1" si="1"/>
        <v>Lemon Tree Hotels Ltd</v>
      </c>
      <c r="K7" s="519" t="str">
        <f t="shared" ca="1" si="1"/>
        <v>Sumitomo Chemical India Ltd</v>
      </c>
      <c r="L7" s="63"/>
      <c r="M7" s="506"/>
      <c r="N7" s="506">
        <v>0</v>
      </c>
      <c r="O7" s="506"/>
      <c r="P7" s="506"/>
      <c r="Q7" s="506"/>
      <c r="R7" s="506"/>
      <c r="S7" s="506"/>
      <c r="T7" s="506"/>
      <c r="U7" s="506"/>
      <c r="V7" s="506">
        <v>0</v>
      </c>
      <c r="W7" s="506">
        <v>0</v>
      </c>
      <c r="X7" s="506"/>
    </row>
    <row r="8" spans="1:24">
      <c r="A8"/>
      <c r="B8" s="38" t="s">
        <v>8</v>
      </c>
      <c r="C8" s="565">
        <v>9</v>
      </c>
      <c r="D8"/>
      <c r="E8"/>
      <c r="F8" s="520" t="str">
        <f t="shared" ref="F8:K8" ca="1" si="2">INDIRECT("'" &amp; F$6 &amp; "'!F43")</f>
        <v>IDFC FIRST Bank Limited</v>
      </c>
      <c r="G8" s="520" t="str">
        <f t="shared" ca="1" si="2"/>
        <v>NCC Limited</v>
      </c>
      <c r="H8" s="520" t="str">
        <f t="shared" ca="1" si="2"/>
        <v>Mrs. Bectors Food Specialities Ltd</v>
      </c>
      <c r="I8" s="520" t="str">
        <f t="shared" ca="1" si="2"/>
        <v>Infosys Ltd</v>
      </c>
      <c r="J8" s="520" t="str">
        <f t="shared" ca="1" si="2"/>
        <v>Indian Hotels Co Ltd</v>
      </c>
      <c r="K8" s="520" t="str">
        <f t="shared" ca="1" si="2"/>
        <v>Sharda Cropchem Ltd</v>
      </c>
      <c r="L8" s="63"/>
      <c r="M8" s="506"/>
      <c r="N8" s="506">
        <v>0</v>
      </c>
      <c r="O8" s="506"/>
      <c r="P8" s="506"/>
      <c r="Q8" s="506"/>
      <c r="R8" s="506"/>
      <c r="S8" s="506"/>
      <c r="T8" s="506"/>
      <c r="U8" s="506"/>
      <c r="V8" s="506">
        <v>0</v>
      </c>
      <c r="W8" s="506">
        <v>0</v>
      </c>
      <c r="X8" s="506"/>
    </row>
    <row r="9" spans="1:24" ht="13" thickBot="1">
      <c r="A9"/>
      <c r="B9" s="38" t="s">
        <v>9</v>
      </c>
      <c r="C9" s="565">
        <v>10</v>
      </c>
      <c r="D9" s="52"/>
      <c r="E9"/>
      <c r="F9" s="521" t="str">
        <f t="shared" ref="F9:K9" ca="1" si="3">INDIRECT("'" &amp; F$6 &amp; "'!F44")</f>
        <v>HDFC Bank Limited</v>
      </c>
      <c r="G9" s="521" t="str">
        <f t="shared" ca="1" si="3"/>
        <v>JMC Projects India Limited</v>
      </c>
      <c r="H9" s="521" t="str">
        <f t="shared" ca="1" si="3"/>
        <v>Varun Beverages Ltd</v>
      </c>
      <c r="I9" s="521" t="str">
        <f t="shared" ca="1" si="3"/>
        <v>Tata Elxsi Ltd</v>
      </c>
      <c r="J9" s="521" t="str">
        <f t="shared" ca="1" si="3"/>
        <v>EIH Ltd</v>
      </c>
      <c r="K9" s="521" t="str">
        <f t="shared" ca="1" si="3"/>
        <v>UPL Ltd</v>
      </c>
      <c r="L9" s="63"/>
      <c r="M9" s="506"/>
      <c r="N9" s="506">
        <v>0</v>
      </c>
      <c r="O9" s="506"/>
      <c r="P9" s="506"/>
      <c r="Q9" s="506"/>
      <c r="R9" s="506"/>
      <c r="S9" s="506"/>
      <c r="T9" s="506"/>
      <c r="U9" s="506"/>
      <c r="V9" s="506">
        <v>0</v>
      </c>
      <c r="W9" s="506">
        <v>0</v>
      </c>
      <c r="X9" s="506"/>
    </row>
    <row r="10" spans="1:24" ht="13" thickBot="1">
      <c r="A10"/>
      <c r="B10" s="38" t="s">
        <v>874</v>
      </c>
      <c r="C10" s="565">
        <v>4</v>
      </c>
      <c r="D10"/>
      <c r="E10"/>
      <c r="F10"/>
      <c r="G10"/>
      <c r="H10"/>
      <c r="I10"/>
      <c r="J10"/>
      <c r="K10"/>
      <c r="L10" s="63"/>
      <c r="M10" s="506"/>
      <c r="N10" s="506">
        <v>0</v>
      </c>
      <c r="O10" s="506"/>
      <c r="P10" s="506"/>
      <c r="Q10" s="506"/>
      <c r="R10" s="506"/>
      <c r="S10" s="506"/>
      <c r="T10" s="506"/>
      <c r="U10" s="506"/>
      <c r="V10" s="506"/>
      <c r="W10" s="506"/>
      <c r="X10" s="506"/>
    </row>
    <row r="11" spans="1:24">
      <c r="A11"/>
      <c r="B11" s="38" t="s">
        <v>870</v>
      </c>
      <c r="C11" s="565">
        <v>3</v>
      </c>
      <c r="D11"/>
      <c r="E11" s="545" t="s">
        <v>913</v>
      </c>
      <c r="F11" s="546"/>
      <c r="G11" s="567">
        <v>1000000</v>
      </c>
      <c r="H11" s="525" t="s">
        <v>961</v>
      </c>
      <c r="I11" s="570">
        <v>0.6</v>
      </c>
      <c r="J11" s="66" t="s">
        <v>956</v>
      </c>
      <c r="K11"/>
      <c r="L11" s="63"/>
      <c r="M11" s="506"/>
      <c r="N11" s="506">
        <v>0</v>
      </c>
      <c r="O11" s="506"/>
      <c r="P11" s="506"/>
      <c r="Q11" s="506"/>
      <c r="R11" s="506"/>
      <c r="S11" s="506"/>
      <c r="T11" s="506"/>
      <c r="U11" s="506"/>
      <c r="V11" s="506"/>
      <c r="W11" s="506"/>
      <c r="X11" s="506"/>
    </row>
    <row r="12" spans="1:24">
      <c r="A12"/>
      <c r="B12" s="38" t="s">
        <v>871</v>
      </c>
      <c r="C12" s="565">
        <v>3</v>
      </c>
      <c r="D12"/>
      <c r="E12" s="543" t="s">
        <v>921</v>
      </c>
      <c r="F12" s="544"/>
      <c r="G12" s="568">
        <v>10</v>
      </c>
      <c r="H12" s="526" t="s">
        <v>962</v>
      </c>
      <c r="I12" s="571">
        <v>0.2</v>
      </c>
      <c r="J12"/>
      <c r="K12"/>
      <c r="L12" s="63"/>
      <c r="M12" s="506"/>
      <c r="N12" s="506">
        <v>0</v>
      </c>
      <c r="O12" s="506"/>
      <c r="P12" s="506"/>
      <c r="Q12" s="506"/>
      <c r="R12" s="506"/>
      <c r="S12" s="506"/>
      <c r="T12" s="506"/>
      <c r="U12" s="506"/>
      <c r="V12" s="506"/>
      <c r="W12" s="506"/>
      <c r="X12" s="506"/>
    </row>
    <row r="13" spans="1:24" ht="13" thickBot="1">
      <c r="A13"/>
      <c r="B13" s="38" t="s">
        <v>872</v>
      </c>
      <c r="C13" s="565">
        <v>5</v>
      </c>
      <c r="D13"/>
      <c r="E13" s="541" t="s">
        <v>945</v>
      </c>
      <c r="F13" s="542"/>
      <c r="G13" s="569">
        <v>0.1</v>
      </c>
      <c r="H13" s="527" t="s">
        <v>963</v>
      </c>
      <c r="I13" s="54">
        <f>1-I12-I11</f>
        <v>0.20000000000000007</v>
      </c>
      <c r="J13"/>
      <c r="K13"/>
      <c r="L13" s="63"/>
      <c r="M13" s="506"/>
      <c r="N13" s="506">
        <v>0</v>
      </c>
      <c r="O13" s="506"/>
      <c r="P13" s="506"/>
      <c r="Q13" s="506"/>
      <c r="R13" s="506"/>
      <c r="S13" s="506"/>
      <c r="T13" s="506"/>
      <c r="U13" s="506"/>
      <c r="V13" s="506"/>
      <c r="W13" s="506"/>
      <c r="X13" s="506"/>
    </row>
    <row r="14" spans="1:24" ht="13" thickBot="1">
      <c r="A14"/>
      <c r="B14" s="39" t="s">
        <v>873</v>
      </c>
      <c r="C14" s="566">
        <v>8</v>
      </c>
      <c r="D14"/>
      <c r="E14" s="52" t="s">
        <v>938</v>
      </c>
      <c r="F14"/>
      <c r="G14" s="52"/>
      <c r="H14"/>
      <c r="I14"/>
      <c r="J14"/>
      <c r="K14"/>
      <c r="L14" s="63"/>
      <c r="M14" s="506"/>
      <c r="N14" s="506">
        <v>0</v>
      </c>
      <c r="O14" s="506"/>
      <c r="P14" s="506"/>
      <c r="Q14" s="506"/>
      <c r="R14" s="506"/>
      <c r="S14" s="506"/>
      <c r="T14" s="506"/>
      <c r="U14" s="506"/>
      <c r="V14" s="506"/>
      <c r="W14" s="506"/>
      <c r="X14" s="506"/>
    </row>
    <row r="15" spans="1:24" ht="12.65" customHeight="1" thickBot="1">
      <c r="A15"/>
      <c r="B15"/>
      <c r="C15"/>
      <c r="D15"/>
      <c r="E15" s="67" t="s">
        <v>957</v>
      </c>
      <c r="F15"/>
      <c r="G15" s="66" t="s">
        <v>954</v>
      </c>
      <c r="H15" s="528" t="s">
        <v>942</v>
      </c>
      <c r="I15" s="572">
        <v>60</v>
      </c>
      <c r="J15"/>
      <c r="K15"/>
      <c r="L15" s="63"/>
      <c r="M15" s="506"/>
      <c r="N15" s="506">
        <v>0</v>
      </c>
      <c r="O15" s="506"/>
      <c r="P15" s="506"/>
      <c r="Q15" s="506"/>
      <c r="R15" s="506"/>
      <c r="S15" s="506"/>
      <c r="T15" s="506"/>
      <c r="U15" s="506"/>
      <c r="V15" s="506"/>
      <c r="W15" s="506"/>
      <c r="X15" s="506"/>
    </row>
    <row r="16" spans="1:24">
      <c r="A16"/>
      <c r="B16" s="537" t="s">
        <v>886</v>
      </c>
      <c r="C16" s="538"/>
      <c r="D16"/>
      <c r="E16"/>
      <c r="F16" s="531" t="s">
        <v>964</v>
      </c>
      <c r="G16"/>
      <c r="H16"/>
      <c r="I16"/>
      <c r="J16"/>
      <c r="K16"/>
      <c r="L16" s="63"/>
      <c r="M16" s="506"/>
      <c r="N16" s="506">
        <v>0</v>
      </c>
      <c r="O16" s="506"/>
      <c r="P16" s="506"/>
      <c r="Q16" s="506"/>
      <c r="R16" s="506"/>
      <c r="S16" s="506"/>
      <c r="T16" s="506"/>
      <c r="U16" s="506"/>
      <c r="V16" s="506"/>
      <c r="W16" s="506"/>
      <c r="X16" s="506"/>
    </row>
    <row r="17" spans="1:24" ht="13" thickBot="1">
      <c r="A17"/>
      <c r="B17" s="539"/>
      <c r="C17" s="540"/>
      <c r="D17" s="67" t="s">
        <v>955</v>
      </c>
      <c r="E17"/>
      <c r="F17" s="532"/>
      <c r="G17"/>
      <c r="H17"/>
      <c r="I17"/>
      <c r="J17"/>
      <c r="K17"/>
      <c r="L17" s="63">
        <f>Dashboard!E6</f>
        <v>0</v>
      </c>
      <c r="M17" s="506"/>
      <c r="N17" s="506">
        <v>0</v>
      </c>
      <c r="O17" s="506"/>
      <c r="P17" s="506"/>
      <c r="Q17" s="506"/>
      <c r="R17" s="506"/>
      <c r="S17" s="506"/>
      <c r="T17" s="506"/>
      <c r="U17" s="506"/>
      <c r="V17" s="506"/>
      <c r="W17" s="506"/>
      <c r="X17" s="506"/>
    </row>
    <row r="18" spans="1:24" ht="13" thickBot="1">
      <c r="A18"/>
      <c r="B18" s="37" t="s">
        <v>108</v>
      </c>
      <c r="C18" s="564">
        <v>8</v>
      </c>
      <c r="D18"/>
      <c r="E18"/>
      <c r="F18"/>
      <c r="G18" s="67" t="s">
        <v>974</v>
      </c>
      <c r="H18" s="63"/>
      <c r="I18"/>
      <c r="J18"/>
      <c r="K18"/>
      <c r="L18" s="63"/>
      <c r="M18" s="506"/>
      <c r="N18" s="506">
        <v>0</v>
      </c>
      <c r="O18" s="506"/>
      <c r="P18" s="506"/>
      <c r="Q18" s="506"/>
      <c r="R18" s="506"/>
      <c r="S18" s="506"/>
      <c r="T18" s="506"/>
      <c r="U18" s="506"/>
      <c r="V18" s="506"/>
      <c r="W18" s="506"/>
      <c r="X18" s="506"/>
    </row>
    <row r="19" spans="1:24" ht="13" thickBot="1">
      <c r="A19"/>
      <c r="B19" s="38" t="s">
        <v>109</v>
      </c>
      <c r="C19" s="565">
        <v>9</v>
      </c>
      <c r="D19"/>
      <c r="E19" s="507" t="s">
        <v>920</v>
      </c>
      <c r="F19" s="517" t="s">
        <v>854</v>
      </c>
      <c r="G19" s="518" t="s">
        <v>952</v>
      </c>
      <c r="H19" s="510" t="s">
        <v>949</v>
      </c>
      <c r="I19"/>
      <c r="J19"/>
      <c r="K19"/>
      <c r="L19" s="63"/>
      <c r="M19" s="506"/>
      <c r="N19" s="506">
        <v>0</v>
      </c>
      <c r="O19" s="506"/>
      <c r="P19" s="506"/>
      <c r="Q19" s="506"/>
      <c r="R19" s="506"/>
      <c r="S19" s="506"/>
      <c r="T19" s="506"/>
      <c r="U19" s="506"/>
      <c r="V19" s="506"/>
      <c r="W19" s="506"/>
      <c r="X19" s="506"/>
    </row>
    <row r="20" spans="1:24" ht="13.5" thickBot="1">
      <c r="A20"/>
      <c r="B20" s="38" t="s">
        <v>110</v>
      </c>
      <c r="C20" s="565">
        <v>9</v>
      </c>
      <c r="D20"/>
      <c r="E20"/>
      <c r="F20" s="64" t="str">
        <f t="array" aca="1" ref="F20" ca="1">IFERROR(INDEX(Solver!$B$4:$B$21,SMALL(IF(Solver!$H$4:$H$21=1,ROW(Solver!$H$4:$H$21)-ROW(Solver!$H$4)+1),ROW(1:1))),"")</f>
        <v>Axis Bank Limited</v>
      </c>
      <c r="G20" s="65">
        <f ca="1">IFERROR(VLOOKUP(F20,Solver!$B$4:$M$21,12,0),"")</f>
        <v>49999.999999999862</v>
      </c>
      <c r="H20" s="516">
        <f ca="1">Solver!R18</f>
        <v>7</v>
      </c>
      <c r="I20"/>
      <c r="J20"/>
      <c r="K20"/>
      <c r="L20" s="63"/>
      <c r="M20" s="506"/>
      <c r="N20" s="506">
        <v>0</v>
      </c>
      <c r="O20" s="506"/>
      <c r="P20" s="506"/>
      <c r="Q20" s="506"/>
      <c r="R20" s="506"/>
      <c r="S20" s="506"/>
      <c r="T20" s="506"/>
      <c r="U20" s="506"/>
      <c r="V20" s="506"/>
      <c r="W20" s="506"/>
      <c r="X20" s="506"/>
    </row>
    <row r="21" spans="1:24" ht="13.5" thickBot="1">
      <c r="A21"/>
      <c r="B21" s="38" t="s">
        <v>111</v>
      </c>
      <c r="C21" s="565">
        <v>9</v>
      </c>
      <c r="D21"/>
      <c r="E21" s="508" t="s">
        <v>946</v>
      </c>
      <c r="F21" s="64" t="str">
        <f t="array" aca="1" ref="F21" ca="1">IFERROR(INDEX(Solver!$B$4:$B$21,SMALL(IF(Solver!$H$4:$H$21=1,ROW(Solver!$H$4:$H$21)-ROW(Solver!$H$4)+1),ROW(2:2))),"")</f>
        <v>IDFC FIRST Bank Limited</v>
      </c>
      <c r="G21" s="65">
        <f ca="1">IFERROR(VLOOKUP(F21,Solver!$B$4:$M$21,12,0),"")</f>
        <v>49999.999999999956</v>
      </c>
      <c r="H21" s="509" t="s">
        <v>950</v>
      </c>
      <c r="I21"/>
      <c r="J21"/>
      <c r="K21"/>
      <c r="L21" s="63"/>
      <c r="M21" s="506"/>
      <c r="N21" s="506">
        <v>0</v>
      </c>
      <c r="O21" s="506"/>
      <c r="P21" s="506"/>
      <c r="Q21" s="506"/>
      <c r="R21" s="506"/>
      <c r="S21" s="506"/>
      <c r="T21" s="506"/>
      <c r="U21" s="506"/>
      <c r="V21" s="506"/>
      <c r="W21" s="506"/>
      <c r="X21" s="506"/>
    </row>
    <row r="22" spans="1:24" ht="13.5" thickBot="1">
      <c r="A22"/>
      <c r="B22" s="38" t="s">
        <v>112</v>
      </c>
      <c r="C22" s="565">
        <v>6</v>
      </c>
      <c r="D22"/>
      <c r="E22" s="511">
        <f ca="1">Solver!O22</f>
        <v>1248022.6800213624</v>
      </c>
      <c r="F22" s="64" t="str">
        <f t="array" aca="1" ref="F22" ca="1">IFERROR(INDEX(Solver!$B$4:$B$21,SMALL(IF(Solver!$H$4:$H$21=1,ROW(Solver!$H$4:$H$21)-ROW(Solver!$H$4)+1),ROW(3:3))),"")</f>
        <v>HDFC Bank Limited</v>
      </c>
      <c r="G22" s="65">
        <f ca="1">IFERROR(VLOOKUP(F22,Solver!$B$4:$M$21,12,0),"")</f>
        <v>300000.00000000052</v>
      </c>
      <c r="H22" s="516">
        <f ca="1">Solver!R19</f>
        <v>3</v>
      </c>
      <c r="I22"/>
      <c r="J22"/>
      <c r="K22"/>
      <c r="L22" s="63"/>
      <c r="M22" s="506"/>
      <c r="N22" s="506"/>
      <c r="O22" s="506"/>
      <c r="P22" s="506"/>
      <c r="Q22" s="506"/>
      <c r="R22" s="506"/>
      <c r="S22" s="506"/>
      <c r="T22" s="506"/>
      <c r="U22" s="506"/>
      <c r="V22" s="506"/>
      <c r="W22" s="506"/>
      <c r="X22" s="506"/>
    </row>
    <row r="23" spans="1:24" ht="13.5" thickBot="1">
      <c r="A23"/>
      <c r="B23" s="38" t="s">
        <v>113</v>
      </c>
      <c r="C23" s="565">
        <v>7</v>
      </c>
      <c r="D23"/>
      <c r="E23" s="512">
        <f ca="1">Solver!O23</f>
        <v>0.24802268002136238</v>
      </c>
      <c r="F23" s="64" t="str">
        <f t="array" aca="1" ref="F23" ca="1">IFERROR(INDEX(Solver!$B$4:$B$21,SMALL(IF(Solver!$H$4:$H$21=1,ROW(Solver!$H$4:$H$21)-ROW(Solver!$H$4)+1),ROW(4:4))),"")</f>
        <v>DLF Ltd</v>
      </c>
      <c r="G23" s="65">
        <f ca="1">IFERROR(VLOOKUP(F23,Solver!$B$4:$M$21,12,0),"")</f>
        <v>49999.999999999949</v>
      </c>
      <c r="H23" s="509" t="s">
        <v>951</v>
      </c>
      <c r="I23"/>
      <c r="J23"/>
      <c r="K23"/>
      <c r="L23"/>
    </row>
    <row r="24" spans="1:24" ht="13.5" thickBot="1">
      <c r="A24"/>
      <c r="B24" s="38" t="s">
        <v>114</v>
      </c>
      <c r="C24" s="565">
        <v>4</v>
      </c>
      <c r="D24"/>
      <c r="E24"/>
      <c r="F24" s="64" t="str">
        <f t="array" aca="1" ref="F24" ca="1">IFERROR(INDEX(Solver!$B$4:$B$21,SMALL(IF(Solver!$H$4:$H$21=1,ROW(Solver!$H$4:$H$21)-ROW(Solver!$H$4)+1),ROW(5:5))),"")</f>
        <v>NCC Limited</v>
      </c>
      <c r="G24" s="65">
        <f ca="1">IFERROR(VLOOKUP(F24,Solver!$B$4:$M$21,12,0),"")</f>
        <v>49999.999999999949</v>
      </c>
      <c r="H24" s="516">
        <f ca="1">Solver!R20</f>
        <v>0</v>
      </c>
      <c r="I24"/>
      <c r="J24"/>
      <c r="K24"/>
      <c r="L24"/>
    </row>
    <row r="25" spans="1:24" ht="13.5" thickBot="1">
      <c r="A25"/>
      <c r="B25" s="38" t="s">
        <v>115</v>
      </c>
      <c r="C25" s="565">
        <v>8</v>
      </c>
      <c r="D25"/>
      <c r="E25" s="508" t="s">
        <v>948</v>
      </c>
      <c r="F25" s="64" t="str">
        <f t="array" aca="1" ref="F25" ca="1">IFERROR(INDEX(Solver!$B$4:$B$21,SMALL(IF(Solver!$H$4:$H$21=1,ROW(Solver!$H$4:$H$21)-ROW(Solver!$H$4)+1),ROW(6:6))),"")</f>
        <v>Varun Beverages Ltd</v>
      </c>
      <c r="G25" s="65">
        <f ca="1">IFERROR(VLOOKUP(F25,Solver!$B$4:$M$21,12,0),"")</f>
        <v>200000.00000000108</v>
      </c>
      <c r="H25"/>
      <c r="I25"/>
      <c r="J25"/>
      <c r="K25"/>
      <c r="L25"/>
    </row>
    <row r="26" spans="1:24" ht="13.5" thickBot="1">
      <c r="A26"/>
      <c r="B26" s="38" t="s">
        <v>116</v>
      </c>
      <c r="C26" s="565">
        <v>3</v>
      </c>
      <c r="D26"/>
      <c r="E26" s="513">
        <f ca="1">Solver!J23</f>
        <v>0.39294340827083729</v>
      </c>
      <c r="F26" s="64" t="str">
        <f t="array" aca="1" ref="F26" ca="1">IFERROR(INDEX(Solver!$B$4:$B$21,SMALL(IF(Solver!$H$4:$H$21=1,ROW(Solver!$H$4:$H$21)-ROW(Solver!$H$4)+1),ROW(7:7))),"")</f>
        <v>Tata Consultancy Services Ltd</v>
      </c>
      <c r="G26" s="65">
        <f ca="1">IFERROR(VLOOKUP(F26,Solver!$B$4:$M$21,12,0),"")</f>
        <v>49999.999999999949</v>
      </c>
      <c r="H26" s="510" t="s">
        <v>969</v>
      </c>
      <c r="I26"/>
      <c r="J26"/>
      <c r="K26"/>
      <c r="L26"/>
    </row>
    <row r="27" spans="1:24" ht="13.5" thickBot="1">
      <c r="A27"/>
      <c r="B27" s="38" t="s">
        <v>117</v>
      </c>
      <c r="C27" s="565">
        <v>5</v>
      </c>
      <c r="D27"/>
      <c r="E27"/>
      <c r="F27" s="64" t="str">
        <f t="array" aca="1" ref="F27" ca="1">IFERROR(INDEX(Solver!$B$4:$B$21,SMALL(IF(Solver!$H$4:$H$21=1,ROW(Solver!$H$4:$H$21)-ROW(Solver!$H$4)+1),ROW(8:8))),"")</f>
        <v>Lemon Tree Hotels Ltd</v>
      </c>
      <c r="G27" s="65">
        <f ca="1">IFERROR(VLOOKUP(F27,Solver!$B$4:$M$21,12,0),"")</f>
        <v>150000.00000000501</v>
      </c>
      <c r="H27" s="515">
        <f ca="1">Solver!R4</f>
        <v>750000.0000000014</v>
      </c>
      <c r="I27"/>
      <c r="J27"/>
      <c r="K27"/>
      <c r="L27"/>
    </row>
    <row r="28" spans="1:24" ht="13.5" thickBot="1">
      <c r="A28"/>
      <c r="B28" s="38" t="s">
        <v>118</v>
      </c>
      <c r="C28" s="565">
        <v>8</v>
      </c>
      <c r="D28"/>
      <c r="E28" s="508" t="s">
        <v>947</v>
      </c>
      <c r="F28" s="64" t="str">
        <f t="array" aca="1" ref="F28" ca="1">IFERROR(INDEX(Solver!$B$4:$B$21,SMALL(IF(Solver!$H$4:$H$21=1,ROW(Solver!$H$4:$H$21)-ROW(Solver!$H$4)+1),ROW(9:9))),"")</f>
        <v>EIH Ltd</v>
      </c>
      <c r="G28" s="65">
        <f ca="1">IFERROR(VLOOKUP(F28,Solver!$B$4:$M$21,12,0),"")</f>
        <v>49999.999999999891</v>
      </c>
      <c r="H28" s="509" t="s">
        <v>970</v>
      </c>
      <c r="I28"/>
      <c r="J28"/>
      <c r="K28"/>
      <c r="L28"/>
    </row>
    <row r="29" spans="1:24" ht="13.5" thickBot="1">
      <c r="A29"/>
      <c r="B29" s="38" t="s">
        <v>119</v>
      </c>
      <c r="C29" s="565">
        <v>7</v>
      </c>
      <c r="D29"/>
      <c r="E29" s="514">
        <f ca="1">Solver!K23</f>
        <v>57.453333333333333</v>
      </c>
      <c r="F29" s="64" t="str">
        <f t="array" aca="1" ref="F29" ca="1">IFERROR(INDEX(Solver!$B$4:$B$21,SMALL(IF(Solver!$H$4:$H$21=1,ROW(Solver!$H$4:$H$21)-ROW(Solver!$H$4)+1),ROW(10:10))),"")</f>
        <v>UPL Ltd</v>
      </c>
      <c r="G29" s="65">
        <f ca="1">IFERROR(VLOOKUP(F29,Solver!$B$4:$M$21,12,0),"")</f>
        <v>49999.999999999949</v>
      </c>
      <c r="H29" s="515">
        <f ca="1">Solver!R5</f>
        <v>250000.00000000489</v>
      </c>
      <c r="I29"/>
      <c r="J29"/>
      <c r="K29"/>
      <c r="L29"/>
    </row>
    <row r="30" spans="1:24" ht="13.5" thickBot="1">
      <c r="A30"/>
      <c r="B30" s="38" t="s">
        <v>120</v>
      </c>
      <c r="C30" s="565">
        <v>4</v>
      </c>
      <c r="D30"/>
      <c r="E30"/>
      <c r="F30" s="64" t="str">
        <f t="array" ref="F30">IFERROR(INDEX(Solver!$B$4:$B$21,SMALL(IF(Solver!$H$4:$H$21=1,ROW(Solver!$H$4:$H$21)-ROW(Solver!$H$4)+1),ROW(11:11))),"")</f>
        <v/>
      </c>
      <c r="G30" s="65" t="str">
        <f ca="1">IFERROR(VLOOKUP(F30,Solver!$B$4:$M$21,12,0),"")</f>
        <v/>
      </c>
      <c r="H30" s="509" t="s">
        <v>971</v>
      </c>
      <c r="I30"/>
      <c r="J30"/>
      <c r="K30"/>
      <c r="L30"/>
    </row>
    <row r="31" spans="1:24" ht="13.5" thickBot="1">
      <c r="A31"/>
      <c r="B31" s="38" t="s">
        <v>121</v>
      </c>
      <c r="C31" s="565">
        <v>6</v>
      </c>
      <c r="D31"/>
      <c r="E31"/>
      <c r="F31" s="64" t="str">
        <f t="array" ref="F31">IFERROR(INDEX(Solver!$B$4:$B$21,SMALL(IF(Solver!$H$4:$H$21=1,ROW(Solver!$H$4:$H$21)-ROW(Solver!$H$4)+1),ROW(12:12))),"")</f>
        <v/>
      </c>
      <c r="G31" s="65" t="str">
        <f ca="1">IFERROR(VLOOKUP(F31,Solver!$B$4:$M$21,12,0),"")</f>
        <v/>
      </c>
      <c r="H31" s="515">
        <f ca="1">Solver!R6</f>
        <v>0</v>
      </c>
      <c r="I31"/>
      <c r="J31"/>
      <c r="K31"/>
      <c r="L31"/>
    </row>
    <row r="32" spans="1:24" ht="13.5" thickBot="1">
      <c r="A32"/>
      <c r="B32" s="39" t="s">
        <v>122</v>
      </c>
      <c r="C32" s="566">
        <v>5</v>
      </c>
      <c r="D32"/>
      <c r="E32"/>
      <c r="F32" s="64" t="str">
        <f t="array" ref="F32">IFERROR(INDEX(Solver!$B$4:$B$21,SMALL(IF(Solver!$H$4:$H$21=1,ROW(Solver!$H$4:$H$21)-ROW(Solver!$H$4)+1),ROW(13:13))),"")</f>
        <v/>
      </c>
      <c r="G32" s="65" t="str">
        <f ca="1">IFERROR(VLOOKUP(F32,Solver!$B$4:$M$21,12,0),"")</f>
        <v/>
      </c>
      <c r="H32"/>
      <c r="I32"/>
      <c r="J32"/>
      <c r="K32"/>
      <c r="L32"/>
    </row>
    <row r="33" spans="1:12" ht="13.5" thickBot="1">
      <c r="A33"/>
      <c r="B33"/>
      <c r="C33"/>
      <c r="D33"/>
      <c r="E33"/>
      <c r="F33" s="64" t="str">
        <f t="array" ref="F33">IFERROR(INDEX(Solver!$B$4:$B$21,SMALL(IF(Solver!$H$4:$H$21=1,ROW(Solver!$H$4:$H$21)-ROW(Solver!$H$4)+1),ROW(14:14))),"")</f>
        <v/>
      </c>
      <c r="G33" s="65" t="str">
        <f ca="1">IFERROR(VLOOKUP(F33,Solver!$B$4:$M$21,12,0),"")</f>
        <v/>
      </c>
      <c r="H33"/>
      <c r="I33"/>
      <c r="J33"/>
      <c r="K33"/>
      <c r="L33"/>
    </row>
    <row r="34" spans="1:12" ht="13.5" thickBot="1">
      <c r="A34"/>
      <c r="B34"/>
      <c r="C34"/>
      <c r="D34"/>
      <c r="E34"/>
      <c r="F34" s="64" t="str">
        <f t="array" ref="F34">IFERROR(INDEX(Solver!$B$4:$B$21,SMALL(IF(Solver!$H$4:$H$21=1,ROW(Solver!$H$4:$H$21)-ROW(Solver!$H$4)+1),ROW(15:15))),"")</f>
        <v/>
      </c>
      <c r="G34" s="65" t="str">
        <f ca="1">IFERROR(VLOOKUP(F34,Solver!$B$4:$M$21,12,0),"")</f>
        <v/>
      </c>
      <c r="H34"/>
      <c r="I34"/>
      <c r="J34"/>
      <c r="K34"/>
      <c r="L34"/>
    </row>
    <row r="35" spans="1:12" ht="13.5" thickBot="1">
      <c r="A35"/>
      <c r="B35"/>
      <c r="C35"/>
      <c r="D35"/>
      <c r="E35"/>
      <c r="F35" s="64" t="str">
        <f t="array" ref="F35">IFERROR(INDEX(Solver!$B$4:$B$21,SMALL(IF(Solver!$H$4:$H$21=1,ROW(Solver!$H$4:$H$21)-ROW(Solver!$H$4)+1),ROW(16:16))),"")</f>
        <v/>
      </c>
      <c r="G35" s="65" t="str">
        <f ca="1">IFERROR(VLOOKUP(F35,Solver!$B$4:$M$21,12,0),"")</f>
        <v/>
      </c>
      <c r="H35"/>
      <c r="I35"/>
      <c r="J35"/>
      <c r="K35"/>
      <c r="L35"/>
    </row>
    <row r="36" spans="1:12" ht="13.5" thickBot="1">
      <c r="A36"/>
      <c r="B36"/>
      <c r="C36"/>
      <c r="D36"/>
      <c r="E36"/>
      <c r="F36" s="64" t="str">
        <f t="array" ref="F36">IFERROR(INDEX(Solver!$B$4:$B$21,SMALL(IF(Solver!$H$4:$H$21=1,ROW(Solver!$H$4:$H$21)-ROW(Solver!$H$4)+1),ROW(17:17))),"")</f>
        <v/>
      </c>
      <c r="G36" s="65" t="str">
        <f ca="1">IFERROR(VLOOKUP(F36,Solver!$B$4:$M$21,12,0),"")</f>
        <v/>
      </c>
      <c r="H36"/>
      <c r="I36"/>
      <c r="J36"/>
      <c r="K36"/>
      <c r="L36"/>
    </row>
    <row r="37" spans="1:12" ht="13.5" thickBot="1">
      <c r="A37"/>
      <c r="B37"/>
      <c r="C37"/>
      <c r="D37"/>
      <c r="E37"/>
      <c r="F37" s="64" t="str">
        <f t="array" ref="F37">IFERROR(INDEX(Solver!$B$4:$B$21,SMALL(IF(Solver!$H$4:$H$21=1,ROW(Solver!$H$4:$H$21)-ROW(Solver!$H$4)+1),ROW(18:18))),"")</f>
        <v/>
      </c>
      <c r="G37" s="65" t="str">
        <f ca="1">IFERROR(VLOOKUP(F37,Solver!$B$4:$M$21,12,0),"")</f>
        <v/>
      </c>
      <c r="H37"/>
      <c r="I37"/>
      <c r="J37"/>
      <c r="K37"/>
      <c r="L37"/>
    </row>
    <row r="38" spans="1:12">
      <c r="A38"/>
      <c r="B38"/>
      <c r="C38"/>
      <c r="D38"/>
      <c r="E38"/>
      <c r="F38"/>
      <c r="G38"/>
      <c r="H38"/>
      <c r="I38"/>
      <c r="J38"/>
      <c r="K38"/>
      <c r="L38"/>
    </row>
    <row r="39" spans="1:12">
      <c r="A39"/>
      <c r="B39"/>
      <c r="C39"/>
      <c r="D39"/>
      <c r="E39"/>
      <c r="F39"/>
      <c r="G39"/>
      <c r="H39"/>
      <c r="I39"/>
      <c r="J39"/>
      <c r="K39"/>
      <c r="L39"/>
    </row>
  </sheetData>
  <mergeCells count="6">
    <mergeCell ref="F16:F17"/>
    <mergeCell ref="B4:C5"/>
    <mergeCell ref="B16:C17"/>
    <mergeCell ref="E13:F13"/>
    <mergeCell ref="E12:F12"/>
    <mergeCell ref="E11:F1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14FF9-51C1-4CC8-9470-A1AE6A159828}">
  <sheetPr codeName="Sheet3"/>
  <dimension ref="B2:Y28"/>
  <sheetViews>
    <sheetView showGridLines="0" zoomScale="69" zoomScaleNormal="50" workbookViewId="0">
      <selection activeCell="B2" sqref="B2"/>
    </sheetView>
  </sheetViews>
  <sheetFormatPr defaultRowHeight="12.5"/>
  <cols>
    <col min="1" max="1" width="1.54296875" customWidth="1"/>
    <col min="2" max="2" width="30.453125" bestFit="1" customWidth="1"/>
    <col min="3" max="3" width="9.26953125" bestFit="1" customWidth="1"/>
    <col min="4" max="4" width="7" bestFit="1" customWidth="1"/>
    <col min="5" max="5" width="6" bestFit="1" customWidth="1"/>
    <col min="6" max="6" width="10" bestFit="1" customWidth="1"/>
    <col min="8" max="8" width="9.81640625" bestFit="1" customWidth="1"/>
    <col min="9" max="9" width="13.1796875" bestFit="1" customWidth="1"/>
    <col min="10" max="10" width="8.26953125" bestFit="1" customWidth="1"/>
    <col min="11" max="11" width="11.453125" customWidth="1"/>
    <col min="12" max="12" width="10.26953125" bestFit="1" customWidth="1"/>
    <col min="13" max="13" width="9.1796875" customWidth="1"/>
    <col min="14" max="14" width="12.7265625" bestFit="1" customWidth="1"/>
    <col min="15" max="15" width="12" bestFit="1" customWidth="1"/>
    <col min="17" max="17" width="25" bestFit="1" customWidth="1"/>
    <col min="18" max="18" width="12.26953125" bestFit="1" customWidth="1"/>
    <col min="19" max="19" width="12.7265625" customWidth="1"/>
    <col min="20" max="20" width="8" customWidth="1"/>
    <col min="21" max="21" width="9.1796875" bestFit="1" customWidth="1"/>
    <col min="22" max="22" width="9.7265625" bestFit="1" customWidth="1"/>
    <col min="23" max="23" width="9.26953125" customWidth="1"/>
    <col min="24" max="24" width="2" bestFit="1" customWidth="1"/>
    <col min="25" max="25" width="10.26953125" customWidth="1"/>
    <col min="26" max="26" width="9.7265625" bestFit="1" customWidth="1"/>
  </cols>
  <sheetData>
    <row r="2" spans="2:25" ht="14.5" thickBot="1">
      <c r="I2" s="28"/>
      <c r="J2" s="28"/>
      <c r="K2" s="28"/>
      <c r="R2" s="19"/>
      <c r="T2" s="6" t="s">
        <v>907</v>
      </c>
      <c r="W2" s="22" t="s">
        <v>910</v>
      </c>
    </row>
    <row r="3" spans="2:25" ht="39.5" thickBot="1">
      <c r="B3" s="461" t="s">
        <v>977</v>
      </c>
      <c r="C3" s="462" t="s">
        <v>897</v>
      </c>
      <c r="D3" s="462" t="s">
        <v>895</v>
      </c>
      <c r="E3" s="462" t="s">
        <v>896</v>
      </c>
      <c r="F3" s="463" t="s">
        <v>174</v>
      </c>
      <c r="H3" s="483" t="s">
        <v>912</v>
      </c>
      <c r="I3" s="29" t="s">
        <v>903</v>
      </c>
      <c r="J3" s="30" t="s">
        <v>902</v>
      </c>
      <c r="K3" s="31" t="s">
        <v>904</v>
      </c>
      <c r="L3" s="29" t="s">
        <v>973</v>
      </c>
      <c r="M3" s="40" t="s">
        <v>914</v>
      </c>
      <c r="N3" s="29" t="s">
        <v>972</v>
      </c>
      <c r="O3" s="476" t="s">
        <v>916</v>
      </c>
      <c r="R3" s="491" t="s">
        <v>958</v>
      </c>
      <c r="T3" s="484" t="s">
        <v>908</v>
      </c>
      <c r="U3" s="485" t="s">
        <v>909</v>
      </c>
      <c r="W3" s="79" t="s">
        <v>911</v>
      </c>
      <c r="X3" s="80"/>
      <c r="Y3" s="81" t="s">
        <v>901</v>
      </c>
    </row>
    <row r="4" spans="2:25">
      <c r="B4" s="56" t="str">
        <f ca="1">Dashboard!F7</f>
        <v>Axis Bank Limited</v>
      </c>
      <c r="C4" s="34" t="str">
        <f ca="1">VLOOKUP(Solver!B4,'Company data'!$B$5:$V$64,11,0)</f>
        <v>Large Cap</v>
      </c>
      <c r="D4" s="455">
        <f ca="1">VLOOKUP(Solver!B4,'Company data'!$B$5:$V$64,4,0)</f>
        <v>0.16200875339097173</v>
      </c>
      <c r="E4" s="455">
        <f ca="1">VLOOKUP(Solver!B4,'Company data'!$B$5:$V$64,5,0)</f>
        <v>0.36244521861843437</v>
      </c>
      <c r="F4" s="458">
        <f ca="1">VLOOKUP(B4,'Company data'!$B$5:$V$64,20,0)</f>
        <v>70</v>
      </c>
      <c r="H4" s="479">
        <v>1</v>
      </c>
      <c r="I4" s="24" t="str">
        <f ca="1">IF(H4=1,C4,"")</f>
        <v>Large Cap</v>
      </c>
      <c r="J4" s="464">
        <f t="shared" ref="J4:J21" ca="1" si="0">H4*E4</f>
        <v>0.36244521861843437</v>
      </c>
      <c r="K4" s="477">
        <f t="shared" ref="K4:K21" ca="1" si="1">H4*F4</f>
        <v>70</v>
      </c>
      <c r="L4" s="42">
        <f t="shared" ref="L4:L21" si="2">H4*$M$24</f>
        <v>1000000</v>
      </c>
      <c r="M4" s="471">
        <v>49999.999999999862</v>
      </c>
      <c r="N4" s="474">
        <f>H4*$I$26</f>
        <v>50000</v>
      </c>
      <c r="O4" s="474">
        <f t="shared" ref="O4:O21" ca="1" si="3">M4*(1+D4)</f>
        <v>58100.437669548424</v>
      </c>
      <c r="Q4" s="59" t="s">
        <v>965</v>
      </c>
      <c r="R4" s="84">
        <f ca="1">SUMIF($C$4:$C$21,"Large Cap",$M$4:$M$21)</f>
        <v>750000.0000000014</v>
      </c>
      <c r="T4" s="486">
        <v>0</v>
      </c>
      <c r="U4" s="487">
        <v>0</v>
      </c>
      <c r="W4" s="75">
        <f ca="1">R4+U4-T4</f>
        <v>750000.0000000014</v>
      </c>
      <c r="X4" s="23" t="s">
        <v>899</v>
      </c>
      <c r="Y4" s="72">
        <f>N26</f>
        <v>600000</v>
      </c>
    </row>
    <row r="5" spans="2:25">
      <c r="B5" s="57" t="str">
        <f ca="1">Dashboard!F8</f>
        <v>IDFC FIRST Bank Limited</v>
      </c>
      <c r="C5" s="35" t="str">
        <f ca="1">VLOOKUP(Solver!B5,'Company data'!$B$5:$V$64,11,0)</f>
        <v>Large Cap</v>
      </c>
      <c r="D5" s="456">
        <f ca="1">VLOOKUP(Solver!B5,'Company data'!$B$5:$V$64,4,0)</f>
        <v>0.2833871111025042</v>
      </c>
      <c r="E5" s="456">
        <f ca="1">VLOOKUP(Solver!B5,'Company data'!$B$5:$V$64,5,0)</f>
        <v>0.44461220135401724</v>
      </c>
      <c r="F5" s="459">
        <f ca="1">VLOOKUP(B5,'Company data'!$B$5:$V$64,20,0)</f>
        <v>64.666666666666671</v>
      </c>
      <c r="H5" s="479">
        <v>1</v>
      </c>
      <c r="I5" s="24" t="str">
        <f t="shared" ref="I5:I21" ca="1" si="4">IF(H5=1,C5,"")</f>
        <v>Large Cap</v>
      </c>
      <c r="J5" s="464">
        <f t="shared" ca="1" si="0"/>
        <v>0.44461220135401724</v>
      </c>
      <c r="K5" s="477">
        <f t="shared" ca="1" si="1"/>
        <v>64.666666666666671</v>
      </c>
      <c r="L5" s="43">
        <f t="shared" si="2"/>
        <v>1000000</v>
      </c>
      <c r="M5" s="472">
        <v>49999.999999999956</v>
      </c>
      <c r="N5" s="475">
        <f t="shared" ref="N5:N21" si="5">H5*$I$26</f>
        <v>50000</v>
      </c>
      <c r="O5" s="475">
        <f t="shared" ca="1" si="3"/>
        <v>64169.355555125148</v>
      </c>
      <c r="Q5" s="60" t="s">
        <v>966</v>
      </c>
      <c r="R5" s="85">
        <f ca="1">SUMIF($C$4:$C$21,"Mid Cap",$M$4:$M$21)</f>
        <v>250000.00000000489</v>
      </c>
      <c r="T5" s="486">
        <v>0</v>
      </c>
      <c r="U5" s="487">
        <v>0</v>
      </c>
      <c r="W5" s="76">
        <f t="shared" ref="W5:W8" ca="1" si="6">R5+U5-T5</f>
        <v>250000.00000000489</v>
      </c>
      <c r="X5" s="82" t="s">
        <v>899</v>
      </c>
      <c r="Y5" s="83">
        <f>N27</f>
        <v>200000</v>
      </c>
    </row>
    <row r="6" spans="2:25">
      <c r="B6" s="57" t="str">
        <f ca="1">Dashboard!F9</f>
        <v>HDFC Bank Limited</v>
      </c>
      <c r="C6" s="35" t="str">
        <f ca="1">VLOOKUP(Solver!B6,'Company data'!$B$5:$V$64,11,0)</f>
        <v>Large Cap</v>
      </c>
      <c r="D6" s="456">
        <f ca="1">VLOOKUP(Solver!B6,'Company data'!$B$5:$V$64,4,0)</f>
        <v>0.1321402243378911</v>
      </c>
      <c r="E6" s="456">
        <f ca="1">VLOOKUP(Solver!B6,'Company data'!$B$5:$V$64,5,0)</f>
        <v>0.24775582878931862</v>
      </c>
      <c r="F6" s="459">
        <f ca="1">VLOOKUP(B6,'Company data'!$B$5:$V$64,20,0)</f>
        <v>71</v>
      </c>
      <c r="H6" s="479">
        <v>1</v>
      </c>
      <c r="I6" s="24" t="str">
        <f t="shared" ca="1" si="4"/>
        <v>Large Cap</v>
      </c>
      <c r="J6" s="464">
        <f t="shared" ca="1" si="0"/>
        <v>0.24775582878931862</v>
      </c>
      <c r="K6" s="477">
        <f t="shared" ca="1" si="1"/>
        <v>71</v>
      </c>
      <c r="L6" s="43">
        <f t="shared" si="2"/>
        <v>1000000</v>
      </c>
      <c r="M6" s="472">
        <v>300000.00000000052</v>
      </c>
      <c r="N6" s="475">
        <f t="shared" si="5"/>
        <v>50000</v>
      </c>
      <c r="O6" s="475">
        <f t="shared" ca="1" si="3"/>
        <v>339642.06730136793</v>
      </c>
      <c r="Q6" s="60" t="s">
        <v>967</v>
      </c>
      <c r="R6" s="85">
        <f ca="1">SUMIF($C$4:$C$21,"Small Cap",$M$4:$M$21)</f>
        <v>0</v>
      </c>
      <c r="T6" s="486">
        <v>4.4000714183312027E-10</v>
      </c>
      <c r="U6" s="487">
        <v>0</v>
      </c>
      <c r="W6" s="76">
        <f t="shared" ca="1" si="6"/>
        <v>-4.4000714183312027E-10</v>
      </c>
      <c r="X6" s="82" t="s">
        <v>899</v>
      </c>
      <c r="Y6" s="83">
        <f>N28</f>
        <v>200000</v>
      </c>
    </row>
    <row r="7" spans="2:25">
      <c r="B7" s="57" t="str">
        <f ca="1">Dashboard!G7</f>
        <v>DLF Ltd</v>
      </c>
      <c r="C7" s="35" t="str">
        <f ca="1">VLOOKUP(Solver!B7,'Company data'!$B$5:$V$64,11,0)</f>
        <v>Large Cap</v>
      </c>
      <c r="D7" s="456">
        <f ca="1">VLOOKUP(Solver!B7,'Company data'!$B$5:$V$64,4,0)</f>
        <v>0.31398280388375099</v>
      </c>
      <c r="E7" s="456">
        <f ca="1">VLOOKUP(Solver!B7,'Company data'!$B$5:$V$64,5,0)</f>
        <v>0.41633003961341497</v>
      </c>
      <c r="F7" s="459">
        <f ca="1">VLOOKUP(B7,'Company data'!$B$5:$V$64,20,0)</f>
        <v>60.333333333333336</v>
      </c>
      <c r="H7" s="479">
        <v>1</v>
      </c>
      <c r="I7" s="24" t="str">
        <f t="shared" ca="1" si="4"/>
        <v>Large Cap</v>
      </c>
      <c r="J7" s="464">
        <f t="shared" ca="1" si="0"/>
        <v>0.41633003961341497</v>
      </c>
      <c r="K7" s="477">
        <f t="shared" ca="1" si="1"/>
        <v>60.333333333333336</v>
      </c>
      <c r="L7" s="43">
        <f t="shared" si="2"/>
        <v>1000000</v>
      </c>
      <c r="M7" s="472">
        <v>49999.999999999949</v>
      </c>
      <c r="N7" s="475">
        <f t="shared" si="5"/>
        <v>50000</v>
      </c>
      <c r="O7" s="475">
        <f t="shared" ca="1" si="3"/>
        <v>65699.140194187479</v>
      </c>
      <c r="Q7" s="60" t="s">
        <v>959</v>
      </c>
      <c r="R7" s="88">
        <f ca="1">K27</f>
        <v>574.5333333333333</v>
      </c>
      <c r="T7" s="486">
        <v>36.999999999999616</v>
      </c>
      <c r="U7" s="487">
        <v>0</v>
      </c>
      <c r="W7" s="77">
        <f t="shared" ca="1" si="6"/>
        <v>537.53333333333364</v>
      </c>
      <c r="X7" s="82" t="s">
        <v>899</v>
      </c>
      <c r="Y7" s="73">
        <f>Dashboard!I15*H24</f>
        <v>600</v>
      </c>
    </row>
    <row r="8" spans="2:25" ht="13" thickBot="1">
      <c r="B8" s="57" t="str">
        <f ca="1">Dashboard!G8</f>
        <v>NCC Limited</v>
      </c>
      <c r="C8" s="35" t="str">
        <f ca="1">VLOOKUP(Solver!B8,'Company data'!$B$5:$V$64,11,0)</f>
        <v>Mid Cap</v>
      </c>
      <c r="D8" s="456">
        <f ca="1">VLOOKUP(Solver!B8,'Company data'!$B$5:$V$64,4,0)</f>
        <v>0.33803513498013182</v>
      </c>
      <c r="E8" s="456">
        <f ca="1">VLOOKUP(Solver!B8,'Company data'!$B$5:$V$64,5,0)</f>
        <v>0.58871467519266352</v>
      </c>
      <c r="F8" s="459">
        <f ca="1">VLOOKUP(B8,'Company data'!$B$5:$V$64,20,0)</f>
        <v>39</v>
      </c>
      <c r="H8" s="479">
        <v>1</v>
      </c>
      <c r="I8" s="24" t="str">
        <f t="shared" ca="1" si="4"/>
        <v>Mid Cap</v>
      </c>
      <c r="J8" s="464">
        <f t="shared" ca="1" si="0"/>
        <v>0.58871467519266352</v>
      </c>
      <c r="K8" s="477">
        <f t="shared" ca="1" si="1"/>
        <v>39</v>
      </c>
      <c r="L8" s="43">
        <f t="shared" si="2"/>
        <v>1000000</v>
      </c>
      <c r="M8" s="472">
        <v>49999.999999999949</v>
      </c>
      <c r="N8" s="475">
        <f t="shared" si="5"/>
        <v>50000</v>
      </c>
      <c r="O8" s="475">
        <f t="shared" ca="1" si="3"/>
        <v>66901.756749006527</v>
      </c>
      <c r="Q8" s="61" t="s">
        <v>960</v>
      </c>
      <c r="R8" s="86">
        <f ca="1">O22</f>
        <v>1248022.6800213624</v>
      </c>
      <c r="T8" s="488">
        <v>37599.09819578426</v>
      </c>
      <c r="U8" s="489">
        <v>0</v>
      </c>
      <c r="W8" s="78">
        <f t="shared" ca="1" si="6"/>
        <v>1210423.5818255781</v>
      </c>
      <c r="X8" s="68" t="s">
        <v>899</v>
      </c>
      <c r="Y8" s="74">
        <f>(Dashboard!G13+1)*M22</f>
        <v>1100000.000000007</v>
      </c>
    </row>
    <row r="9" spans="2:25" ht="13" thickBot="1">
      <c r="B9" s="57" t="str">
        <f ca="1">Dashboard!G9</f>
        <v>JMC Projects India Limited</v>
      </c>
      <c r="C9" s="35" t="str">
        <f ca="1">VLOOKUP(Solver!B9,'Company data'!$B$5:$V$64,11,0)</f>
        <v>Small Cap</v>
      </c>
      <c r="D9" s="456">
        <f ca="1">VLOOKUP(Solver!B9,'Company data'!$B$5:$V$64,4,0)</f>
        <v>0</v>
      </c>
      <c r="E9" s="456">
        <f ca="1">VLOOKUP(Solver!B9,'Company data'!$B$5:$V$64,5,0)</f>
        <v>0</v>
      </c>
      <c r="F9" s="459">
        <f ca="1">VLOOKUP(B9,'Company data'!$B$5:$V$64,20,0)</f>
        <v>46.666666666666664</v>
      </c>
      <c r="H9" s="479">
        <v>0</v>
      </c>
      <c r="I9" s="24" t="str">
        <f t="shared" si="4"/>
        <v/>
      </c>
      <c r="J9" s="464">
        <f t="shared" ca="1" si="0"/>
        <v>0</v>
      </c>
      <c r="K9" s="477">
        <f t="shared" ca="1" si="1"/>
        <v>0</v>
      </c>
      <c r="L9" s="43">
        <f t="shared" si="2"/>
        <v>0</v>
      </c>
      <c r="M9" s="472">
        <v>0</v>
      </c>
      <c r="N9" s="475">
        <f t="shared" si="5"/>
        <v>0</v>
      </c>
      <c r="O9" s="475">
        <f t="shared" ca="1" si="3"/>
        <v>0</v>
      </c>
    </row>
    <row r="10" spans="2:25" ht="13.5" thickBot="1">
      <c r="B10" s="57" t="str">
        <f ca="1">Dashboard!H7</f>
        <v>Hindustan Unilever Ltd</v>
      </c>
      <c r="C10" s="35" t="str">
        <f ca="1">VLOOKUP(Solver!B10,'Company data'!$B$5:$V$64,11,0)</f>
        <v>Large Cap</v>
      </c>
      <c r="D10" s="456">
        <f ca="1">VLOOKUP(Solver!B10,'Company data'!$B$5:$V$64,4,0)</f>
        <v>0.1336349934393109</v>
      </c>
      <c r="E10" s="456">
        <f ca="1">VLOOKUP(Solver!B10,'Company data'!$B$5:$V$64,5,0)</f>
        <v>0.21797754059465221</v>
      </c>
      <c r="F10" s="459">
        <f ca="1">VLOOKUP(B10,'Company data'!$B$5:$V$64,20,0)</f>
        <v>65.666666666666671</v>
      </c>
      <c r="H10" s="479">
        <v>0</v>
      </c>
      <c r="I10" s="24" t="str">
        <f t="shared" si="4"/>
        <v/>
      </c>
      <c r="J10" s="464">
        <f t="shared" ca="1" si="0"/>
        <v>0</v>
      </c>
      <c r="K10" s="477">
        <f t="shared" ca="1" si="1"/>
        <v>0</v>
      </c>
      <c r="L10" s="43">
        <f t="shared" si="2"/>
        <v>0</v>
      </c>
      <c r="M10" s="472">
        <v>0</v>
      </c>
      <c r="N10" s="475">
        <f t="shared" si="5"/>
        <v>0</v>
      </c>
      <c r="O10" s="475">
        <f t="shared" ca="1" si="3"/>
        <v>0</v>
      </c>
      <c r="T10" s="6" t="s">
        <v>918</v>
      </c>
      <c r="U10" s="19"/>
      <c r="W10" s="557" t="s">
        <v>919</v>
      </c>
    </row>
    <row r="11" spans="2:25" ht="13.15" customHeight="1" thickBot="1">
      <c r="B11" s="57" t="str">
        <f ca="1">Dashboard!H8</f>
        <v>Mrs. Bectors Food Specialities Ltd</v>
      </c>
      <c r="C11" s="35" t="str">
        <f ca="1">VLOOKUP(Solver!B11,'Company data'!$B$5:$V$64,11,0)</f>
        <v>Mid Cap</v>
      </c>
      <c r="D11" s="456">
        <f ca="1">VLOOKUP(Solver!B11,'Company data'!$B$5:$V$64,4,0)</f>
        <v>0.2507427436556523</v>
      </c>
      <c r="E11" s="456">
        <f ca="1">VLOOKUP(Solver!B11,'Company data'!$B$5:$V$64,5,0)</f>
        <v>0.25760813249159192</v>
      </c>
      <c r="F11" s="459">
        <f ca="1">VLOOKUP(B11,'Company data'!$B$5:$V$64,20,0)</f>
        <v>53.333333333333336</v>
      </c>
      <c r="H11" s="479">
        <v>0</v>
      </c>
      <c r="I11" s="24" t="str">
        <f t="shared" si="4"/>
        <v/>
      </c>
      <c r="J11" s="464">
        <f t="shared" ca="1" si="0"/>
        <v>0</v>
      </c>
      <c r="K11" s="477">
        <f t="shared" ca="1" si="1"/>
        <v>0</v>
      </c>
      <c r="L11" s="43">
        <f t="shared" si="2"/>
        <v>0</v>
      </c>
      <c r="M11" s="472">
        <v>5.3664556256195044E-11</v>
      </c>
      <c r="N11" s="475">
        <f t="shared" si="5"/>
        <v>0</v>
      </c>
      <c r="O11" s="475">
        <f t="shared" ca="1" si="3"/>
        <v>6.7120554328936494E-11</v>
      </c>
      <c r="T11" s="51" t="s">
        <v>943</v>
      </c>
      <c r="U11" s="55" t="s">
        <v>944</v>
      </c>
      <c r="W11" s="558"/>
    </row>
    <row r="12" spans="2:25" ht="13" thickBot="1">
      <c r="B12" s="57" t="str">
        <f ca="1">Dashboard!H9</f>
        <v>Varun Beverages Ltd</v>
      </c>
      <c r="C12" s="35" t="str">
        <f ca="1">VLOOKUP(Solver!B12,'Company data'!$B$5:$V$64,11,0)</f>
        <v>Large Cap</v>
      </c>
      <c r="D12" s="456">
        <f ca="1">VLOOKUP(Solver!B12,'Company data'!$B$5:$V$64,4,0)</f>
        <v>0.50040371755633206</v>
      </c>
      <c r="E12" s="456">
        <f ca="1">VLOOKUP(Solver!B12,'Company data'!$B$5:$V$64,5,0)</f>
        <v>0.34128578041844143</v>
      </c>
      <c r="F12" s="459">
        <f ca="1">VLOOKUP(B12,'Company data'!$B$5:$V$64,20,0)</f>
        <v>48.666666666666664</v>
      </c>
      <c r="H12" s="479">
        <v>1</v>
      </c>
      <c r="I12" s="24" t="str">
        <f t="shared" ca="1" si="4"/>
        <v>Large Cap</v>
      </c>
      <c r="J12" s="464">
        <f t="shared" ca="1" si="0"/>
        <v>0.34128578041844143</v>
      </c>
      <c r="K12" s="477">
        <f t="shared" ca="1" si="1"/>
        <v>48.666666666666664</v>
      </c>
      <c r="L12" s="43">
        <f t="shared" si="2"/>
        <v>1000000</v>
      </c>
      <c r="M12" s="472">
        <v>200000.00000000108</v>
      </c>
      <c r="N12" s="475">
        <f t="shared" si="5"/>
        <v>50000</v>
      </c>
      <c r="O12" s="475">
        <f t="shared" ca="1" si="3"/>
        <v>300080.74351126805</v>
      </c>
      <c r="R12" s="56"/>
      <c r="S12" s="69" t="s">
        <v>965</v>
      </c>
      <c r="T12" s="46">
        <v>5</v>
      </c>
      <c r="U12" s="47">
        <v>5</v>
      </c>
      <c r="W12" s="490">
        <f>SUMPRODUCT(T4:U8,T12:U16)</f>
        <v>2.2000357091656013E-9</v>
      </c>
    </row>
    <row r="13" spans="2:25">
      <c r="B13" s="57" t="str">
        <f ca="1">Dashboard!I7</f>
        <v>Tata Consultancy Services Ltd</v>
      </c>
      <c r="C13" s="35" t="str">
        <f ca="1">VLOOKUP(Solver!B13,'Company data'!$B$5:$V$64,11,0)</f>
        <v>Large Cap</v>
      </c>
      <c r="D13" s="456">
        <f ca="1">VLOOKUP(Solver!B13,'Company data'!$B$5:$V$64,4,0)</f>
        <v>0.13278390410721419</v>
      </c>
      <c r="E13" s="456">
        <f ca="1">VLOOKUP(Solver!B13,'Company data'!$B$5:$V$64,5,0)</f>
        <v>0.21508055411169699</v>
      </c>
      <c r="F13" s="459">
        <f ca="1">VLOOKUP(B13,'Company data'!$B$5:$V$64,20,0)</f>
        <v>71.333333333333329</v>
      </c>
      <c r="H13" s="480">
        <v>1</v>
      </c>
      <c r="I13" s="24" t="str">
        <f t="shared" ca="1" si="4"/>
        <v>Large Cap</v>
      </c>
      <c r="J13" s="464">
        <f t="shared" ca="1" si="0"/>
        <v>0.21508055411169699</v>
      </c>
      <c r="K13" s="477">
        <f t="shared" ca="1" si="1"/>
        <v>71.333333333333329</v>
      </c>
      <c r="L13" s="43">
        <f t="shared" si="2"/>
        <v>1000000</v>
      </c>
      <c r="M13" s="472">
        <v>49999.999999999949</v>
      </c>
      <c r="N13" s="475">
        <f t="shared" si="5"/>
        <v>50000</v>
      </c>
      <c r="O13" s="475">
        <f t="shared" ca="1" si="3"/>
        <v>56639.195205360658</v>
      </c>
      <c r="R13" s="57"/>
      <c r="S13" s="70" t="s">
        <v>966</v>
      </c>
      <c r="T13" s="46">
        <v>5</v>
      </c>
      <c r="U13" s="47">
        <v>5</v>
      </c>
    </row>
    <row r="14" spans="2:25">
      <c r="B14" s="57" t="str">
        <f ca="1">Dashboard!I8</f>
        <v>Infosys Ltd</v>
      </c>
      <c r="C14" s="35" t="str">
        <f ca="1">VLOOKUP(Solver!B14,'Company data'!$B$5:$V$64,11,0)</f>
        <v>Large Cap</v>
      </c>
      <c r="D14" s="456">
        <f ca="1">VLOOKUP(Solver!B14,'Company data'!$B$5:$V$64,4,0)</f>
        <v>0.19783512771373279</v>
      </c>
      <c r="E14" s="456">
        <f ca="1">VLOOKUP(Solver!B14,'Company data'!$B$5:$V$64,5,0)</f>
        <v>0.27648483638080718</v>
      </c>
      <c r="F14" s="459">
        <f ca="1">VLOOKUP(B14,'Company data'!$B$5:$V$64,20,0)</f>
        <v>74.333333333333329</v>
      </c>
      <c r="H14" s="479">
        <v>0</v>
      </c>
      <c r="I14" s="24" t="str">
        <f t="shared" si="4"/>
        <v/>
      </c>
      <c r="J14" s="464">
        <f t="shared" ca="1" si="0"/>
        <v>0</v>
      </c>
      <c r="K14" s="477">
        <f t="shared" ca="1" si="1"/>
        <v>0</v>
      </c>
      <c r="L14" s="43">
        <f t="shared" si="2"/>
        <v>0</v>
      </c>
      <c r="M14" s="472">
        <v>0</v>
      </c>
      <c r="N14" s="475">
        <f t="shared" si="5"/>
        <v>0</v>
      </c>
      <c r="O14" s="475">
        <f t="shared" ca="1" si="3"/>
        <v>0</v>
      </c>
      <c r="R14" s="57"/>
      <c r="S14" s="70" t="s">
        <v>967</v>
      </c>
      <c r="T14" s="46">
        <v>5</v>
      </c>
      <c r="U14" s="47">
        <v>5</v>
      </c>
    </row>
    <row r="15" spans="2:25">
      <c r="B15" s="57" t="str">
        <f ca="1">Dashboard!I9</f>
        <v>Tata Elxsi Ltd</v>
      </c>
      <c r="C15" s="35" t="str">
        <f ca="1">VLOOKUP(Solver!B15,'Company data'!$B$5:$V$64,11,0)</f>
        <v>Large Cap</v>
      </c>
      <c r="D15" s="456">
        <f ca="1">VLOOKUP(Solver!B15,'Company data'!$B$5:$V$64,4,0)</f>
        <v>0.50017905895791692</v>
      </c>
      <c r="E15" s="456">
        <f ca="1">VLOOKUP(Solver!B15,'Company data'!$B$5:$V$64,5,0)</f>
        <v>0.49300141283348159</v>
      </c>
      <c r="F15" s="459">
        <f ca="1">VLOOKUP(B15,'Company data'!$B$5:$V$64,20,0)</f>
        <v>60</v>
      </c>
      <c r="H15" s="479">
        <v>0</v>
      </c>
      <c r="I15" s="24" t="str">
        <f t="shared" si="4"/>
        <v/>
      </c>
      <c r="J15" s="464">
        <f t="shared" ca="1" si="0"/>
        <v>0</v>
      </c>
      <c r="K15" s="477">
        <f t="shared" ca="1" si="1"/>
        <v>0</v>
      </c>
      <c r="L15" s="43">
        <f t="shared" si="2"/>
        <v>0</v>
      </c>
      <c r="M15" s="472">
        <v>0</v>
      </c>
      <c r="N15" s="475">
        <f t="shared" si="5"/>
        <v>0</v>
      </c>
      <c r="O15" s="475">
        <f t="shared" ca="1" si="3"/>
        <v>0</v>
      </c>
      <c r="R15" s="57"/>
      <c r="S15" s="70" t="s">
        <v>959</v>
      </c>
      <c r="T15" s="46">
        <v>0</v>
      </c>
      <c r="U15" s="47">
        <v>6</v>
      </c>
    </row>
    <row r="16" spans="2:25" ht="13" thickBot="1">
      <c r="B16" s="57" t="str">
        <f ca="1">Dashboard!J7</f>
        <v>Lemon Tree Hotels Ltd</v>
      </c>
      <c r="C16" s="35" t="str">
        <f ca="1">VLOOKUP(Solver!B16,'Company data'!$B$5:$V$64,11,0)</f>
        <v>Mid Cap</v>
      </c>
      <c r="D16" s="456">
        <f ca="1">VLOOKUP(Solver!B16,'Company data'!$B$5:$V$64,4,0)</f>
        <v>0.20020684663376448</v>
      </c>
      <c r="E16" s="456">
        <f ca="1">VLOOKUP(Solver!B16,'Company data'!$B$5:$V$64,5,0)</f>
        <v>0.47441341844754797</v>
      </c>
      <c r="F16" s="459">
        <f ca="1">VLOOKUP(B16,'Company data'!$B$5:$V$64,20,0)</f>
        <v>56.333333333333336</v>
      </c>
      <c r="H16" s="479">
        <v>1</v>
      </c>
      <c r="I16" s="24" t="str">
        <f t="shared" ca="1" si="4"/>
        <v>Mid Cap</v>
      </c>
      <c r="J16" s="464">
        <f t="shared" ca="1" si="0"/>
        <v>0.47441341844754797</v>
      </c>
      <c r="K16" s="477">
        <f t="shared" ca="1" si="1"/>
        <v>56.333333333333336</v>
      </c>
      <c r="L16" s="43">
        <f t="shared" si="2"/>
        <v>1000000</v>
      </c>
      <c r="M16" s="472">
        <v>150000.00000000501</v>
      </c>
      <c r="N16" s="475">
        <f t="shared" si="5"/>
        <v>50000</v>
      </c>
      <c r="O16" s="475">
        <f t="shared" ca="1" si="3"/>
        <v>180031.02699507069</v>
      </c>
      <c r="R16" s="58"/>
      <c r="S16" s="71" t="s">
        <v>960</v>
      </c>
      <c r="T16" s="48">
        <v>0</v>
      </c>
      <c r="U16" s="49">
        <v>10</v>
      </c>
    </row>
    <row r="17" spans="2:18" ht="13" thickBot="1">
      <c r="B17" s="57" t="str">
        <f ca="1">Dashboard!J8</f>
        <v>Indian Hotels Co Ltd</v>
      </c>
      <c r="C17" s="35" t="str">
        <f ca="1">VLOOKUP(Solver!B17,'Company data'!$B$5:$V$64,11,0)</f>
        <v>Large Cap</v>
      </c>
      <c r="D17" s="456">
        <f ca="1">VLOOKUP(Solver!B17,'Company data'!$B$5:$V$64,4,0)</f>
        <v>0.29857205792955321</v>
      </c>
      <c r="E17" s="456">
        <f ca="1">VLOOKUP(Solver!B17,'Company data'!$B$5:$V$64,5,0)</f>
        <v>0.40690698934066688</v>
      </c>
      <c r="F17" s="459">
        <f ca="1">VLOOKUP(B17,'Company data'!$B$5:$V$64,20,0)</f>
        <v>56</v>
      </c>
      <c r="H17" s="479">
        <v>0</v>
      </c>
      <c r="I17" s="24" t="str">
        <f t="shared" si="4"/>
        <v/>
      </c>
      <c r="J17" s="464">
        <f t="shared" ca="1" si="0"/>
        <v>0</v>
      </c>
      <c r="K17" s="477">
        <f t="shared" ca="1" si="1"/>
        <v>0</v>
      </c>
      <c r="L17" s="43">
        <f t="shared" si="2"/>
        <v>0</v>
      </c>
      <c r="M17" s="472">
        <v>0</v>
      </c>
      <c r="N17" s="475">
        <f t="shared" si="5"/>
        <v>0</v>
      </c>
      <c r="O17" s="475">
        <f t="shared" ca="1" si="3"/>
        <v>0</v>
      </c>
    </row>
    <row r="18" spans="2:18">
      <c r="B18" s="57" t="str">
        <f ca="1">Dashboard!J9</f>
        <v>EIH Ltd</v>
      </c>
      <c r="C18" s="35" t="str">
        <f ca="1">VLOOKUP(Solver!B18,'Company data'!$B$5:$V$64,11,0)</f>
        <v>Mid Cap</v>
      </c>
      <c r="D18" s="456">
        <f ca="1">VLOOKUP(Solver!B18,'Company data'!$B$5:$V$64,4,0)</f>
        <v>0.19561085127143341</v>
      </c>
      <c r="E18" s="456">
        <f ca="1">VLOOKUP(Solver!B18,'Company data'!$B$5:$V$64,5,0)</f>
        <v>0.45017915854713336</v>
      </c>
      <c r="F18" s="459">
        <f ca="1">VLOOKUP(B18,'Company data'!$B$5:$V$64,20,0)</f>
        <v>55.333333333333336</v>
      </c>
      <c r="H18" s="479">
        <v>1</v>
      </c>
      <c r="I18" s="24" t="str">
        <f t="shared" ca="1" si="4"/>
        <v>Mid Cap</v>
      </c>
      <c r="J18" s="464">
        <f t="shared" ca="1" si="0"/>
        <v>0.45017915854713336</v>
      </c>
      <c r="K18" s="477">
        <f t="shared" ca="1" si="1"/>
        <v>55.333333333333336</v>
      </c>
      <c r="L18" s="43">
        <f t="shared" si="2"/>
        <v>1000000</v>
      </c>
      <c r="M18" s="472">
        <v>49999.999999999891</v>
      </c>
      <c r="N18" s="475">
        <f t="shared" si="5"/>
        <v>50000</v>
      </c>
      <c r="O18" s="475">
        <f t="shared" ca="1" si="3"/>
        <v>59780.542563571536</v>
      </c>
      <c r="Q18" s="59" t="s">
        <v>949</v>
      </c>
      <c r="R18" s="84">
        <f ca="1">SUMIF($C$4:$C$21,"Large Cap",$H$4:$H$21)</f>
        <v>7</v>
      </c>
    </row>
    <row r="19" spans="2:18">
      <c r="B19" s="57" t="str">
        <f ca="1">Dashboard!K7</f>
        <v>Sumitomo Chemical India Ltd</v>
      </c>
      <c r="C19" s="35" t="str">
        <f ca="1">VLOOKUP(Solver!B19,'Company data'!$B$5:$V$64,11,0)</f>
        <v>Large Cap</v>
      </c>
      <c r="D19" s="456">
        <f ca="1">VLOOKUP(Solver!B19,'Company data'!$B$5:$V$64,4,0)</f>
        <v>0.13363208036125246</v>
      </c>
      <c r="E19" s="456">
        <f ca="1">VLOOKUP(Solver!B19,'Company data'!$B$5:$V$64,5,0)</f>
        <v>0.27202861125150329</v>
      </c>
      <c r="F19" s="459">
        <f ca="1">VLOOKUP(B19,'Company data'!$B$5:$V$64,20,0)</f>
        <v>40.633333333333333</v>
      </c>
      <c r="H19" s="479">
        <v>0</v>
      </c>
      <c r="I19" s="24" t="str">
        <f t="shared" si="4"/>
        <v/>
      </c>
      <c r="J19" s="464">
        <f t="shared" ca="1" si="0"/>
        <v>0</v>
      </c>
      <c r="K19" s="477">
        <f t="shared" ca="1" si="1"/>
        <v>0</v>
      </c>
      <c r="L19" s="43">
        <f t="shared" si="2"/>
        <v>0</v>
      </c>
      <c r="M19" s="472">
        <v>0</v>
      </c>
      <c r="N19" s="475">
        <f t="shared" si="5"/>
        <v>0</v>
      </c>
      <c r="O19" s="475">
        <f t="shared" ca="1" si="3"/>
        <v>0</v>
      </c>
      <c r="Q19" s="60" t="s">
        <v>950</v>
      </c>
      <c r="R19" s="85">
        <f ca="1">SUMIF($C$4:$C$21,"Mid Cap",$H$4:$H$21)</f>
        <v>3</v>
      </c>
    </row>
    <row r="20" spans="2:18" ht="13" thickBot="1">
      <c r="B20" s="57" t="str">
        <f ca="1">Dashboard!K8</f>
        <v>Sharda Cropchem Ltd</v>
      </c>
      <c r="C20" s="35" t="str">
        <f ca="1">VLOOKUP(Solver!B20,'Company data'!$B$5:$V$64,11,0)</f>
        <v>Small Cap</v>
      </c>
      <c r="D20" s="456">
        <f ca="1">VLOOKUP(Solver!B20,'Company data'!$B$5:$V$64,4,0)</f>
        <v>0.23204780892181254</v>
      </c>
      <c r="E20" s="456">
        <f ca="1">VLOOKUP(Solver!B20,'Company data'!$B$5:$V$64,5,0)</f>
        <v>0.61144572140024178</v>
      </c>
      <c r="F20" s="459">
        <f ca="1">VLOOKUP(B20,'Company data'!$B$5:$V$64,20,0)</f>
        <v>35.266666666666673</v>
      </c>
      <c r="H20" s="479">
        <v>0</v>
      </c>
      <c r="I20" s="24" t="str">
        <f t="shared" si="4"/>
        <v/>
      </c>
      <c r="J20" s="464">
        <f t="shared" ca="1" si="0"/>
        <v>0</v>
      </c>
      <c r="K20" s="477">
        <f t="shared" ca="1" si="1"/>
        <v>0</v>
      </c>
      <c r="L20" s="43">
        <f t="shared" si="2"/>
        <v>0</v>
      </c>
      <c r="M20" s="472">
        <v>0</v>
      </c>
      <c r="N20" s="475">
        <f t="shared" si="5"/>
        <v>0</v>
      </c>
      <c r="O20" s="475">
        <f t="shared" ca="1" si="3"/>
        <v>0</v>
      </c>
      <c r="Q20" s="61" t="s">
        <v>951</v>
      </c>
      <c r="R20" s="86">
        <f ca="1">SUMIF($C$4:$C$21,"Small Cap",$H$4:$H$21)</f>
        <v>0</v>
      </c>
    </row>
    <row r="21" spans="2:18" ht="13" thickBot="1">
      <c r="B21" s="58" t="str">
        <f ca="1">Dashboard!K9</f>
        <v>UPL Ltd</v>
      </c>
      <c r="C21" s="36" t="str">
        <f ca="1">VLOOKUP(Solver!B21,'Company data'!$B$5:$V$64,11,0)</f>
        <v>Large Cap</v>
      </c>
      <c r="D21" s="457">
        <f ca="1">VLOOKUP(Solver!B21,'Company data'!$B$5:$V$64,4,0)</f>
        <v>0.13956828553711442</v>
      </c>
      <c r="E21" s="457">
        <f ca="1">VLOOKUP(Solver!B21,'Company data'!$B$5:$V$64,5,0)</f>
        <v>0.38861720761570412</v>
      </c>
      <c r="F21" s="460">
        <f ca="1">VLOOKUP(B21,'Company data'!$B$5:$V$64,20,0)</f>
        <v>37.866666666666667</v>
      </c>
      <c r="H21" s="481">
        <v>1</v>
      </c>
      <c r="I21" s="26" t="str">
        <f t="shared" ca="1" si="4"/>
        <v>Large Cap</v>
      </c>
      <c r="J21" s="465">
        <f t="shared" ca="1" si="0"/>
        <v>0.38861720761570412</v>
      </c>
      <c r="K21" s="478">
        <f t="shared" ca="1" si="1"/>
        <v>37.866666666666667</v>
      </c>
      <c r="L21" s="44">
        <f t="shared" si="2"/>
        <v>1000000</v>
      </c>
      <c r="M21" s="473">
        <v>49999.999999999949</v>
      </c>
      <c r="N21" s="475">
        <f t="shared" si="5"/>
        <v>50000</v>
      </c>
      <c r="O21" s="475">
        <f t="shared" ca="1" si="3"/>
        <v>56978.41427685567</v>
      </c>
    </row>
    <row r="22" spans="2:18" ht="25.5" thickBot="1">
      <c r="H22" s="482">
        <f>SUM(H4:H21)</f>
        <v>10</v>
      </c>
      <c r="J22" s="468" t="s">
        <v>905</v>
      </c>
      <c r="K22" s="62" t="s">
        <v>906</v>
      </c>
      <c r="M22" s="32">
        <f>SUM(M4:M21)</f>
        <v>1000000.0000000063</v>
      </c>
      <c r="N22" s="50" t="s">
        <v>917</v>
      </c>
      <c r="O22" s="45">
        <f ca="1">SUM(O4:O21)</f>
        <v>1248022.6800213624</v>
      </c>
    </row>
    <row r="23" spans="2:18" ht="13" thickBot="1">
      <c r="H23" s="21" t="s">
        <v>899</v>
      </c>
      <c r="J23" s="469">
        <f ca="1">AVERAGEIF(J4:J21,"&gt;0")</f>
        <v>0.39294340827083729</v>
      </c>
      <c r="K23" s="470">
        <f ca="1">AVERAGEIF(K4:K21,"&gt;0")</f>
        <v>57.453333333333333</v>
      </c>
      <c r="M23" s="19" t="s">
        <v>899</v>
      </c>
      <c r="N23" s="555" t="s">
        <v>941</v>
      </c>
      <c r="O23" s="550">
        <f ca="1">(O22-M24)/M24</f>
        <v>0.24802268002136238</v>
      </c>
    </row>
    <row r="24" spans="2:18" ht="13" thickBot="1">
      <c r="C24" s="547" t="s">
        <v>898</v>
      </c>
      <c r="D24" s="548"/>
      <c r="E24" s="548"/>
      <c r="F24" s="548"/>
      <c r="G24" s="549"/>
      <c r="H24" s="41">
        <f>Dashboard!G12</f>
        <v>10</v>
      </c>
      <c r="I24" s="552" t="s">
        <v>915</v>
      </c>
      <c r="J24" s="553"/>
      <c r="K24" s="553"/>
      <c r="L24" s="554"/>
      <c r="M24" s="53">
        <f>Dashboard!G11</f>
        <v>1000000</v>
      </c>
      <c r="N24" s="556"/>
      <c r="O24" s="551"/>
    </row>
    <row r="25" spans="2:18" ht="13" thickBot="1">
      <c r="H25" s="33"/>
      <c r="N25" s="87"/>
    </row>
    <row r="26" spans="2:18">
      <c r="I26" s="42">
        <f>Dashboard!G11*0.05</f>
        <v>50000</v>
      </c>
      <c r="K26" s="466" t="s">
        <v>968</v>
      </c>
      <c r="M26" s="90">
        <f>Dashboard!I11</f>
        <v>0.6</v>
      </c>
      <c r="N26" s="91">
        <f>M26*$M$24</f>
        <v>600000</v>
      </c>
    </row>
    <row r="27" spans="2:18" ht="13" thickBot="1">
      <c r="I27" s="89" t="s">
        <v>975</v>
      </c>
      <c r="K27" s="467">
        <f ca="1">SUM(K4:K21)</f>
        <v>574.5333333333333</v>
      </c>
      <c r="M27" s="92">
        <f>Dashboard!I12</f>
        <v>0.2</v>
      </c>
      <c r="N27" s="25">
        <f>M27*$M$24</f>
        <v>200000</v>
      </c>
    </row>
    <row r="28" spans="2:18" ht="13" thickBot="1">
      <c r="M28" s="26"/>
      <c r="N28" s="27">
        <f>M24-N27-N26</f>
        <v>200000</v>
      </c>
    </row>
  </sheetData>
  <mergeCells count="5">
    <mergeCell ref="C24:G24"/>
    <mergeCell ref="O23:O24"/>
    <mergeCell ref="I24:L24"/>
    <mergeCell ref="N23:N24"/>
    <mergeCell ref="W10:W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outlinePr summaryBelow="0" summaryRight="0"/>
  </sheetPr>
  <dimension ref="A2:M65"/>
  <sheetViews>
    <sheetView showGridLines="0" zoomScaleNormal="100" workbookViewId="0">
      <selection activeCell="F19" sqref="F19"/>
    </sheetView>
  </sheetViews>
  <sheetFormatPr defaultColWidth="12.54296875" defaultRowHeight="15.75" customHeight="1"/>
  <cols>
    <col min="1" max="1" width="4.453125" bestFit="1" customWidth="1"/>
    <col min="2" max="2" width="14.453125" hidden="1" customWidth="1"/>
    <col min="3" max="3" width="21" bestFit="1" customWidth="1"/>
    <col min="4" max="4" width="17.54296875" bestFit="1" customWidth="1"/>
    <col min="5" max="5" width="15.7265625" bestFit="1" customWidth="1"/>
    <col min="6" max="6" width="19.81640625" bestFit="1" customWidth="1"/>
    <col min="7" max="7" width="39" bestFit="1" customWidth="1"/>
    <col min="8" max="8" width="100.26953125" bestFit="1" customWidth="1"/>
    <col min="9" max="9" width="29.54296875" bestFit="1" customWidth="1"/>
    <col min="10" max="10" width="19.54296875" bestFit="1" customWidth="1"/>
    <col min="11" max="11" width="31" bestFit="1" customWidth="1"/>
    <col min="12" max="12" width="44.81640625" bestFit="1" customWidth="1"/>
    <col min="13" max="13" width="19" bestFit="1" customWidth="1"/>
  </cols>
  <sheetData>
    <row r="2" spans="1:13" ht="13">
      <c r="B2" s="6"/>
      <c r="C2" s="6" t="s">
        <v>4</v>
      </c>
    </row>
    <row r="3" spans="1:13" ht="15.75" customHeight="1" thickBot="1"/>
    <row r="4" spans="1:13" ht="15.75" customHeight="1" thickBot="1">
      <c r="A4" s="450" t="s">
        <v>5</v>
      </c>
      <c r="B4" s="451"/>
      <c r="C4" s="451" t="s">
        <v>6</v>
      </c>
      <c r="D4" s="451" t="s">
        <v>7</v>
      </c>
      <c r="E4" s="451" t="s">
        <v>8</v>
      </c>
      <c r="F4" s="451" t="s">
        <v>9</v>
      </c>
      <c r="G4" s="452" t="s">
        <v>10</v>
      </c>
      <c r="H4" s="451" t="s">
        <v>11</v>
      </c>
      <c r="I4" s="452" t="s">
        <v>12</v>
      </c>
      <c r="J4" s="453" t="s">
        <v>13</v>
      </c>
      <c r="K4" s="452" t="s">
        <v>14</v>
      </c>
      <c r="L4" s="451" t="s">
        <v>15</v>
      </c>
      <c r="M4" s="454" t="s">
        <v>16</v>
      </c>
    </row>
    <row r="5" spans="1:13" ht="15.75" customHeight="1">
      <c r="A5" s="424">
        <v>1</v>
      </c>
      <c r="B5" s="426"/>
      <c r="C5" s="429" t="s">
        <v>17</v>
      </c>
      <c r="D5" s="432">
        <v>0.128</v>
      </c>
      <c r="E5" s="432">
        <v>8.7999999999999995E-2</v>
      </c>
      <c r="F5" s="437">
        <v>660</v>
      </c>
      <c r="G5" s="442" t="s">
        <v>18</v>
      </c>
      <c r="H5" s="445" t="s">
        <v>19</v>
      </c>
      <c r="I5" s="442" t="s">
        <v>20</v>
      </c>
      <c r="J5" s="447" t="s">
        <v>21</v>
      </c>
      <c r="K5" s="442" t="s">
        <v>21</v>
      </c>
      <c r="L5" s="445" t="s">
        <v>22</v>
      </c>
      <c r="M5" s="421"/>
    </row>
    <row r="6" spans="1:13" ht="15.75" customHeight="1">
      <c r="A6" s="424">
        <v>2</v>
      </c>
      <c r="B6" s="426"/>
      <c r="C6" s="429" t="s">
        <v>23</v>
      </c>
      <c r="D6" s="432">
        <v>8.5000000000000006E-2</v>
      </c>
      <c r="E6" s="432">
        <v>3.1E-2</v>
      </c>
      <c r="F6" s="437">
        <v>350</v>
      </c>
      <c r="G6" s="442" t="s">
        <v>24</v>
      </c>
      <c r="H6" s="445" t="s">
        <v>25</v>
      </c>
      <c r="I6" s="442" t="s">
        <v>20</v>
      </c>
      <c r="J6" s="447" t="s">
        <v>21</v>
      </c>
      <c r="K6" s="442" t="s">
        <v>21</v>
      </c>
      <c r="L6" s="429" t="s">
        <v>26</v>
      </c>
      <c r="M6" s="421"/>
    </row>
    <row r="7" spans="1:13" ht="15.75" customHeight="1">
      <c r="A7" s="424">
        <v>3</v>
      </c>
      <c r="B7" s="426"/>
      <c r="C7" s="430" t="s">
        <v>922</v>
      </c>
      <c r="D7" s="432">
        <v>8.5000000000000006E-2</v>
      </c>
      <c r="E7" s="432">
        <v>1.2999999999999999E-2</v>
      </c>
      <c r="F7" s="437">
        <v>9.82</v>
      </c>
      <c r="G7" s="443" t="s">
        <v>28</v>
      </c>
      <c r="H7" s="445" t="s">
        <v>29</v>
      </c>
      <c r="I7" s="443" t="s">
        <v>30</v>
      </c>
      <c r="J7" s="448" t="s">
        <v>21</v>
      </c>
      <c r="K7" s="442" t="s">
        <v>21</v>
      </c>
      <c r="L7" s="445" t="s">
        <v>31</v>
      </c>
      <c r="M7" s="422"/>
    </row>
    <row r="8" spans="1:13" ht="25">
      <c r="A8" s="424">
        <v>4</v>
      </c>
      <c r="B8" s="427"/>
      <c r="C8" s="430" t="s">
        <v>891</v>
      </c>
      <c r="D8" s="432">
        <v>0.11310000000000001</v>
      </c>
      <c r="E8" s="432">
        <v>8.5000000000000006E-2</v>
      </c>
      <c r="F8" s="437">
        <v>245</v>
      </c>
      <c r="G8" s="443" t="s">
        <v>28</v>
      </c>
      <c r="H8" s="445" t="s">
        <v>33</v>
      </c>
      <c r="I8" s="443" t="s">
        <v>20</v>
      </c>
      <c r="J8" s="448" t="s">
        <v>21</v>
      </c>
      <c r="K8" s="443" t="s">
        <v>34</v>
      </c>
      <c r="L8" s="445" t="s">
        <v>35</v>
      </c>
      <c r="M8" s="422"/>
    </row>
    <row r="9" spans="1:13" ht="25">
      <c r="A9" s="424">
        <v>5</v>
      </c>
      <c r="B9" s="427"/>
      <c r="C9" s="430" t="s">
        <v>892</v>
      </c>
      <c r="D9" s="433">
        <v>0.1</v>
      </c>
      <c r="E9" s="432">
        <v>7.4999999999999997E-2</v>
      </c>
      <c r="F9" s="438">
        <v>10.55</v>
      </c>
      <c r="G9" s="443" t="s">
        <v>24</v>
      </c>
      <c r="H9" s="445" t="s">
        <v>36</v>
      </c>
      <c r="I9" s="443" t="s">
        <v>20</v>
      </c>
      <c r="J9" s="448" t="s">
        <v>21</v>
      </c>
      <c r="K9" s="443" t="s">
        <v>21</v>
      </c>
      <c r="L9" s="445" t="s">
        <v>37</v>
      </c>
      <c r="M9" s="422"/>
    </row>
    <row r="10" spans="1:13" ht="25">
      <c r="A10" s="424">
        <v>6</v>
      </c>
      <c r="B10" s="427"/>
      <c r="C10" s="430" t="s">
        <v>38</v>
      </c>
      <c r="D10" s="432">
        <v>9.7000000000000003E-2</v>
      </c>
      <c r="E10" s="432">
        <v>3.8E-3</v>
      </c>
      <c r="F10" s="437">
        <v>26</v>
      </c>
      <c r="G10" s="443" t="s">
        <v>24</v>
      </c>
      <c r="H10" s="445" t="s">
        <v>39</v>
      </c>
      <c r="I10" s="443" t="s">
        <v>20</v>
      </c>
      <c r="J10" s="448" t="s">
        <v>21</v>
      </c>
      <c r="K10" s="443" t="s">
        <v>34</v>
      </c>
      <c r="L10" s="445" t="s">
        <v>40</v>
      </c>
      <c r="M10" s="422"/>
    </row>
    <row r="11" spans="1:13" ht="25">
      <c r="A11" s="424">
        <v>7</v>
      </c>
      <c r="B11" s="427"/>
      <c r="C11" s="430" t="s">
        <v>41</v>
      </c>
      <c r="D11" s="433">
        <v>0.1</v>
      </c>
      <c r="E11" s="432">
        <v>7.6999999999999999E-2</v>
      </c>
      <c r="F11" s="437">
        <v>1800</v>
      </c>
      <c r="G11" s="443" t="s">
        <v>24</v>
      </c>
      <c r="H11" s="445" t="s">
        <v>42</v>
      </c>
      <c r="I11" s="443" t="s">
        <v>43</v>
      </c>
      <c r="J11" s="448" t="s">
        <v>21</v>
      </c>
      <c r="K11" s="443" t="s">
        <v>21</v>
      </c>
      <c r="L11" s="430" t="s">
        <v>44</v>
      </c>
      <c r="M11" s="422"/>
    </row>
    <row r="12" spans="1:13" ht="37.5">
      <c r="A12" s="424">
        <v>8</v>
      </c>
      <c r="B12" s="427"/>
      <c r="C12" s="430" t="s">
        <v>893</v>
      </c>
      <c r="D12" s="432">
        <v>4.4999999999999998E-2</v>
      </c>
      <c r="E12" s="432">
        <v>2.7E-2</v>
      </c>
      <c r="F12" s="437">
        <v>558</v>
      </c>
      <c r="G12" s="443" t="s">
        <v>45</v>
      </c>
      <c r="H12" s="445" t="s">
        <v>46</v>
      </c>
      <c r="I12" s="443" t="s">
        <v>43</v>
      </c>
      <c r="J12" s="448" t="s">
        <v>34</v>
      </c>
      <c r="K12" s="443" t="s">
        <v>21</v>
      </c>
      <c r="L12" s="430" t="s">
        <v>47</v>
      </c>
      <c r="M12" s="422"/>
    </row>
    <row r="13" spans="1:13" ht="25">
      <c r="A13" s="424">
        <v>9</v>
      </c>
      <c r="B13" s="427"/>
      <c r="C13" s="430" t="s">
        <v>70</v>
      </c>
      <c r="D13" s="433">
        <v>0.09</v>
      </c>
      <c r="E13" s="435">
        <v>1.2E-2</v>
      </c>
      <c r="F13" s="439">
        <v>8.2899999999999991</v>
      </c>
      <c r="G13" s="443" t="s">
        <v>45</v>
      </c>
      <c r="H13" s="445" t="s">
        <v>48</v>
      </c>
      <c r="I13" s="443" t="s">
        <v>20</v>
      </c>
      <c r="J13" s="448" t="s">
        <v>21</v>
      </c>
      <c r="K13" s="443" t="s">
        <v>21</v>
      </c>
      <c r="L13" s="445" t="s">
        <v>49</v>
      </c>
      <c r="M13" s="422"/>
    </row>
    <row r="14" spans="1:13" ht="15.75" customHeight="1">
      <c r="A14" s="424">
        <v>10</v>
      </c>
      <c r="B14" s="426"/>
      <c r="C14" s="429" t="s">
        <v>79</v>
      </c>
      <c r="D14" s="433">
        <v>0.08</v>
      </c>
      <c r="E14" s="432">
        <v>7.0999999999999994E-2</v>
      </c>
      <c r="F14" s="440">
        <v>220</v>
      </c>
      <c r="G14" s="442" t="s">
        <v>18</v>
      </c>
      <c r="H14" s="445" t="s">
        <v>51</v>
      </c>
      <c r="I14" s="442" t="s">
        <v>20</v>
      </c>
      <c r="J14" s="447" t="s">
        <v>21</v>
      </c>
      <c r="K14" s="442" t="s">
        <v>21</v>
      </c>
      <c r="L14" s="429" t="s">
        <v>52</v>
      </c>
      <c r="M14" s="422"/>
    </row>
    <row r="15" spans="1:13" ht="37.5">
      <c r="A15" s="424">
        <v>11</v>
      </c>
      <c r="B15" s="427"/>
      <c r="C15" s="430" t="s">
        <v>53</v>
      </c>
      <c r="D15" s="433">
        <v>0.224</v>
      </c>
      <c r="E15" s="432">
        <v>1.72E-2</v>
      </c>
      <c r="F15" s="437">
        <v>42</v>
      </c>
      <c r="G15" s="443" t="s">
        <v>18</v>
      </c>
      <c r="H15" s="445" t="s">
        <v>54</v>
      </c>
      <c r="I15" s="443" t="s">
        <v>55</v>
      </c>
      <c r="J15" s="448" t="s">
        <v>34</v>
      </c>
      <c r="K15" s="443" t="s">
        <v>21</v>
      </c>
      <c r="L15" s="445" t="s">
        <v>56</v>
      </c>
      <c r="M15" s="422"/>
    </row>
    <row r="16" spans="1:13" ht="38" thickBot="1">
      <c r="A16" s="425">
        <v>12</v>
      </c>
      <c r="B16" s="428"/>
      <c r="C16" s="431" t="s">
        <v>57</v>
      </c>
      <c r="D16" s="434">
        <v>0.15</v>
      </c>
      <c r="E16" s="436">
        <v>8.1000000000000003E-2</v>
      </c>
      <c r="F16" s="441">
        <v>1000</v>
      </c>
      <c r="G16" s="444" t="s">
        <v>18</v>
      </c>
      <c r="H16" s="446" t="s">
        <v>58</v>
      </c>
      <c r="I16" s="444" t="s">
        <v>59</v>
      </c>
      <c r="J16" s="449" t="s">
        <v>34</v>
      </c>
      <c r="K16" s="444" t="s">
        <v>21</v>
      </c>
      <c r="L16" s="446" t="s">
        <v>60</v>
      </c>
      <c r="M16" s="423"/>
    </row>
    <row r="23" spans="2:9" ht="12.5">
      <c r="B23" s="559" t="s">
        <v>61</v>
      </c>
      <c r="C23" s="560"/>
      <c r="D23" s="561" t="s">
        <v>62</v>
      </c>
      <c r="E23" s="562"/>
      <c r="F23" s="8" t="s">
        <v>63</v>
      </c>
    </row>
    <row r="24" spans="2:9" ht="14">
      <c r="B24" s="563"/>
      <c r="C24" s="560"/>
      <c r="D24" s="9" t="s">
        <v>64</v>
      </c>
      <c r="E24" s="9" t="s">
        <v>65</v>
      </c>
      <c r="F24" s="9" t="s">
        <v>8</v>
      </c>
    </row>
    <row r="25" spans="2:9" ht="14">
      <c r="B25" s="563" t="s">
        <v>66</v>
      </c>
      <c r="C25" s="560"/>
      <c r="D25" s="10">
        <v>13000</v>
      </c>
      <c r="E25" s="7">
        <v>0.1</v>
      </c>
      <c r="F25" s="7">
        <v>0.53800000000000003</v>
      </c>
    </row>
    <row r="26" spans="2:9" ht="14">
      <c r="B26" s="563" t="s">
        <v>67</v>
      </c>
      <c r="C26" s="560"/>
      <c r="D26" s="9">
        <v>2800</v>
      </c>
      <c r="E26" s="11">
        <v>0.09</v>
      </c>
      <c r="F26" s="7">
        <v>0.122</v>
      </c>
    </row>
    <row r="27" spans="2:9" ht="14">
      <c r="B27" s="563" t="s">
        <v>68</v>
      </c>
      <c r="C27" s="560"/>
      <c r="D27" s="10">
        <v>2000</v>
      </c>
      <c r="E27" s="7">
        <v>0.15</v>
      </c>
      <c r="F27" s="7">
        <v>0.17899999999999999</v>
      </c>
    </row>
    <row r="28" spans="2:9" ht="14">
      <c r="B28" s="563" t="s">
        <v>57</v>
      </c>
      <c r="C28" s="560"/>
      <c r="D28" s="10">
        <v>1000</v>
      </c>
      <c r="E28" s="7">
        <v>0.15</v>
      </c>
      <c r="F28" s="7">
        <v>8.1000000000000003E-2</v>
      </c>
    </row>
    <row r="29" spans="2:9" ht="14">
      <c r="B29" s="563" t="s">
        <v>17</v>
      </c>
      <c r="C29" s="560"/>
      <c r="D29" s="10">
        <v>600</v>
      </c>
      <c r="E29" s="7">
        <v>0.12</v>
      </c>
      <c r="F29" s="7">
        <v>0.105</v>
      </c>
    </row>
    <row r="30" spans="2:9" ht="14">
      <c r="B30" s="563" t="s">
        <v>69</v>
      </c>
      <c r="C30" s="560"/>
      <c r="D30" s="10">
        <v>450</v>
      </c>
      <c r="E30" s="7">
        <v>0.08</v>
      </c>
      <c r="F30" s="7">
        <v>0.25900000000000001</v>
      </c>
    </row>
    <row r="31" spans="2:9" ht="14">
      <c r="B31" s="563" t="s">
        <v>70</v>
      </c>
      <c r="C31" s="560"/>
      <c r="D31" s="10">
        <v>380</v>
      </c>
      <c r="E31" s="7">
        <v>7.0000000000000007E-2</v>
      </c>
      <c r="F31" s="7">
        <v>2.7E-2</v>
      </c>
      <c r="H31" s="12"/>
      <c r="I31" s="13"/>
    </row>
    <row r="32" spans="2:9" ht="14">
      <c r="B32" s="563" t="s">
        <v>71</v>
      </c>
      <c r="C32" s="560"/>
      <c r="D32" s="9">
        <v>366</v>
      </c>
      <c r="E32" s="11">
        <v>3.5000000000000003E-2</v>
      </c>
      <c r="F32" s="7">
        <v>0.154</v>
      </c>
      <c r="H32" s="12"/>
      <c r="I32" s="13"/>
    </row>
    <row r="33" spans="2:9" ht="14">
      <c r="B33" s="563" t="s">
        <v>72</v>
      </c>
      <c r="C33" s="560"/>
      <c r="D33" s="10">
        <v>350</v>
      </c>
      <c r="E33" s="7">
        <v>0.1</v>
      </c>
      <c r="F33" s="7">
        <v>0.04</v>
      </c>
      <c r="H33" s="12"/>
      <c r="I33" s="13"/>
    </row>
    <row r="34" spans="2:9" ht="14">
      <c r="B34" s="563" t="s">
        <v>53</v>
      </c>
      <c r="C34" s="560"/>
      <c r="D34" s="10">
        <v>350</v>
      </c>
      <c r="E34" s="7">
        <v>0.15</v>
      </c>
      <c r="F34" s="7">
        <v>3.5000000000000003E-2</v>
      </c>
      <c r="H34" s="12"/>
      <c r="I34" s="13"/>
    </row>
    <row r="35" spans="2:9" ht="14">
      <c r="B35" s="563" t="s">
        <v>73</v>
      </c>
      <c r="C35" s="560"/>
      <c r="D35" s="10">
        <v>280</v>
      </c>
      <c r="E35" s="7">
        <v>0.1</v>
      </c>
      <c r="F35" s="7">
        <v>2.8000000000000001E-2</v>
      </c>
      <c r="H35" s="12"/>
      <c r="I35" s="13"/>
    </row>
    <row r="36" spans="2:9" ht="14">
      <c r="B36" s="563" t="s">
        <v>74</v>
      </c>
      <c r="C36" s="560"/>
      <c r="D36" s="10">
        <v>250</v>
      </c>
      <c r="E36" s="7">
        <v>0.25</v>
      </c>
      <c r="F36" s="7">
        <v>1.2999999999999999E-2</v>
      </c>
      <c r="H36" s="12"/>
      <c r="I36" s="13"/>
    </row>
    <row r="37" spans="2:9" ht="14">
      <c r="B37" s="563" t="s">
        <v>75</v>
      </c>
      <c r="C37" s="560"/>
      <c r="D37" s="10">
        <v>240</v>
      </c>
      <c r="E37" s="7">
        <v>0.12</v>
      </c>
      <c r="F37" s="7">
        <v>0.03</v>
      </c>
      <c r="H37" s="12"/>
      <c r="I37" s="13"/>
    </row>
    <row r="38" spans="2:9" ht="14">
      <c r="B38" s="563" t="s">
        <v>76</v>
      </c>
      <c r="C38" s="560"/>
      <c r="D38" s="10">
        <v>240</v>
      </c>
      <c r="E38" s="7">
        <v>7.0000000000000007E-2</v>
      </c>
      <c r="F38" s="7">
        <v>2.4E-2</v>
      </c>
      <c r="H38" s="12"/>
      <c r="I38" s="13"/>
    </row>
    <row r="39" spans="2:9" ht="14">
      <c r="B39" s="563" t="s">
        <v>77</v>
      </c>
      <c r="C39" s="560"/>
      <c r="D39" s="10">
        <v>240</v>
      </c>
      <c r="E39" s="7">
        <v>0.12</v>
      </c>
      <c r="F39" s="7">
        <v>1.7999999999999999E-2</v>
      </c>
      <c r="H39" s="12"/>
      <c r="I39" s="13"/>
    </row>
    <row r="40" spans="2:9" ht="14">
      <c r="B40" s="563" t="s">
        <v>78</v>
      </c>
      <c r="C40" s="560"/>
      <c r="D40" s="10">
        <v>220</v>
      </c>
      <c r="E40" s="7">
        <v>0.1</v>
      </c>
      <c r="F40" s="7">
        <v>8.8999999999999996E-2</v>
      </c>
      <c r="H40" s="12"/>
      <c r="I40" s="13"/>
    </row>
    <row r="41" spans="2:9" ht="14">
      <c r="B41" s="563" t="s">
        <v>79</v>
      </c>
      <c r="C41" s="560"/>
      <c r="D41" s="9">
        <v>220</v>
      </c>
      <c r="E41" s="11">
        <v>0.09</v>
      </c>
      <c r="F41" s="7">
        <v>3.5999999999999997E-2</v>
      </c>
      <c r="H41" s="12"/>
      <c r="I41" s="13"/>
    </row>
    <row r="42" spans="2:9" ht="14">
      <c r="B42" s="563" t="s">
        <v>80</v>
      </c>
      <c r="C42" s="560"/>
      <c r="D42" s="10">
        <v>220</v>
      </c>
      <c r="E42" s="7">
        <v>0.12</v>
      </c>
      <c r="F42" s="7">
        <v>2.1999999999999999E-2</v>
      </c>
      <c r="H42" s="12"/>
      <c r="I42" s="13"/>
    </row>
    <row r="43" spans="2:9" ht="14">
      <c r="B43" s="563" t="s">
        <v>81</v>
      </c>
      <c r="C43" s="560"/>
      <c r="D43" s="10">
        <v>200</v>
      </c>
      <c r="E43" s="7">
        <v>0.1</v>
      </c>
      <c r="F43" s="7">
        <v>0.02</v>
      </c>
      <c r="H43" s="12"/>
      <c r="I43" s="13"/>
    </row>
    <row r="44" spans="2:9" ht="14">
      <c r="B44" s="563" t="s">
        <v>82</v>
      </c>
      <c r="C44" s="560"/>
      <c r="D44" s="10">
        <v>190</v>
      </c>
      <c r="E44" s="7">
        <v>0.09</v>
      </c>
      <c r="F44" s="7">
        <v>6.2E-2</v>
      </c>
      <c r="H44" s="12"/>
      <c r="I44" s="13"/>
    </row>
    <row r="45" spans="2:9" ht="14">
      <c r="B45" s="563" t="s">
        <v>83</v>
      </c>
      <c r="C45" s="560"/>
      <c r="D45" s="10">
        <v>180</v>
      </c>
      <c r="E45" s="7">
        <v>0.12</v>
      </c>
      <c r="F45" s="7">
        <v>2.8000000000000001E-2</v>
      </c>
      <c r="H45" s="12"/>
      <c r="I45" s="13"/>
    </row>
    <row r="46" spans="2:9" ht="14">
      <c r="B46" s="563" t="s">
        <v>84</v>
      </c>
      <c r="C46" s="560"/>
      <c r="D46" s="10">
        <v>160</v>
      </c>
      <c r="E46" s="7">
        <v>0.08</v>
      </c>
      <c r="F46" s="7">
        <v>5.8000000000000003E-2</v>
      </c>
      <c r="H46" s="12"/>
      <c r="I46" s="13"/>
    </row>
    <row r="47" spans="2:9" ht="14">
      <c r="B47" s="563" t="s">
        <v>85</v>
      </c>
      <c r="C47" s="560"/>
      <c r="D47" s="10">
        <v>160</v>
      </c>
      <c r="E47" s="7">
        <v>0.06</v>
      </c>
      <c r="F47" s="7">
        <v>3.1E-2</v>
      </c>
      <c r="H47" s="12"/>
    </row>
    <row r="48" spans="2:9" ht="14">
      <c r="B48" s="563" t="s">
        <v>86</v>
      </c>
      <c r="C48" s="560"/>
      <c r="D48" s="10">
        <v>150</v>
      </c>
      <c r="E48" s="7">
        <v>0.2</v>
      </c>
      <c r="F48" s="7">
        <v>4.2000000000000003E-2</v>
      </c>
      <c r="H48" s="12"/>
    </row>
    <row r="49" spans="2:8" ht="14">
      <c r="B49" s="563" t="s">
        <v>87</v>
      </c>
      <c r="C49" s="560"/>
      <c r="D49" s="10">
        <v>150</v>
      </c>
      <c r="E49" s="7">
        <v>0.06</v>
      </c>
      <c r="F49" s="7">
        <v>2.7E-2</v>
      </c>
      <c r="H49" s="12"/>
    </row>
    <row r="50" spans="2:8" ht="14">
      <c r="B50" s="563" t="s">
        <v>88</v>
      </c>
      <c r="C50" s="560"/>
      <c r="D50" s="10">
        <v>150</v>
      </c>
      <c r="E50" s="7">
        <v>0.12</v>
      </c>
      <c r="F50" s="7">
        <v>0.02</v>
      </c>
      <c r="H50" s="12"/>
    </row>
    <row r="51" spans="2:8" ht="14">
      <c r="B51" s="563" t="s">
        <v>89</v>
      </c>
      <c r="C51" s="560"/>
      <c r="D51" s="10">
        <v>140</v>
      </c>
      <c r="E51" s="7">
        <v>7.0000000000000007E-2</v>
      </c>
      <c r="F51" s="7">
        <v>2.3E-2</v>
      </c>
      <c r="H51" s="12"/>
    </row>
    <row r="52" spans="2:8" ht="14">
      <c r="B52" s="563" t="s">
        <v>90</v>
      </c>
      <c r="C52" s="560"/>
      <c r="D52" s="10">
        <v>140</v>
      </c>
      <c r="E52" s="7">
        <v>0.12</v>
      </c>
      <c r="F52" s="7">
        <v>8.0000000000000002E-3</v>
      </c>
      <c r="H52" s="12"/>
    </row>
    <row r="53" spans="2:8" ht="14">
      <c r="B53" s="563" t="s">
        <v>91</v>
      </c>
      <c r="C53" s="560"/>
      <c r="D53" s="10">
        <v>120</v>
      </c>
      <c r="E53" s="7">
        <v>0.12</v>
      </c>
      <c r="F53" s="7">
        <v>7.2999999999999995E-2</v>
      </c>
      <c r="H53" s="12"/>
    </row>
    <row r="54" spans="2:8" ht="14">
      <c r="B54" s="563" t="s">
        <v>92</v>
      </c>
      <c r="C54" s="560"/>
      <c r="D54" s="10">
        <v>120</v>
      </c>
      <c r="E54" s="7">
        <v>7.0000000000000007E-2</v>
      </c>
      <c r="F54" s="7">
        <v>2.7E-2</v>
      </c>
      <c r="H54" s="12"/>
    </row>
    <row r="55" spans="2:8" ht="14">
      <c r="B55" s="563" t="s">
        <v>93</v>
      </c>
      <c r="C55" s="560"/>
      <c r="D55" s="10">
        <v>120</v>
      </c>
      <c r="E55" s="7">
        <v>0.2</v>
      </c>
      <c r="F55" s="7">
        <v>1.2E-2</v>
      </c>
      <c r="H55" s="12"/>
    </row>
    <row r="56" spans="2:8" ht="14">
      <c r="B56" s="563" t="s">
        <v>94</v>
      </c>
      <c r="C56" s="560"/>
      <c r="D56" s="10">
        <v>110</v>
      </c>
      <c r="E56" s="7">
        <v>0.15</v>
      </c>
      <c r="F56" s="7">
        <v>3.3000000000000002E-2</v>
      </c>
    </row>
    <row r="57" spans="2:8" ht="14">
      <c r="B57" s="563" t="s">
        <v>95</v>
      </c>
      <c r="C57" s="560"/>
      <c r="D57" s="10">
        <v>100</v>
      </c>
      <c r="E57" s="7">
        <v>0.12</v>
      </c>
      <c r="F57" s="7">
        <v>4.2999999999999997E-2</v>
      </c>
    </row>
    <row r="58" spans="2:8" ht="14">
      <c r="B58" s="563" t="s">
        <v>96</v>
      </c>
      <c r="C58" s="560"/>
      <c r="D58" s="10">
        <v>100</v>
      </c>
      <c r="E58" s="7">
        <v>0.3</v>
      </c>
      <c r="F58" s="7">
        <v>1.2E-2</v>
      </c>
    </row>
    <row r="59" spans="2:8" ht="14">
      <c r="B59" s="563" t="s">
        <v>97</v>
      </c>
      <c r="C59" s="560"/>
      <c r="D59" s="10">
        <v>80</v>
      </c>
      <c r="E59" s="7">
        <v>0.25</v>
      </c>
      <c r="F59" s="7">
        <v>0.04</v>
      </c>
    </row>
    <row r="60" spans="2:8" ht="14">
      <c r="B60" s="563" t="s">
        <v>98</v>
      </c>
      <c r="C60" s="560"/>
      <c r="D60" s="10">
        <v>80</v>
      </c>
      <c r="E60" s="7">
        <v>0.2</v>
      </c>
      <c r="F60" s="7">
        <v>4.0000000000000001E-3</v>
      </c>
    </row>
    <row r="61" spans="2:8" ht="14">
      <c r="B61" s="563" t="s">
        <v>99</v>
      </c>
      <c r="C61" s="560"/>
      <c r="D61" s="9">
        <v>75</v>
      </c>
      <c r="E61" s="11">
        <v>0.08</v>
      </c>
      <c r="F61" s="7">
        <v>2.5000000000000001E-2</v>
      </c>
    </row>
    <row r="62" spans="2:8" ht="14">
      <c r="B62" s="563" t="s">
        <v>100</v>
      </c>
      <c r="C62" s="560"/>
      <c r="D62" s="10">
        <v>60</v>
      </c>
      <c r="E62" s="7">
        <v>7.0000000000000007E-2</v>
      </c>
      <c r="F62" s="7">
        <v>1.6E-2</v>
      </c>
    </row>
    <row r="63" spans="2:8" ht="14">
      <c r="B63" s="563" t="s">
        <v>101</v>
      </c>
      <c r="C63" s="560"/>
      <c r="D63" s="10">
        <v>50</v>
      </c>
      <c r="E63" s="7">
        <v>0.2</v>
      </c>
      <c r="F63" s="7">
        <v>0.01</v>
      </c>
    </row>
    <row r="64" spans="2:8" ht="14">
      <c r="B64" s="563" t="s">
        <v>102</v>
      </c>
      <c r="C64" s="560"/>
      <c r="D64" s="10">
        <v>15</v>
      </c>
      <c r="E64" s="7">
        <v>0.12</v>
      </c>
      <c r="F64" s="7">
        <v>2E-3</v>
      </c>
    </row>
    <row r="65" spans="2:6" ht="14">
      <c r="B65" s="563" t="s">
        <v>103</v>
      </c>
      <c r="C65" s="560"/>
      <c r="D65" s="9">
        <v>10.89</v>
      </c>
      <c r="E65" s="11">
        <v>2.87E-2</v>
      </c>
      <c r="F65" s="7">
        <v>1.2E-2</v>
      </c>
    </row>
  </sheetData>
  <autoFilter ref="B24:F65" xr:uid="{00000000-0009-0000-0000-000001000000}">
    <sortState xmlns:xlrd2="http://schemas.microsoft.com/office/spreadsheetml/2017/richdata2" ref="B24:F65">
      <sortCondition descending="1" ref="D24:D65"/>
      <sortCondition descending="1" ref="F24:F65"/>
    </sortState>
  </autoFilter>
  <mergeCells count="44">
    <mergeCell ref="B64:C64"/>
    <mergeCell ref="B65:C65"/>
    <mergeCell ref="B57:C57"/>
    <mergeCell ref="B58:C58"/>
    <mergeCell ref="B59:C59"/>
    <mergeCell ref="B60:C60"/>
    <mergeCell ref="B61:C61"/>
    <mergeCell ref="B62:C62"/>
    <mergeCell ref="B63:C63"/>
    <mergeCell ref="B52:C52"/>
    <mergeCell ref="B53:C53"/>
    <mergeCell ref="B54:C54"/>
    <mergeCell ref="B55:C55"/>
    <mergeCell ref="B56:C56"/>
    <mergeCell ref="B47:C47"/>
    <mergeCell ref="B48:C48"/>
    <mergeCell ref="B49:C49"/>
    <mergeCell ref="B50:C50"/>
    <mergeCell ref="B51:C51"/>
    <mergeCell ref="B42:C42"/>
    <mergeCell ref="B43:C43"/>
    <mergeCell ref="B44:C44"/>
    <mergeCell ref="B45:C45"/>
    <mergeCell ref="B46:C46"/>
    <mergeCell ref="B37:C37"/>
    <mergeCell ref="B38:C38"/>
    <mergeCell ref="B39:C39"/>
    <mergeCell ref="B40:C40"/>
    <mergeCell ref="B41:C41"/>
    <mergeCell ref="B32:C32"/>
    <mergeCell ref="B33:C33"/>
    <mergeCell ref="B34:C34"/>
    <mergeCell ref="B35:C35"/>
    <mergeCell ref="B36:C36"/>
    <mergeCell ref="B27:C27"/>
    <mergeCell ref="B28:C28"/>
    <mergeCell ref="B29:C29"/>
    <mergeCell ref="B30:C30"/>
    <mergeCell ref="B31:C31"/>
    <mergeCell ref="B23:C23"/>
    <mergeCell ref="D23:E23"/>
    <mergeCell ref="B24:C24"/>
    <mergeCell ref="B25:C25"/>
    <mergeCell ref="B26:C26"/>
  </mergeCells>
  <hyperlinks>
    <hyperlink ref="D23" r:id="rId1" xr:uid="{00000000-0004-0000-01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57156-EAE2-4F2C-855E-B2CF8EC77625}">
  <sheetPr codeName="Sheet5"/>
  <dimension ref="B2:Y16"/>
  <sheetViews>
    <sheetView showGridLines="0" topLeftCell="A2" zoomScale="90" zoomScaleNormal="60" workbookViewId="0">
      <selection activeCell="H9" sqref="H9"/>
    </sheetView>
  </sheetViews>
  <sheetFormatPr defaultColWidth="9.1796875" defaultRowHeight="12.5"/>
  <cols>
    <col min="1" max="1" width="2.54296875" style="16" customWidth="1"/>
    <col min="2" max="2" width="4.453125" style="16" bestFit="1" customWidth="1"/>
    <col min="3" max="3" width="21" style="16" bestFit="1" customWidth="1"/>
    <col min="4" max="4" width="26.81640625" style="16" bestFit="1" customWidth="1"/>
    <col min="5" max="5" width="17.54296875" style="16" bestFit="1" customWidth="1"/>
    <col min="6" max="6" width="25.81640625" style="16" bestFit="1" customWidth="1"/>
    <col min="7" max="7" width="15.7265625" style="16" bestFit="1" customWidth="1"/>
    <col min="8" max="8" width="27.453125" style="16" bestFit="1" customWidth="1"/>
    <col min="9" max="9" width="19.81640625" style="16" bestFit="1" customWidth="1"/>
    <col min="10" max="10" width="20.81640625" style="16" bestFit="1" customWidth="1"/>
    <col min="11" max="11" width="39" style="16" bestFit="1" customWidth="1"/>
    <col min="12" max="12" width="56.26953125" style="16" bestFit="1" customWidth="1"/>
    <col min="13" max="13" width="17.54296875" style="16" bestFit="1" customWidth="1"/>
    <col min="14" max="14" width="27" style="16" bestFit="1" customWidth="1"/>
    <col min="15" max="15" width="20.1796875" style="16" bestFit="1" customWidth="1"/>
    <col min="16" max="16" width="19.54296875" style="16" bestFit="1" customWidth="1"/>
    <col min="17" max="17" width="29.81640625" style="16" bestFit="1" customWidth="1"/>
    <col min="18" max="18" width="31" style="16" bestFit="1" customWidth="1"/>
    <col min="19" max="19" width="9.453125" style="16" customWidth="1"/>
    <col min="20" max="20" width="40.1796875" style="16" bestFit="1" customWidth="1"/>
    <col min="21" max="21" width="32.1796875" style="16" customWidth="1"/>
    <col min="22" max="23" width="9.1796875" style="16"/>
    <col min="24" max="24" width="34.26953125" style="16" bestFit="1" customWidth="1"/>
    <col min="25" max="25" width="80.26953125" style="16" bestFit="1" customWidth="1"/>
    <col min="26" max="16384" width="9.1796875" style="16"/>
  </cols>
  <sheetData>
    <row r="2" spans="2:25" ht="19">
      <c r="B2" s="113" t="s">
        <v>983</v>
      </c>
    </row>
    <row r="3" spans="2:25" ht="13" thickBot="1"/>
    <row r="4" spans="2:25" ht="43.5">
      <c r="B4" s="492" t="s">
        <v>5</v>
      </c>
      <c r="C4" s="493" t="s">
        <v>6</v>
      </c>
      <c r="D4" s="493" t="s">
        <v>866</v>
      </c>
      <c r="E4" s="493" t="s">
        <v>7</v>
      </c>
      <c r="F4" s="493" t="s">
        <v>867</v>
      </c>
      <c r="G4" s="493" t="s">
        <v>8</v>
      </c>
      <c r="H4" s="493" t="s">
        <v>868</v>
      </c>
      <c r="I4" s="493" t="s">
        <v>9</v>
      </c>
      <c r="J4" s="493" t="s">
        <v>869</v>
      </c>
      <c r="K4" s="493" t="s">
        <v>10</v>
      </c>
      <c r="L4" s="493" t="s">
        <v>11</v>
      </c>
      <c r="M4" s="493" t="s">
        <v>991</v>
      </c>
      <c r="N4" s="493" t="s">
        <v>12</v>
      </c>
      <c r="O4" s="493" t="s">
        <v>990</v>
      </c>
      <c r="P4" s="493" t="s">
        <v>13</v>
      </c>
      <c r="Q4" s="493" t="s">
        <v>989</v>
      </c>
      <c r="R4" s="493" t="s">
        <v>14</v>
      </c>
      <c r="S4" s="493" t="s">
        <v>855</v>
      </c>
      <c r="T4" s="493" t="s">
        <v>873</v>
      </c>
      <c r="U4" s="493" t="s">
        <v>15</v>
      </c>
      <c r="X4" s="493" t="s">
        <v>993</v>
      </c>
      <c r="Y4" s="493" t="s">
        <v>992</v>
      </c>
    </row>
    <row r="5" spans="2:25" ht="25">
      <c r="B5" s="103">
        <v>1</v>
      </c>
      <c r="C5" s="95" t="str">
        <f>'Industry Data'!C5</f>
        <v>FMCG</v>
      </c>
      <c r="D5" s="96">
        <f>E5/SUM(E5:E16)</f>
        <v>9.8681674504664266E-2</v>
      </c>
      <c r="E5" s="97">
        <f>'Industry Data'!D5</f>
        <v>0.128</v>
      </c>
      <c r="F5" s="96">
        <f>G5/(SUM(G5:G16))</f>
        <v>0.15146299483648878</v>
      </c>
      <c r="G5" s="97">
        <f>'Industry Data'!E5</f>
        <v>8.7999999999999995E-2</v>
      </c>
      <c r="H5" s="98">
        <f>I5/SUM($I$5:$I$16)</f>
        <v>0.1338834726938572</v>
      </c>
      <c r="I5" s="99">
        <f>'Industry Data'!F5</f>
        <v>660</v>
      </c>
      <c r="J5" s="100">
        <f>IF(K5="High",-1,IF(K5="Medium",0,1))</f>
        <v>1</v>
      </c>
      <c r="K5" s="95" t="str">
        <f>'Industry Data'!G5</f>
        <v>Low</v>
      </c>
      <c r="L5" s="101" t="str">
        <f>'Industry Data'!H5</f>
        <v>Capital-intensive nature of the industry</v>
      </c>
      <c r="M5" s="494">
        <f>IF(N5="Organized",-1,IF(N5="Mixed",0,1))</f>
        <v>0</v>
      </c>
      <c r="N5" s="495" t="str">
        <f>'Industry Data'!I5</f>
        <v>Mixed</v>
      </c>
      <c r="O5" s="496">
        <f>IF(P5="Yes",0,1)</f>
        <v>0</v>
      </c>
      <c r="P5" s="495" t="str">
        <f>'Industry Data'!J5</f>
        <v>Yes</v>
      </c>
      <c r="Q5" s="496">
        <f>IF(R5="Yes",0,1)</f>
        <v>0</v>
      </c>
      <c r="R5" s="495" t="str">
        <f>'Industry Data'!K5</f>
        <v>Yes</v>
      </c>
      <c r="S5" s="497">
        <f>T5/SUM(T5:T16)</f>
        <v>0.11904761904761904</v>
      </c>
      <c r="T5" s="102">
        <f>(LEN(U5)-LEN(SUBSTITUTE(U5,",","")))+1</f>
        <v>5</v>
      </c>
      <c r="U5" s="498" t="str">
        <f>'Industry Data'!L5</f>
        <v xml:space="preserve"> 3D printing,AI,Big data analytics, robotics, blockchain</v>
      </c>
      <c r="X5" s="503" t="s">
        <v>994</v>
      </c>
      <c r="Y5" s="503" t="s">
        <v>995</v>
      </c>
    </row>
    <row r="6" spans="2:25" ht="26">
      <c r="B6" s="103">
        <v>2</v>
      </c>
      <c r="C6" s="95" t="str">
        <f>'Industry Data'!C6</f>
        <v>Electronics</v>
      </c>
      <c r="D6" s="96">
        <f t="shared" ref="D6:D16" si="0">E6/SUM(E6:E17)</f>
        <v>7.2705499957232078E-2</v>
      </c>
      <c r="E6" s="97">
        <f>'Industry Data'!D6</f>
        <v>8.5000000000000006E-2</v>
      </c>
      <c r="F6" s="96">
        <f t="shared" ref="F6:F16" si="1">G6/(SUM(G6:G17))</f>
        <v>6.2880324543610547E-2</v>
      </c>
      <c r="G6" s="97">
        <f>'Industry Data'!E6</f>
        <v>3.1E-2</v>
      </c>
      <c r="H6" s="98">
        <f t="shared" ref="H6:H16" si="2">I6/SUM($I$5:$I$16)</f>
        <v>7.0998811277045479E-2</v>
      </c>
      <c r="I6" s="99">
        <f>'Industry Data'!F6</f>
        <v>350</v>
      </c>
      <c r="J6" s="100">
        <f t="shared" ref="J6:J16" si="3">IF(K6="High",-1,IF(K6="Medium",0,1))</f>
        <v>0</v>
      </c>
      <c r="K6" s="95" t="str">
        <f>'Industry Data'!G6</f>
        <v>Medium</v>
      </c>
      <c r="L6" s="101" t="str">
        <f>'Industry Data'!H6</f>
        <v>New players can enter smaller markets in individual products and become a significant force in a narrow range of products</v>
      </c>
      <c r="M6" s="494">
        <f t="shared" ref="M6:M14" si="4">IF(N6="Organized",-1,IF(N6="Mixed",0,1))</f>
        <v>0</v>
      </c>
      <c r="N6" s="495" t="str">
        <f>'Industry Data'!I6</f>
        <v>Mixed</v>
      </c>
      <c r="O6" s="496">
        <f t="shared" ref="O6:O16" si="5">IF(P6="Yes",0,1)</f>
        <v>0</v>
      </c>
      <c r="P6" s="495" t="str">
        <f>'Industry Data'!J6</f>
        <v>Yes</v>
      </c>
      <c r="Q6" s="496">
        <f t="shared" ref="Q6:Q16" si="6">IF(R6="Yes",0,1)</f>
        <v>0</v>
      </c>
      <c r="R6" s="495" t="str">
        <f>'Industry Data'!K6</f>
        <v>Yes</v>
      </c>
      <c r="S6" s="497">
        <f t="shared" ref="S6:S16" si="7">T6/SUM(T6:T17)</f>
        <v>8.1081081081081086E-2</v>
      </c>
      <c r="T6" s="102">
        <f t="shared" ref="T6:T16" si="8">(LEN(U6)-LEN(SUBSTITUTE(U6,",","")))+1</f>
        <v>3</v>
      </c>
      <c r="U6" s="498" t="str">
        <f>'Industry Data'!L6</f>
        <v>AI, Drones, Virtual Reality</v>
      </c>
      <c r="X6" s="503" t="s">
        <v>996</v>
      </c>
      <c r="Y6" s="503" t="s">
        <v>1001</v>
      </c>
    </row>
    <row r="7" spans="2:25" ht="26">
      <c r="B7" s="103">
        <v>3</v>
      </c>
      <c r="C7" s="95" t="str">
        <f>'Industry Data'!C7</f>
        <v>Agro_Chemical</v>
      </c>
      <c r="D7" s="96">
        <f t="shared" si="0"/>
        <v>7.8406051102296856E-2</v>
      </c>
      <c r="E7" s="97">
        <f>'Industry Data'!D7</f>
        <v>8.5000000000000006E-2</v>
      </c>
      <c r="F7" s="96">
        <f t="shared" si="1"/>
        <v>2.8138528138528136E-2</v>
      </c>
      <c r="G7" s="97">
        <f>'Industry Data'!E7</f>
        <v>1.2999999999999999E-2</v>
      </c>
      <c r="H7" s="98">
        <f t="shared" si="2"/>
        <v>1.9920237906873904E-3</v>
      </c>
      <c r="I7" s="99">
        <f>'Industry Data'!F7</f>
        <v>9.82</v>
      </c>
      <c r="J7" s="100">
        <f t="shared" si="3"/>
        <v>-1</v>
      </c>
      <c r="K7" s="95" t="str">
        <f>'Industry Data'!G7</f>
        <v>High</v>
      </c>
      <c r="L7" s="101" t="str">
        <f>'Industry Data'!H7</f>
        <v>switching costs are low for generic formulations, which leads to low entry barriers for new players</v>
      </c>
      <c r="M7" s="494">
        <f t="shared" si="4"/>
        <v>1</v>
      </c>
      <c r="N7" s="495" t="str">
        <f>'Industry Data'!I7</f>
        <v>Unorganized</v>
      </c>
      <c r="O7" s="496">
        <f t="shared" si="5"/>
        <v>0</v>
      </c>
      <c r="P7" s="495" t="str">
        <f>'Industry Data'!J7</f>
        <v>Yes</v>
      </c>
      <c r="Q7" s="496">
        <f t="shared" si="6"/>
        <v>0</v>
      </c>
      <c r="R7" s="495" t="str">
        <f>'Industry Data'!K7</f>
        <v>Yes</v>
      </c>
      <c r="S7" s="497">
        <f t="shared" si="7"/>
        <v>0.11764705882352941</v>
      </c>
      <c r="T7" s="102">
        <f t="shared" si="8"/>
        <v>4</v>
      </c>
      <c r="U7" s="498" t="str">
        <f>'Industry Data'!L7</f>
        <v>Drones, data analytics, blockchain,social media</v>
      </c>
      <c r="X7" s="503" t="s">
        <v>997</v>
      </c>
      <c r="Y7" s="503" t="s">
        <v>1000</v>
      </c>
    </row>
    <row r="8" spans="2:25" ht="37.5">
      <c r="B8" s="103">
        <v>4</v>
      </c>
      <c r="C8" s="95" t="str">
        <f>'Industry Data'!C8</f>
        <v>IT_Software</v>
      </c>
      <c r="D8" s="96">
        <f t="shared" si="0"/>
        <v>0.11320188169352417</v>
      </c>
      <c r="E8" s="97">
        <f>'Industry Data'!D8</f>
        <v>0.11310000000000001</v>
      </c>
      <c r="F8" s="96">
        <f t="shared" si="1"/>
        <v>0.18930957683741648</v>
      </c>
      <c r="G8" s="97">
        <f>'Industry Data'!E8</f>
        <v>8.5000000000000006E-2</v>
      </c>
      <c r="H8" s="98">
        <f t="shared" si="2"/>
        <v>4.9699167893931834E-2</v>
      </c>
      <c r="I8" s="99">
        <f>'Industry Data'!F8</f>
        <v>245</v>
      </c>
      <c r="J8" s="100">
        <f t="shared" si="3"/>
        <v>-1</v>
      </c>
      <c r="K8" s="95" t="str">
        <f>'Industry Data'!G8</f>
        <v>High</v>
      </c>
      <c r="L8" s="101" t="str">
        <f>'Industry Data'!H8</f>
        <v>Low barriers to entry, Availabilty of skilled talent, Government support, Globalization</v>
      </c>
      <c r="M8" s="494">
        <f t="shared" si="4"/>
        <v>0</v>
      </c>
      <c r="N8" s="495" t="str">
        <f>'Industry Data'!I8</f>
        <v>Mixed</v>
      </c>
      <c r="O8" s="496">
        <f t="shared" si="5"/>
        <v>0</v>
      </c>
      <c r="P8" s="495" t="str">
        <f>'Industry Data'!J8</f>
        <v>Yes</v>
      </c>
      <c r="Q8" s="496">
        <f t="shared" si="6"/>
        <v>1</v>
      </c>
      <c r="R8" s="495" t="str">
        <f>'Industry Data'!K8</f>
        <v>No</v>
      </c>
      <c r="S8" s="497">
        <f t="shared" si="7"/>
        <v>0.26666666666666666</v>
      </c>
      <c r="T8" s="102">
        <f t="shared" si="8"/>
        <v>8</v>
      </c>
      <c r="U8" s="498" t="str">
        <f>'Industry Data'!L8</f>
        <v>Cloud computing, AI, blockchain, Iot, Cyber security, Data Analytics, Robotics, VR and AR</v>
      </c>
      <c r="X8" s="503" t="s">
        <v>998</v>
      </c>
      <c r="Y8" s="503" t="s">
        <v>999</v>
      </c>
    </row>
    <row r="9" spans="2:25" ht="38.5">
      <c r="B9" s="103">
        <v>5</v>
      </c>
      <c r="C9" s="95" t="str">
        <f>'Industry Data'!C9</f>
        <v>Hotels_and_Restaurants</v>
      </c>
      <c r="D9" s="96">
        <f t="shared" si="0"/>
        <v>0.11286681715575621</v>
      </c>
      <c r="E9" s="97">
        <f>'Industry Data'!D9</f>
        <v>0.1</v>
      </c>
      <c r="F9" s="96">
        <f t="shared" si="1"/>
        <v>0.20604395604395603</v>
      </c>
      <c r="G9" s="97">
        <f>'Industry Data'!E9</f>
        <v>7.4999999999999997E-2</v>
      </c>
      <c r="H9" s="98">
        <f t="shared" si="2"/>
        <v>2.1401070256366569E-3</v>
      </c>
      <c r="I9" s="99">
        <f>'Industry Data'!F9</f>
        <v>10.55</v>
      </c>
      <c r="J9" s="100">
        <f t="shared" si="3"/>
        <v>0</v>
      </c>
      <c r="K9" s="95" t="str">
        <f>'Industry Data'!G9</f>
        <v>Medium</v>
      </c>
      <c r="L9" s="101" t="str">
        <f>'Industry Data'!H9</f>
        <v>The low barriers to entry, The large and growing market, The fragmented market, The dominance of established players, The high cost of marketing and distribution, The regulatory environment</v>
      </c>
      <c r="M9" s="494">
        <f t="shared" si="4"/>
        <v>0</v>
      </c>
      <c r="N9" s="495" t="str">
        <f>'Industry Data'!I9</f>
        <v>Mixed</v>
      </c>
      <c r="O9" s="496">
        <f t="shared" si="5"/>
        <v>0</v>
      </c>
      <c r="P9" s="495" t="str">
        <f>'Industry Data'!J9</f>
        <v>Yes</v>
      </c>
      <c r="Q9" s="496">
        <f t="shared" si="6"/>
        <v>0</v>
      </c>
      <c r="R9" s="495" t="str">
        <f>'Industry Data'!K9</f>
        <v>Yes</v>
      </c>
      <c r="S9" s="497">
        <f t="shared" si="7"/>
        <v>0.22727272727272727</v>
      </c>
      <c r="T9" s="102">
        <f t="shared" si="8"/>
        <v>5</v>
      </c>
      <c r="U9" s="498" t="str">
        <f>'Industry Data'!L9</f>
        <v>Digitalization, Contactless technology, Artificial intelligence, Cloud computing, Renewable energy</v>
      </c>
    </row>
    <row r="10" spans="2:25" ht="38.5">
      <c r="B10" s="103">
        <v>6</v>
      </c>
      <c r="C10" s="95" t="str">
        <f>'Industry Data'!C10</f>
        <v>Entertainment</v>
      </c>
      <c r="D10" s="96">
        <f t="shared" si="0"/>
        <v>0.12340966921119592</v>
      </c>
      <c r="E10" s="97">
        <f>'Industry Data'!D10</f>
        <v>9.7000000000000003E-2</v>
      </c>
      <c r="F10" s="96">
        <f t="shared" si="1"/>
        <v>1.314878892733564E-2</v>
      </c>
      <c r="G10" s="97">
        <f>'Industry Data'!E10</f>
        <v>3.8E-3</v>
      </c>
      <c r="H10" s="98">
        <f t="shared" si="2"/>
        <v>5.2741974091519497E-3</v>
      </c>
      <c r="I10" s="99">
        <f>'Industry Data'!F10</f>
        <v>26</v>
      </c>
      <c r="J10" s="100">
        <f t="shared" si="3"/>
        <v>0</v>
      </c>
      <c r="K10" s="95" t="str">
        <f>'Industry Data'!G10</f>
        <v>Medium</v>
      </c>
      <c r="L10" s="101" t="str">
        <f>'Industry Data'!H10</f>
        <v>The low barriers to entry, The large and growing market, The fragmented market, The dominance of established players, The high cost of real estate, The regulatory environment</v>
      </c>
      <c r="M10" s="494">
        <f t="shared" si="4"/>
        <v>0</v>
      </c>
      <c r="N10" s="495" t="str">
        <f>'Industry Data'!I10</f>
        <v>Mixed</v>
      </c>
      <c r="O10" s="496">
        <f t="shared" si="5"/>
        <v>0</v>
      </c>
      <c r="P10" s="495" t="str">
        <f>'Industry Data'!J10</f>
        <v>Yes</v>
      </c>
      <c r="Q10" s="496">
        <f t="shared" si="6"/>
        <v>1</v>
      </c>
      <c r="R10" s="495" t="str">
        <f>'Industry Data'!K10</f>
        <v>No</v>
      </c>
      <c r="S10" s="497">
        <f t="shared" si="7"/>
        <v>0.29411764705882354</v>
      </c>
      <c r="T10" s="102">
        <f t="shared" si="8"/>
        <v>5</v>
      </c>
      <c r="U10" s="498" t="str">
        <f>'Industry Data'!L10</f>
        <v>Digitalization, Social media, Artificial intelligence, Blockchain, VR and AR</v>
      </c>
    </row>
    <row r="11" spans="2:25" ht="38.5">
      <c r="B11" s="103">
        <v>7</v>
      </c>
      <c r="C11" s="95" t="str">
        <f>'Industry Data'!C11</f>
        <v>Banks</v>
      </c>
      <c r="D11" s="96">
        <f t="shared" si="0"/>
        <v>0.14513788098693758</v>
      </c>
      <c r="E11" s="97">
        <f>'Industry Data'!D11</f>
        <v>0.1</v>
      </c>
      <c r="F11" s="96">
        <f t="shared" si="1"/>
        <v>0.26998597475455821</v>
      </c>
      <c r="G11" s="97">
        <f>'Industry Data'!E11</f>
        <v>7.6999999999999999E-2</v>
      </c>
      <c r="H11" s="98">
        <f t="shared" si="2"/>
        <v>0.36513674371051957</v>
      </c>
      <c r="I11" s="99">
        <f>'Industry Data'!F11</f>
        <v>1800</v>
      </c>
      <c r="J11" s="100">
        <f t="shared" si="3"/>
        <v>0</v>
      </c>
      <c r="K11" s="95" t="str">
        <f>'Industry Data'!G11</f>
        <v>Medium</v>
      </c>
      <c r="L11" s="101" t="str">
        <f>'Industry Data'!H11</f>
        <v xml:space="preserve"> Banking industry in India is highly regulated, and the Reserve Bank of India (RBI) controls the issuance of licenses, which creates entry barriers for new players</v>
      </c>
      <c r="M11" s="494">
        <f t="shared" si="4"/>
        <v>-1</v>
      </c>
      <c r="N11" s="495" t="str">
        <f>'Industry Data'!I11</f>
        <v>Organized</v>
      </c>
      <c r="O11" s="496">
        <f t="shared" si="5"/>
        <v>0</v>
      </c>
      <c r="P11" s="495" t="str">
        <f>'Industry Data'!J11</f>
        <v>Yes</v>
      </c>
      <c r="Q11" s="496">
        <f t="shared" si="6"/>
        <v>0</v>
      </c>
      <c r="R11" s="495" t="str">
        <f>'Industry Data'!K11</f>
        <v>Yes</v>
      </c>
      <c r="S11" s="497">
        <f t="shared" si="7"/>
        <v>8.3333333333333329E-2</v>
      </c>
      <c r="T11" s="102">
        <f t="shared" si="8"/>
        <v>1</v>
      </c>
      <c r="U11" s="498" t="str">
        <f>'Industry Data'!L11</f>
        <v>Digitalization</v>
      </c>
    </row>
    <row r="12" spans="2:25" ht="63.5">
      <c r="B12" s="103">
        <v>8</v>
      </c>
      <c r="C12" s="95" t="str">
        <f>'Industry Data'!C12</f>
        <v>Power_Gen_and_Dist</v>
      </c>
      <c r="D12" s="96">
        <f t="shared" si="0"/>
        <v>7.6400679117147693E-2</v>
      </c>
      <c r="E12" s="97">
        <f>'Industry Data'!D12</f>
        <v>4.4999999999999998E-2</v>
      </c>
      <c r="F12" s="96">
        <f t="shared" si="1"/>
        <v>0.12968299711815562</v>
      </c>
      <c r="G12" s="97">
        <f>'Industry Data'!E12</f>
        <v>2.7E-2</v>
      </c>
      <c r="H12" s="98">
        <f t="shared" si="2"/>
        <v>0.11319239055026108</v>
      </c>
      <c r="I12" s="99">
        <f>'Industry Data'!F12</f>
        <v>558</v>
      </c>
      <c r="J12" s="100">
        <f t="shared" si="3"/>
        <v>1</v>
      </c>
      <c r="K12" s="95" t="str">
        <f>'Industry Data'!G12</f>
        <v>low</v>
      </c>
      <c r="L12" s="101" t="str">
        <f>'Industry Data'!H12</f>
        <v>power sector in India faces challenges such as delays in capacity addition, problems in securing fuel linkages, and inefficiencies, especially in network segments and distribution sector, responsible for the supply and distribution of energy to consumers, is considered the weakest link in terms of financial and operational sustainability</v>
      </c>
      <c r="M12" s="494">
        <f t="shared" si="4"/>
        <v>-1</v>
      </c>
      <c r="N12" s="495" t="str">
        <f>'Industry Data'!I12</f>
        <v>Organized</v>
      </c>
      <c r="O12" s="496">
        <f t="shared" si="5"/>
        <v>1</v>
      </c>
      <c r="P12" s="495" t="str">
        <f>'Industry Data'!J12</f>
        <v>No</v>
      </c>
      <c r="Q12" s="496">
        <f t="shared" si="6"/>
        <v>0</v>
      </c>
      <c r="R12" s="495" t="str">
        <f>'Industry Data'!K12</f>
        <v>Yes</v>
      </c>
      <c r="S12" s="497">
        <f t="shared" si="7"/>
        <v>0.18181818181818182</v>
      </c>
      <c r="T12" s="102">
        <f t="shared" si="8"/>
        <v>2</v>
      </c>
      <c r="U12" s="498" t="str">
        <f>'Industry Data'!L12</f>
        <v>smart grids, renewable energy</v>
      </c>
    </row>
    <row r="13" spans="2:25" ht="37.5">
      <c r="B13" s="103">
        <v>9</v>
      </c>
      <c r="C13" s="95" t="str">
        <f>'Industry Data'!C13</f>
        <v>Cement</v>
      </c>
      <c r="D13" s="96">
        <f t="shared" si="0"/>
        <v>0.16544117647058823</v>
      </c>
      <c r="E13" s="97">
        <f>'Industry Data'!D13</f>
        <v>0.09</v>
      </c>
      <c r="F13" s="96">
        <f t="shared" si="1"/>
        <v>6.6225165562913912E-2</v>
      </c>
      <c r="G13" s="97">
        <f>'Industry Data'!E13</f>
        <v>1.2E-2</v>
      </c>
      <c r="H13" s="98">
        <f t="shared" si="2"/>
        <v>1.6816575585334485E-3</v>
      </c>
      <c r="I13" s="99">
        <f>'Industry Data'!F13</f>
        <v>8.2899999999999991</v>
      </c>
      <c r="J13" s="100">
        <f t="shared" si="3"/>
        <v>1</v>
      </c>
      <c r="K13" s="95" t="str">
        <f>'Industry Data'!G13</f>
        <v>low</v>
      </c>
      <c r="L13" s="101" t="str">
        <f>'Industry Data'!H13</f>
        <v>High capital costs and long gestation periods involved in setting up a new cement plant act as significant entry barriers</v>
      </c>
      <c r="M13" s="494">
        <f t="shared" si="4"/>
        <v>0</v>
      </c>
      <c r="N13" s="495" t="str">
        <f>'Industry Data'!I13</f>
        <v>Mixed</v>
      </c>
      <c r="O13" s="496">
        <f t="shared" si="5"/>
        <v>0</v>
      </c>
      <c r="P13" s="495" t="str">
        <f>'Industry Data'!J13</f>
        <v>Yes</v>
      </c>
      <c r="Q13" s="496">
        <f t="shared" si="6"/>
        <v>0</v>
      </c>
      <c r="R13" s="495" t="str">
        <f>'Industry Data'!K13</f>
        <v>Yes</v>
      </c>
      <c r="S13" s="497">
        <f t="shared" si="7"/>
        <v>0.33333333333333331</v>
      </c>
      <c r="T13" s="102">
        <f t="shared" si="8"/>
        <v>3</v>
      </c>
      <c r="U13" s="498" t="str">
        <f>'Industry Data'!L13</f>
        <v>Carbon capture and utilization, Digitaliztion &amp; Automation, Advanced process control</v>
      </c>
    </row>
    <row r="14" spans="2:25" ht="26">
      <c r="B14" s="103">
        <v>10</v>
      </c>
      <c r="C14" s="95" t="str">
        <f>'Industry Data'!C14</f>
        <v>Automobiles</v>
      </c>
      <c r="D14" s="96">
        <f t="shared" si="0"/>
        <v>0.1762114537444934</v>
      </c>
      <c r="E14" s="97">
        <f>'Industry Data'!D14</f>
        <v>0.08</v>
      </c>
      <c r="F14" s="96">
        <f t="shared" si="1"/>
        <v>0.41962174940898339</v>
      </c>
      <c r="G14" s="97">
        <f>'Industry Data'!E14</f>
        <v>7.0999999999999994E-2</v>
      </c>
      <c r="H14" s="98">
        <f t="shared" si="2"/>
        <v>4.462782423128573E-2</v>
      </c>
      <c r="I14" s="99">
        <f>'Industry Data'!F14</f>
        <v>220</v>
      </c>
      <c r="J14" s="100">
        <f t="shared" si="3"/>
        <v>1</v>
      </c>
      <c r="K14" s="95" t="str">
        <f>'Industry Data'!G14</f>
        <v>Low</v>
      </c>
      <c r="L14" s="101" t="str">
        <f>'Industry Data'!H14</f>
        <v>The industry is capital-intensive, which makes it difficult for new entrants to enter the market</v>
      </c>
      <c r="M14" s="494">
        <f t="shared" si="4"/>
        <v>0</v>
      </c>
      <c r="N14" s="495" t="str">
        <f>'Industry Data'!I14</f>
        <v>Mixed</v>
      </c>
      <c r="O14" s="496">
        <f t="shared" si="5"/>
        <v>0</v>
      </c>
      <c r="P14" s="495" t="str">
        <f>'Industry Data'!J14</f>
        <v>Yes</v>
      </c>
      <c r="Q14" s="496">
        <f t="shared" si="6"/>
        <v>0</v>
      </c>
      <c r="R14" s="495" t="str">
        <f>'Industry Data'!K14</f>
        <v>Yes</v>
      </c>
      <c r="S14" s="497">
        <f t="shared" si="7"/>
        <v>0.33333333333333331</v>
      </c>
      <c r="T14" s="102">
        <f t="shared" si="8"/>
        <v>2</v>
      </c>
      <c r="U14" s="498" t="str">
        <f>'Industry Data'!L14</f>
        <v>Electric vehicles technology, Automation</v>
      </c>
    </row>
    <row r="15" spans="2:25" ht="51">
      <c r="B15" s="103">
        <v>11</v>
      </c>
      <c r="C15" s="95" t="str">
        <f>'Industry Data'!C15</f>
        <v>Pharmaceuticals</v>
      </c>
      <c r="D15" s="96">
        <f t="shared" si="0"/>
        <v>0.59893048128342252</v>
      </c>
      <c r="E15" s="97">
        <f>'Industry Data'!D15</f>
        <v>0.224</v>
      </c>
      <c r="F15" s="96">
        <f t="shared" si="1"/>
        <v>0.17515274949083501</v>
      </c>
      <c r="G15" s="97">
        <f>'Industry Data'!E15</f>
        <v>1.72E-2</v>
      </c>
      <c r="H15" s="98">
        <f t="shared" si="2"/>
        <v>8.5198573532454577E-3</v>
      </c>
      <c r="I15" s="99">
        <f>'Industry Data'!F15</f>
        <v>42</v>
      </c>
      <c r="J15" s="100">
        <f t="shared" si="3"/>
        <v>1</v>
      </c>
      <c r="K15" s="95" t="str">
        <f>'Industry Data'!G15</f>
        <v>Low</v>
      </c>
      <c r="L15" s="101" t="str">
        <f>'Industry Data'!H15</f>
        <v>The industry is highly regulated and requires significant investment in R&amp;D and manufacturing.The high cost of entry, the need for regulatory compliance, and the long lead times for product development make it difficult for new entrants</v>
      </c>
      <c r="M15" s="494">
        <f>0.3-0.7</f>
        <v>-0.39999999999999997</v>
      </c>
      <c r="N15" s="495" t="str">
        <f>'Industry Data'!I15</f>
        <v>Organized: 70%
Unorganized 30%</v>
      </c>
      <c r="O15" s="496">
        <f t="shared" si="5"/>
        <v>1</v>
      </c>
      <c r="P15" s="495" t="str">
        <f>'Industry Data'!J15</f>
        <v>No</v>
      </c>
      <c r="Q15" s="496">
        <f t="shared" si="6"/>
        <v>0</v>
      </c>
      <c r="R15" s="495" t="str">
        <f>'Industry Data'!K15</f>
        <v>Yes</v>
      </c>
      <c r="S15" s="497">
        <f t="shared" si="7"/>
        <v>0.75</v>
      </c>
      <c r="T15" s="102">
        <f t="shared" si="8"/>
        <v>3</v>
      </c>
      <c r="U15" s="498" t="str">
        <f>'Industry Data'!L15</f>
        <v>Technology needed to improve the efficiency of manufacturing, the quality of products, and the discovery of new drugs.</v>
      </c>
    </row>
    <row r="16" spans="2:25" ht="63" thickBot="1">
      <c r="B16" s="104">
        <v>12</v>
      </c>
      <c r="C16" s="105" t="str">
        <f>'Industry Data'!C16</f>
        <v>Infrastructure</v>
      </c>
      <c r="D16" s="106">
        <f t="shared" si="0"/>
        <v>1</v>
      </c>
      <c r="E16" s="107">
        <f>'Industry Data'!D16</f>
        <v>0.15</v>
      </c>
      <c r="F16" s="106">
        <f t="shared" si="1"/>
        <v>1</v>
      </c>
      <c r="G16" s="107">
        <f>'Industry Data'!E16</f>
        <v>8.1000000000000003E-2</v>
      </c>
      <c r="H16" s="108">
        <f t="shared" si="2"/>
        <v>0.20285374650584423</v>
      </c>
      <c r="I16" s="109">
        <f>'Industry Data'!F16</f>
        <v>1000</v>
      </c>
      <c r="J16" s="110">
        <f t="shared" si="3"/>
        <v>1</v>
      </c>
      <c r="K16" s="105" t="str">
        <f>'Industry Data'!G16</f>
        <v>Low</v>
      </c>
      <c r="L16" s="111" t="str">
        <f>'Industry Data'!H16</f>
        <v>The infrastructure sector is a capital-intensive sector, which means that it requires a large amount of capital and expertise, which is not easily available.</v>
      </c>
      <c r="M16" s="499">
        <f>0.8-0.2</f>
        <v>0.60000000000000009</v>
      </c>
      <c r="N16" s="500" t="str">
        <f>'Industry Data'!I16</f>
        <v>Organized: 20%
Unorganized 80%</v>
      </c>
      <c r="O16" s="496">
        <f t="shared" si="5"/>
        <v>1</v>
      </c>
      <c r="P16" s="500" t="str">
        <f>'Industry Data'!J16</f>
        <v>No</v>
      </c>
      <c r="Q16" s="496">
        <f t="shared" si="6"/>
        <v>0</v>
      </c>
      <c r="R16" s="500" t="str">
        <f>'Industry Data'!K16</f>
        <v>Yes</v>
      </c>
      <c r="S16" s="501">
        <f t="shared" si="7"/>
        <v>1</v>
      </c>
      <c r="T16" s="112">
        <f t="shared" si="8"/>
        <v>1</v>
      </c>
      <c r="U16" s="502" t="str">
        <f>'Industry Data'!L16</f>
        <v>New technologies can be used to improve the efficiency and effectiveness of infrastructure projects.
Drones</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08AA6-93D6-4C55-A2C5-A2CF9A74C4BF}">
  <sheetPr codeName="Sheet6"/>
  <dimension ref="B2:L90"/>
  <sheetViews>
    <sheetView showGridLines="0" zoomScale="93" zoomScaleNormal="50" workbookViewId="0">
      <selection activeCell="H11" sqref="H11"/>
    </sheetView>
  </sheetViews>
  <sheetFormatPr defaultColWidth="9.1796875" defaultRowHeight="12.5"/>
  <cols>
    <col min="1" max="1" width="2.54296875" style="16" customWidth="1"/>
    <col min="2" max="2" width="9.1796875" style="16"/>
    <col min="3" max="3" width="34" style="16" bestFit="1" customWidth="1"/>
    <col min="4" max="4" width="21.7265625" style="16" bestFit="1" customWidth="1"/>
    <col min="5" max="5" width="12.7265625" style="16" customWidth="1"/>
    <col min="6" max="6" width="8.1796875" style="16" customWidth="1"/>
    <col min="7" max="7" width="15" style="16" customWidth="1"/>
    <col min="8" max="8" width="21" style="16" bestFit="1" customWidth="1"/>
    <col min="9" max="9" width="14.26953125" style="16" bestFit="1" customWidth="1"/>
    <col min="10" max="10" width="11" style="16" customWidth="1"/>
    <col min="11" max="11" width="12.81640625" style="16" customWidth="1"/>
    <col min="12" max="12" width="19.7265625" style="16" bestFit="1" customWidth="1"/>
    <col min="13" max="16384" width="9.1796875" style="16"/>
  </cols>
  <sheetData>
    <row r="2" spans="2:11" ht="13">
      <c r="B2" s="416" t="s">
        <v>984</v>
      </c>
    </row>
    <row r="4" spans="2:11" ht="72.5">
      <c r="B4" s="17" t="s">
        <v>5</v>
      </c>
      <c r="C4" s="18" t="s">
        <v>6</v>
      </c>
      <c r="D4" s="114" t="s">
        <v>7</v>
      </c>
      <c r="E4" s="114" t="s">
        <v>8</v>
      </c>
      <c r="F4" s="114" t="s">
        <v>9</v>
      </c>
      <c r="G4" s="114" t="s">
        <v>874</v>
      </c>
      <c r="H4" s="114" t="s">
        <v>870</v>
      </c>
      <c r="I4" s="114" t="s">
        <v>871</v>
      </c>
      <c r="J4" s="114" t="s">
        <v>872</v>
      </c>
      <c r="K4" s="114" t="s">
        <v>873</v>
      </c>
    </row>
    <row r="5" spans="2:11" ht="14.5">
      <c r="B5" s="17"/>
      <c r="C5" s="18" t="s">
        <v>875</v>
      </c>
      <c r="D5" s="114" t="s">
        <v>876</v>
      </c>
      <c r="E5" s="114" t="s">
        <v>876</v>
      </c>
      <c r="F5" s="114" t="s">
        <v>876</v>
      </c>
      <c r="G5" s="114" t="s">
        <v>877</v>
      </c>
      <c r="H5" s="114" t="s">
        <v>876</v>
      </c>
      <c r="I5" s="114" t="s">
        <v>877</v>
      </c>
      <c r="J5" s="114" t="s">
        <v>877</v>
      </c>
      <c r="K5" s="114" t="s">
        <v>878</v>
      </c>
    </row>
    <row r="6" spans="2:11" ht="14.5">
      <c r="B6" s="156">
        <v>1</v>
      </c>
      <c r="C6" s="157" t="str">
        <f>'Industry Data Calculations'!C5</f>
        <v>FMCG</v>
      </c>
      <c r="D6" s="158">
        <f>'Industry Data Calculations'!E5*100</f>
        <v>12.8</v>
      </c>
      <c r="E6" s="158">
        <f>'Industry Data Calculations'!G5*100</f>
        <v>8.7999999999999989</v>
      </c>
      <c r="F6" s="159">
        <f>'Industry Data Calculations'!I5</f>
        <v>660</v>
      </c>
      <c r="G6" s="160">
        <f>'Industry Data Calculations'!J5</f>
        <v>1</v>
      </c>
      <c r="H6" s="161">
        <f>'Industry Data Calculations'!M5</f>
        <v>0</v>
      </c>
      <c r="I6" s="160">
        <f>'Industry Data Calculations'!O5</f>
        <v>0</v>
      </c>
      <c r="J6" s="160">
        <f>'Industry Data Calculations'!Q5</f>
        <v>0</v>
      </c>
      <c r="K6" s="162">
        <f>'Industry Data Calculations'!T5</f>
        <v>5</v>
      </c>
    </row>
    <row r="7" spans="2:11" ht="14.5">
      <c r="B7" s="156">
        <v>2</v>
      </c>
      <c r="C7" s="157" t="str">
        <f>'Industry Data Calculations'!C6</f>
        <v>Electronics</v>
      </c>
      <c r="D7" s="158">
        <f>'Industry Data Calculations'!E6*100</f>
        <v>8.5</v>
      </c>
      <c r="E7" s="158">
        <f>'Industry Data Calculations'!G6*100</f>
        <v>3.1</v>
      </c>
      <c r="F7" s="159">
        <f>'Industry Data Calculations'!I6</f>
        <v>350</v>
      </c>
      <c r="G7" s="160">
        <f>'Industry Data Calculations'!J6</f>
        <v>0</v>
      </c>
      <c r="H7" s="161">
        <f>'Industry Data Calculations'!M6</f>
        <v>0</v>
      </c>
      <c r="I7" s="160">
        <f>'Industry Data Calculations'!O6</f>
        <v>0</v>
      </c>
      <c r="J7" s="160">
        <f>'Industry Data Calculations'!Q6</f>
        <v>0</v>
      </c>
      <c r="K7" s="162">
        <f>'Industry Data Calculations'!T6</f>
        <v>3</v>
      </c>
    </row>
    <row r="8" spans="2:11" ht="14.5">
      <c r="B8" s="156">
        <v>3</v>
      </c>
      <c r="C8" s="157" t="str">
        <f>'Industry Data Calculations'!C7</f>
        <v>Agro_Chemical</v>
      </c>
      <c r="D8" s="158">
        <f>'Industry Data Calculations'!E7*100</f>
        <v>8.5</v>
      </c>
      <c r="E8" s="158">
        <f>'Industry Data Calculations'!G7*100</f>
        <v>1.3</v>
      </c>
      <c r="F8" s="159">
        <f>'Industry Data Calculations'!I7</f>
        <v>9.82</v>
      </c>
      <c r="G8" s="160">
        <f>'Industry Data Calculations'!J7</f>
        <v>-1</v>
      </c>
      <c r="H8" s="161">
        <f>'Industry Data Calculations'!M7</f>
        <v>1</v>
      </c>
      <c r="I8" s="160">
        <f>'Industry Data Calculations'!O7</f>
        <v>0</v>
      </c>
      <c r="J8" s="160">
        <f>'Industry Data Calculations'!Q7</f>
        <v>0</v>
      </c>
      <c r="K8" s="162">
        <f>'Industry Data Calculations'!T7</f>
        <v>4</v>
      </c>
    </row>
    <row r="9" spans="2:11" ht="14.5">
      <c r="B9" s="156">
        <v>4</v>
      </c>
      <c r="C9" s="157" t="str">
        <f>'Industry Data Calculations'!C8</f>
        <v>IT_Software</v>
      </c>
      <c r="D9" s="158">
        <f>'Industry Data Calculations'!E8*100</f>
        <v>11.31</v>
      </c>
      <c r="E9" s="158">
        <f>'Industry Data Calculations'!G8*100</f>
        <v>8.5</v>
      </c>
      <c r="F9" s="159">
        <f>'Industry Data Calculations'!I8</f>
        <v>245</v>
      </c>
      <c r="G9" s="160">
        <f>'Industry Data Calculations'!J8</f>
        <v>-1</v>
      </c>
      <c r="H9" s="161">
        <f>'Industry Data Calculations'!M8</f>
        <v>0</v>
      </c>
      <c r="I9" s="160">
        <f>'Industry Data Calculations'!O8</f>
        <v>0</v>
      </c>
      <c r="J9" s="160">
        <f>'Industry Data Calculations'!Q8</f>
        <v>1</v>
      </c>
      <c r="K9" s="162">
        <f>'Industry Data Calculations'!T8</f>
        <v>8</v>
      </c>
    </row>
    <row r="10" spans="2:11" ht="14.5">
      <c r="B10" s="156">
        <v>5</v>
      </c>
      <c r="C10" s="157" t="str">
        <f>'Industry Data Calculations'!C9</f>
        <v>Hotels_and_Restaurants</v>
      </c>
      <c r="D10" s="158">
        <f>'Industry Data Calculations'!E9*100</f>
        <v>10</v>
      </c>
      <c r="E10" s="158">
        <f>'Industry Data Calculations'!G9*100</f>
        <v>7.5</v>
      </c>
      <c r="F10" s="159">
        <f>'Industry Data Calculations'!I9</f>
        <v>10.55</v>
      </c>
      <c r="G10" s="160">
        <f>'Industry Data Calculations'!J9</f>
        <v>0</v>
      </c>
      <c r="H10" s="161">
        <f>'Industry Data Calculations'!M9</f>
        <v>0</v>
      </c>
      <c r="I10" s="160">
        <f>'Industry Data Calculations'!O9</f>
        <v>0</v>
      </c>
      <c r="J10" s="160">
        <f>'Industry Data Calculations'!Q9</f>
        <v>0</v>
      </c>
      <c r="K10" s="162">
        <f>'Industry Data Calculations'!T9</f>
        <v>5</v>
      </c>
    </row>
    <row r="11" spans="2:11" ht="14.5">
      <c r="B11" s="156">
        <v>6</v>
      </c>
      <c r="C11" s="157" t="str">
        <f>'Industry Data Calculations'!C10</f>
        <v>Entertainment</v>
      </c>
      <c r="D11" s="158">
        <f>'Industry Data Calculations'!E10*100</f>
        <v>9.7000000000000011</v>
      </c>
      <c r="E11" s="158">
        <f>'Industry Data Calculations'!G10*100</f>
        <v>0.38</v>
      </c>
      <c r="F11" s="159">
        <f>'Industry Data Calculations'!I10</f>
        <v>26</v>
      </c>
      <c r="G11" s="160">
        <f>'Industry Data Calculations'!J10</f>
        <v>0</v>
      </c>
      <c r="H11" s="161">
        <f>'Industry Data Calculations'!M10</f>
        <v>0</v>
      </c>
      <c r="I11" s="160">
        <f>'Industry Data Calculations'!O10</f>
        <v>0</v>
      </c>
      <c r="J11" s="160">
        <f>'Industry Data Calculations'!Q10</f>
        <v>1</v>
      </c>
      <c r="K11" s="162">
        <f>'Industry Data Calculations'!T10</f>
        <v>5</v>
      </c>
    </row>
    <row r="12" spans="2:11" ht="14.5">
      <c r="B12" s="156">
        <v>7</v>
      </c>
      <c r="C12" s="157" t="str">
        <f>'Industry Data Calculations'!C11</f>
        <v>Banks</v>
      </c>
      <c r="D12" s="158">
        <f>'Industry Data Calculations'!E11*100</f>
        <v>10</v>
      </c>
      <c r="E12" s="158">
        <f>'Industry Data Calculations'!G11*100</f>
        <v>7.7</v>
      </c>
      <c r="F12" s="159">
        <f>'Industry Data Calculations'!I11</f>
        <v>1800</v>
      </c>
      <c r="G12" s="160">
        <f>'Industry Data Calculations'!J11</f>
        <v>0</v>
      </c>
      <c r="H12" s="161">
        <f>'Industry Data Calculations'!M11</f>
        <v>-1</v>
      </c>
      <c r="I12" s="160">
        <f>'Industry Data Calculations'!O11</f>
        <v>0</v>
      </c>
      <c r="J12" s="160">
        <f>'Industry Data Calculations'!Q11</f>
        <v>0</v>
      </c>
      <c r="K12" s="162">
        <f>'Industry Data Calculations'!T11</f>
        <v>1</v>
      </c>
    </row>
    <row r="13" spans="2:11" ht="14.5">
      <c r="B13" s="156">
        <v>8</v>
      </c>
      <c r="C13" s="157" t="str">
        <f>'Industry Data Calculations'!C12</f>
        <v>Power_Gen_and_Dist</v>
      </c>
      <c r="D13" s="158">
        <f>'Industry Data Calculations'!E12*100</f>
        <v>4.5</v>
      </c>
      <c r="E13" s="158">
        <f>'Industry Data Calculations'!G12*100</f>
        <v>2.7</v>
      </c>
      <c r="F13" s="159">
        <f>'Industry Data Calculations'!I12</f>
        <v>558</v>
      </c>
      <c r="G13" s="160">
        <f>'Industry Data Calculations'!J12</f>
        <v>1</v>
      </c>
      <c r="H13" s="161">
        <f>'Industry Data Calculations'!M12</f>
        <v>-1</v>
      </c>
      <c r="I13" s="160">
        <f>'Industry Data Calculations'!O12</f>
        <v>1</v>
      </c>
      <c r="J13" s="160">
        <f>'Industry Data Calculations'!Q12</f>
        <v>0</v>
      </c>
      <c r="K13" s="162">
        <f>'Industry Data Calculations'!T12</f>
        <v>2</v>
      </c>
    </row>
    <row r="14" spans="2:11" ht="14.5">
      <c r="B14" s="156">
        <v>9</v>
      </c>
      <c r="C14" s="157" t="str">
        <f>'Industry Data Calculations'!C13</f>
        <v>Cement</v>
      </c>
      <c r="D14" s="158">
        <f>'Industry Data Calculations'!E13*100</f>
        <v>9</v>
      </c>
      <c r="E14" s="158">
        <f>'Industry Data Calculations'!G13*100</f>
        <v>1.2</v>
      </c>
      <c r="F14" s="159">
        <f>'Industry Data Calculations'!I13</f>
        <v>8.2899999999999991</v>
      </c>
      <c r="G14" s="160">
        <f>'Industry Data Calculations'!J13</f>
        <v>1</v>
      </c>
      <c r="H14" s="161">
        <f>'Industry Data Calculations'!M13</f>
        <v>0</v>
      </c>
      <c r="I14" s="160">
        <f>'Industry Data Calculations'!O13</f>
        <v>0</v>
      </c>
      <c r="J14" s="160">
        <f>'Industry Data Calculations'!Q13</f>
        <v>0</v>
      </c>
      <c r="K14" s="162">
        <f>'Industry Data Calculations'!T13</f>
        <v>3</v>
      </c>
    </row>
    <row r="15" spans="2:11" ht="14.5">
      <c r="B15" s="156">
        <v>10</v>
      </c>
      <c r="C15" s="157" t="str">
        <f>'Industry Data Calculations'!C14</f>
        <v>Automobiles</v>
      </c>
      <c r="D15" s="158">
        <f>'Industry Data Calculations'!E14*100</f>
        <v>8</v>
      </c>
      <c r="E15" s="158">
        <f>'Industry Data Calculations'!G14*100</f>
        <v>7.1</v>
      </c>
      <c r="F15" s="159">
        <f>'Industry Data Calculations'!I14</f>
        <v>220</v>
      </c>
      <c r="G15" s="160">
        <f>'Industry Data Calculations'!J14</f>
        <v>1</v>
      </c>
      <c r="H15" s="161">
        <f>'Industry Data Calculations'!M14</f>
        <v>0</v>
      </c>
      <c r="I15" s="160">
        <f>'Industry Data Calculations'!O14</f>
        <v>0</v>
      </c>
      <c r="J15" s="160">
        <f>'Industry Data Calculations'!Q14</f>
        <v>0</v>
      </c>
      <c r="K15" s="162">
        <f>'Industry Data Calculations'!T14</f>
        <v>2</v>
      </c>
    </row>
    <row r="16" spans="2:11" ht="14.5">
      <c r="B16" s="156">
        <v>11</v>
      </c>
      <c r="C16" s="157" t="str">
        <f>'Industry Data Calculations'!C15</f>
        <v>Pharmaceuticals</v>
      </c>
      <c r="D16" s="158">
        <f>'Industry Data Calculations'!E15*100</f>
        <v>22.400000000000002</v>
      </c>
      <c r="E16" s="158">
        <f>'Industry Data Calculations'!G15*100</f>
        <v>1.72</v>
      </c>
      <c r="F16" s="159">
        <f>'Industry Data Calculations'!I15</f>
        <v>42</v>
      </c>
      <c r="G16" s="160">
        <f>'Industry Data Calculations'!J15</f>
        <v>1</v>
      </c>
      <c r="H16" s="161">
        <f>'Industry Data Calculations'!M15</f>
        <v>-0.39999999999999997</v>
      </c>
      <c r="I16" s="160">
        <f>'Industry Data Calculations'!O15</f>
        <v>1</v>
      </c>
      <c r="J16" s="160">
        <f>'Industry Data Calculations'!Q15</f>
        <v>0</v>
      </c>
      <c r="K16" s="162">
        <f>'Industry Data Calculations'!T15</f>
        <v>3</v>
      </c>
    </row>
    <row r="17" spans="2:11" ht="14.5">
      <c r="B17" s="156">
        <v>12</v>
      </c>
      <c r="C17" s="157" t="str">
        <f>'Industry Data Calculations'!C16</f>
        <v>Infrastructure</v>
      </c>
      <c r="D17" s="158">
        <f>'Industry Data Calculations'!E16*100</f>
        <v>15</v>
      </c>
      <c r="E17" s="158">
        <f>'Industry Data Calculations'!G16*100</f>
        <v>8.1</v>
      </c>
      <c r="F17" s="159">
        <f>'Industry Data Calculations'!I16</f>
        <v>1000</v>
      </c>
      <c r="G17" s="160">
        <f>'Industry Data Calculations'!J16</f>
        <v>1</v>
      </c>
      <c r="H17" s="161">
        <f>'Industry Data Calculations'!M16</f>
        <v>0.60000000000000009</v>
      </c>
      <c r="I17" s="160">
        <f>'Industry Data Calculations'!O16</f>
        <v>1</v>
      </c>
      <c r="J17" s="160">
        <f>'Industry Data Calculations'!Q16</f>
        <v>0</v>
      </c>
      <c r="K17" s="162">
        <f>'Industry Data Calculations'!T16</f>
        <v>1</v>
      </c>
    </row>
    <row r="18" spans="2:11" ht="13" thickBot="1"/>
    <row r="19" spans="2:11" ht="15" thickBot="1">
      <c r="C19" s="176" t="s">
        <v>879</v>
      </c>
      <c r="D19" s="174">
        <f>Dashboard!C7</f>
        <v>9</v>
      </c>
      <c r="E19" s="169">
        <f>Dashboard!C8</f>
        <v>9</v>
      </c>
      <c r="F19" s="170">
        <f>Dashboard!C9</f>
        <v>10</v>
      </c>
      <c r="G19" s="171">
        <f>Dashboard!C10</f>
        <v>4</v>
      </c>
      <c r="H19" s="172">
        <f>Dashboard!C11</f>
        <v>3</v>
      </c>
      <c r="I19" s="169">
        <f>Dashboard!C12</f>
        <v>3</v>
      </c>
      <c r="J19" s="169">
        <f>Dashboard!C13</f>
        <v>5</v>
      </c>
      <c r="K19" s="173">
        <f>Dashboard!C14</f>
        <v>8</v>
      </c>
    </row>
    <row r="20" spans="2:11" ht="13.5" thickBot="1">
      <c r="C20" s="163" t="s">
        <v>880</v>
      </c>
      <c r="D20" s="175">
        <f t="shared" ref="D20:K20" si="0">D19/SUM($D$19:$K$19)</f>
        <v>0.17647058823529413</v>
      </c>
      <c r="E20" s="167">
        <f t="shared" si="0"/>
        <v>0.17647058823529413</v>
      </c>
      <c r="F20" s="167">
        <f t="shared" si="0"/>
        <v>0.19607843137254902</v>
      </c>
      <c r="G20" s="167">
        <f t="shared" si="0"/>
        <v>7.8431372549019607E-2</v>
      </c>
      <c r="H20" s="167">
        <f t="shared" si="0"/>
        <v>5.8823529411764705E-2</v>
      </c>
      <c r="I20" s="167">
        <f t="shared" si="0"/>
        <v>5.8823529411764705E-2</v>
      </c>
      <c r="J20" s="167">
        <f t="shared" si="0"/>
        <v>9.8039215686274508E-2</v>
      </c>
      <c r="K20" s="168">
        <f t="shared" si="0"/>
        <v>0.15686274509803921</v>
      </c>
    </row>
    <row r="21" spans="2:11" ht="13" thickBot="1">
      <c r="D21" s="116"/>
      <c r="E21" s="116"/>
      <c r="F21" s="116"/>
      <c r="G21" s="116"/>
      <c r="H21" s="116"/>
      <c r="I21" s="116"/>
      <c r="J21" s="116"/>
      <c r="K21" s="116"/>
    </row>
    <row r="22" spans="2:11" ht="13.5" thickBot="1">
      <c r="C22" s="163" t="s">
        <v>881</v>
      </c>
      <c r="D22" s="164">
        <f>SQRT(SUMSQ(D6:D17))</f>
        <v>40.278481848252426</v>
      </c>
      <c r="E22" s="165">
        <f>SQRT(SUMSQ(E6:E17))</f>
        <v>20.10927149351761</v>
      </c>
      <c r="F22" s="165">
        <f t="shared" ref="F22:K22" si="1">SQRT(SUMSQ(F6:F17))</f>
        <v>2284.8644290198054</v>
      </c>
      <c r="G22" s="165">
        <f t="shared" si="1"/>
        <v>2.8284271247461903</v>
      </c>
      <c r="H22" s="165">
        <f t="shared" si="1"/>
        <v>1.8761663039293719</v>
      </c>
      <c r="I22" s="165">
        <f t="shared" si="1"/>
        <v>1.7320508075688772</v>
      </c>
      <c r="J22" s="165">
        <f t="shared" si="1"/>
        <v>1.4142135623730951</v>
      </c>
      <c r="K22" s="166">
        <f t="shared" si="1"/>
        <v>13.856406460551018</v>
      </c>
    </row>
    <row r="23" spans="2:11" ht="13" thickBot="1"/>
    <row r="24" spans="2:11" ht="13.5" customHeight="1" thickBot="1">
      <c r="C24" s="126" t="s">
        <v>858</v>
      </c>
      <c r="D24" s="118">
        <f>D6/D$22</f>
        <v>0.31778754840421963</v>
      </c>
      <c r="E24" s="119">
        <f t="shared" ref="E24:J24" si="2">E6/E$22</f>
        <v>0.43760909005762599</v>
      </c>
      <c r="F24" s="119">
        <f t="shared" si="2"/>
        <v>0.28885740073564736</v>
      </c>
      <c r="G24" s="119">
        <f t="shared" si="2"/>
        <v>0.35355339059327373</v>
      </c>
      <c r="H24" s="119">
        <f t="shared" si="2"/>
        <v>0</v>
      </c>
      <c r="I24" s="119">
        <f t="shared" si="2"/>
        <v>0</v>
      </c>
      <c r="J24" s="119">
        <f t="shared" si="2"/>
        <v>0</v>
      </c>
      <c r="K24" s="120">
        <f>K6/K$22</f>
        <v>0.36084391824351614</v>
      </c>
    </row>
    <row r="25" spans="2:11" ht="12.75" customHeight="1">
      <c r="D25" s="121">
        <f t="shared" ref="D25:K35" si="3">D7/D$22</f>
        <v>0.2110307938621771</v>
      </c>
      <c r="E25" s="117">
        <f t="shared" si="3"/>
        <v>0.15415774763393644</v>
      </c>
      <c r="F25" s="117">
        <f t="shared" si="3"/>
        <v>0.15318195493557057</v>
      </c>
      <c r="G25" s="117">
        <f t="shared" si="3"/>
        <v>0</v>
      </c>
      <c r="H25" s="117">
        <f t="shared" si="3"/>
        <v>0</v>
      </c>
      <c r="I25" s="117">
        <f t="shared" si="3"/>
        <v>0</v>
      </c>
      <c r="J25" s="117">
        <f t="shared" si="3"/>
        <v>0</v>
      </c>
      <c r="K25" s="122">
        <f t="shared" si="3"/>
        <v>0.21650635094610968</v>
      </c>
    </row>
    <row r="26" spans="2:11" ht="12.75" customHeight="1">
      <c r="D26" s="121">
        <f t="shared" si="3"/>
        <v>0.2110307938621771</v>
      </c>
      <c r="E26" s="117">
        <f t="shared" si="3"/>
        <v>6.4646797394876582E-2</v>
      </c>
      <c r="F26" s="117">
        <f t="shared" si="3"/>
        <v>4.2978479927637233E-3</v>
      </c>
      <c r="G26" s="117">
        <f t="shared" si="3"/>
        <v>-0.35355339059327373</v>
      </c>
      <c r="H26" s="117">
        <f t="shared" si="3"/>
        <v>0.53300179088902611</v>
      </c>
      <c r="I26" s="117">
        <f t="shared" si="3"/>
        <v>0</v>
      </c>
      <c r="J26" s="117">
        <f t="shared" si="3"/>
        <v>0</v>
      </c>
      <c r="K26" s="122">
        <f t="shared" si="3"/>
        <v>0.28867513459481292</v>
      </c>
    </row>
    <row r="27" spans="2:11" ht="12.75" customHeight="1">
      <c r="D27" s="121">
        <f t="shared" si="3"/>
        <v>0.28079509159779098</v>
      </c>
      <c r="E27" s="117">
        <f t="shared" si="3"/>
        <v>0.42269059835111605</v>
      </c>
      <c r="F27" s="117">
        <f t="shared" si="3"/>
        <v>0.1072273684548994</v>
      </c>
      <c r="G27" s="117">
        <f t="shared" si="3"/>
        <v>-0.35355339059327373</v>
      </c>
      <c r="H27" s="117">
        <f t="shared" si="3"/>
        <v>0</v>
      </c>
      <c r="I27" s="117">
        <f t="shared" si="3"/>
        <v>0</v>
      </c>
      <c r="J27" s="117">
        <f t="shared" si="3"/>
        <v>0.70710678118654746</v>
      </c>
      <c r="K27" s="122">
        <f t="shared" si="3"/>
        <v>0.57735026918962584</v>
      </c>
    </row>
    <row r="28" spans="2:11" ht="12.75" customHeight="1">
      <c r="D28" s="121">
        <f t="shared" si="3"/>
        <v>0.2482715221907966</v>
      </c>
      <c r="E28" s="117">
        <f t="shared" si="3"/>
        <v>0.37296229266274944</v>
      </c>
      <c r="F28" s="117">
        <f t="shared" si="3"/>
        <v>4.617341784486485E-3</v>
      </c>
      <c r="G28" s="117">
        <f t="shared" si="3"/>
        <v>0</v>
      </c>
      <c r="H28" s="117">
        <f t="shared" si="3"/>
        <v>0</v>
      </c>
      <c r="I28" s="117">
        <f t="shared" si="3"/>
        <v>0</v>
      </c>
      <c r="J28" s="117">
        <f t="shared" si="3"/>
        <v>0</v>
      </c>
      <c r="K28" s="122">
        <f t="shared" si="3"/>
        <v>0.36084391824351614</v>
      </c>
    </row>
    <row r="29" spans="2:11" ht="12.75" customHeight="1">
      <c r="D29" s="121">
        <f t="shared" si="3"/>
        <v>0.24082337652507271</v>
      </c>
      <c r="E29" s="117">
        <f t="shared" si="3"/>
        <v>1.8896756161579306E-2</v>
      </c>
      <c r="F29" s="117">
        <f t="shared" si="3"/>
        <v>1.1379230938070957E-2</v>
      </c>
      <c r="G29" s="117">
        <f t="shared" si="3"/>
        <v>0</v>
      </c>
      <c r="H29" s="117">
        <f t="shared" si="3"/>
        <v>0</v>
      </c>
      <c r="I29" s="117">
        <f t="shared" si="3"/>
        <v>0</v>
      </c>
      <c r="J29" s="117">
        <f t="shared" si="3"/>
        <v>0.70710678118654746</v>
      </c>
      <c r="K29" s="122">
        <f t="shared" si="3"/>
        <v>0.36084391824351614</v>
      </c>
    </row>
    <row r="30" spans="2:11" ht="12.75" customHeight="1">
      <c r="D30" s="121">
        <f t="shared" si="3"/>
        <v>0.2482715221907966</v>
      </c>
      <c r="E30" s="117">
        <f t="shared" si="3"/>
        <v>0.38290795380042281</v>
      </c>
      <c r="F30" s="117">
        <f t="shared" si="3"/>
        <v>0.78779291109722005</v>
      </c>
      <c r="G30" s="117">
        <f t="shared" si="3"/>
        <v>0</v>
      </c>
      <c r="H30" s="117">
        <f t="shared" si="3"/>
        <v>-0.53300179088902611</v>
      </c>
      <c r="I30" s="117">
        <f t="shared" si="3"/>
        <v>0</v>
      </c>
      <c r="J30" s="117">
        <f t="shared" si="3"/>
        <v>0</v>
      </c>
      <c r="K30" s="122">
        <f t="shared" si="3"/>
        <v>7.216878364870323E-2</v>
      </c>
    </row>
    <row r="31" spans="2:11" ht="12.75" customHeight="1">
      <c r="D31" s="121">
        <f t="shared" si="3"/>
        <v>0.11172218498585847</v>
      </c>
      <c r="E31" s="117">
        <f t="shared" si="3"/>
        <v>0.13426642535858982</v>
      </c>
      <c r="F31" s="117">
        <f t="shared" si="3"/>
        <v>0.24421580244013821</v>
      </c>
      <c r="G31" s="117">
        <f t="shared" si="3"/>
        <v>0.35355339059327373</v>
      </c>
      <c r="H31" s="117">
        <f t="shared" si="3"/>
        <v>-0.53300179088902611</v>
      </c>
      <c r="I31" s="117">
        <f t="shared" si="3"/>
        <v>0.57735026918962584</v>
      </c>
      <c r="J31" s="117">
        <f t="shared" si="3"/>
        <v>0</v>
      </c>
      <c r="K31" s="122">
        <f t="shared" si="3"/>
        <v>0.14433756729740646</v>
      </c>
    </row>
    <row r="32" spans="2:11" ht="12.75" customHeight="1">
      <c r="D32" s="121">
        <f t="shared" si="3"/>
        <v>0.22344436997171693</v>
      </c>
      <c r="E32" s="117">
        <f t="shared" si="3"/>
        <v>5.9673966826039912E-2</v>
      </c>
      <c r="F32" s="117">
        <f t="shared" si="3"/>
        <v>3.6282240183310856E-3</v>
      </c>
      <c r="G32" s="117">
        <f t="shared" si="3"/>
        <v>0.35355339059327373</v>
      </c>
      <c r="H32" s="117">
        <f t="shared" si="3"/>
        <v>0</v>
      </c>
      <c r="I32" s="117">
        <f t="shared" si="3"/>
        <v>0</v>
      </c>
      <c r="J32" s="117">
        <f t="shared" si="3"/>
        <v>0</v>
      </c>
      <c r="K32" s="122">
        <f t="shared" si="3"/>
        <v>0.21650635094610968</v>
      </c>
    </row>
    <row r="33" spans="3:11" ht="12.75" customHeight="1">
      <c r="D33" s="121">
        <f t="shared" si="3"/>
        <v>0.19861721775263727</v>
      </c>
      <c r="E33" s="117">
        <f t="shared" si="3"/>
        <v>0.35307097038740282</v>
      </c>
      <c r="F33" s="117">
        <f t="shared" si="3"/>
        <v>9.6285800245215783E-2</v>
      </c>
      <c r="G33" s="117">
        <f t="shared" si="3"/>
        <v>0.35355339059327373</v>
      </c>
      <c r="H33" s="117">
        <f t="shared" si="3"/>
        <v>0</v>
      </c>
      <c r="I33" s="117">
        <f t="shared" si="3"/>
        <v>0</v>
      </c>
      <c r="J33" s="117">
        <f t="shared" si="3"/>
        <v>0</v>
      </c>
      <c r="K33" s="122">
        <f t="shared" si="3"/>
        <v>0.14433756729740646</v>
      </c>
    </row>
    <row r="34" spans="3:11" ht="12.75" customHeight="1">
      <c r="D34" s="121">
        <f t="shared" si="3"/>
        <v>0.55612820970738441</v>
      </c>
      <c r="E34" s="117">
        <f t="shared" si="3"/>
        <v>8.5532685783990536E-2</v>
      </c>
      <c r="F34" s="117">
        <f t="shared" si="3"/>
        <v>1.8381834592268467E-2</v>
      </c>
      <c r="G34" s="117">
        <f t="shared" si="3"/>
        <v>0.35355339059327373</v>
      </c>
      <c r="H34" s="117">
        <f t="shared" si="3"/>
        <v>-0.21320071635561041</v>
      </c>
      <c r="I34" s="117">
        <f t="shared" si="3"/>
        <v>0.57735026918962584</v>
      </c>
      <c r="J34" s="117">
        <f t="shared" si="3"/>
        <v>0</v>
      </c>
      <c r="K34" s="122">
        <f>K16/K$22</f>
        <v>0.21650635094610968</v>
      </c>
    </row>
    <row r="35" spans="3:11" ht="13.15" customHeight="1" thickBot="1">
      <c r="D35" s="123">
        <f t="shared" si="3"/>
        <v>0.37240728328619488</v>
      </c>
      <c r="E35" s="124">
        <f t="shared" si="3"/>
        <v>0.40279927607576937</v>
      </c>
      <c r="F35" s="124">
        <f t="shared" si="3"/>
        <v>0.43766272838734449</v>
      </c>
      <c r="G35" s="124">
        <f t="shared" si="3"/>
        <v>0.35355339059327373</v>
      </c>
      <c r="H35" s="124">
        <f t="shared" si="3"/>
        <v>0.31980107453341566</v>
      </c>
      <c r="I35" s="124">
        <f t="shared" si="3"/>
        <v>0.57735026918962584</v>
      </c>
      <c r="J35" s="124">
        <f t="shared" si="3"/>
        <v>0</v>
      </c>
      <c r="K35" s="125">
        <f t="shared" si="3"/>
        <v>7.216878364870323E-2</v>
      </c>
    </row>
    <row r="36" spans="3:11" ht="13" thickBot="1">
      <c r="D36" s="115"/>
      <c r="E36" s="115"/>
      <c r="F36" s="115"/>
      <c r="G36" s="115"/>
      <c r="H36" s="115"/>
      <c r="I36" s="115"/>
      <c r="J36" s="115"/>
      <c r="K36" s="115"/>
    </row>
    <row r="37" spans="3:11" ht="13.15" customHeight="1" thickBot="1">
      <c r="C37" s="417" t="s">
        <v>859</v>
      </c>
      <c r="D37" s="118">
        <f>D$20*D24</f>
        <v>5.6080155600744648E-2</v>
      </c>
      <c r="E37" s="119">
        <f t="shared" ref="E37:K37" si="4">E$20*E24</f>
        <v>7.7225133539581062E-2</v>
      </c>
      <c r="F37" s="119">
        <f t="shared" si="4"/>
        <v>5.663870602659752E-2</v>
      </c>
      <c r="G37" s="119">
        <f t="shared" si="4"/>
        <v>2.7729677693590096E-2</v>
      </c>
      <c r="H37" s="119">
        <f t="shared" si="4"/>
        <v>0</v>
      </c>
      <c r="I37" s="119">
        <f t="shared" si="4"/>
        <v>0</v>
      </c>
      <c r="J37" s="119">
        <f t="shared" si="4"/>
        <v>0</v>
      </c>
      <c r="K37" s="120">
        <f t="shared" si="4"/>
        <v>5.6602967567610372E-2</v>
      </c>
    </row>
    <row r="38" spans="3:11" ht="12.75" customHeight="1">
      <c r="D38" s="121">
        <f t="shared" ref="D38:K48" si="5">D$20*D25</f>
        <v>3.7240728328619493E-2</v>
      </c>
      <c r="E38" s="117">
        <f t="shared" si="5"/>
        <v>2.7204308405988784E-2</v>
      </c>
      <c r="F38" s="117">
        <f t="shared" si="5"/>
        <v>3.0035677438347171E-2</v>
      </c>
      <c r="G38" s="117">
        <f t="shared" si="5"/>
        <v>0</v>
      </c>
      <c r="H38" s="117">
        <f t="shared" si="5"/>
        <v>0</v>
      </c>
      <c r="I38" s="117">
        <f t="shared" si="5"/>
        <v>0</v>
      </c>
      <c r="J38" s="117">
        <f t="shared" si="5"/>
        <v>0</v>
      </c>
      <c r="K38" s="122">
        <f t="shared" si="5"/>
        <v>3.3961780540566221E-2</v>
      </c>
    </row>
    <row r="39" spans="3:11" ht="12.75" customHeight="1">
      <c r="D39" s="121">
        <f t="shared" si="5"/>
        <v>3.7240728328619493E-2</v>
      </c>
      <c r="E39" s="117">
        <f t="shared" si="5"/>
        <v>1.140825836380175E-2</v>
      </c>
      <c r="F39" s="117">
        <f t="shared" si="5"/>
        <v>8.4271529269876926E-4</v>
      </c>
      <c r="G39" s="117">
        <f t="shared" si="5"/>
        <v>-2.7729677693590096E-2</v>
      </c>
      <c r="H39" s="117">
        <f t="shared" si="5"/>
        <v>3.1353046522883891E-2</v>
      </c>
      <c r="I39" s="117">
        <f t="shared" si="5"/>
        <v>0</v>
      </c>
      <c r="J39" s="117">
        <f t="shared" si="5"/>
        <v>0</v>
      </c>
      <c r="K39" s="122">
        <f t="shared" si="5"/>
        <v>4.5282374054088304E-2</v>
      </c>
    </row>
    <row r="40" spans="3:11" ht="12.75" customHeight="1">
      <c r="D40" s="121">
        <f t="shared" si="5"/>
        <v>4.9552074987845474E-2</v>
      </c>
      <c r="E40" s="117">
        <f t="shared" si="5"/>
        <v>7.4592458532549893E-2</v>
      </c>
      <c r="F40" s="117">
        <f t="shared" si="5"/>
        <v>2.102497420684302E-2</v>
      </c>
      <c r="G40" s="117">
        <f t="shared" si="5"/>
        <v>-2.7729677693590096E-2</v>
      </c>
      <c r="H40" s="117">
        <f t="shared" si="5"/>
        <v>0</v>
      </c>
      <c r="I40" s="117">
        <f t="shared" si="5"/>
        <v>0</v>
      </c>
      <c r="J40" s="117">
        <f t="shared" si="5"/>
        <v>6.9324194233975234E-2</v>
      </c>
      <c r="K40" s="122">
        <f t="shared" si="5"/>
        <v>9.0564748108176607E-2</v>
      </c>
    </row>
    <row r="41" spans="3:11" ht="12.75" customHeight="1">
      <c r="D41" s="121">
        <f t="shared" si="5"/>
        <v>4.3812621563081758E-2</v>
      </c>
      <c r="E41" s="117">
        <f t="shared" si="5"/>
        <v>6.5816875175779319E-2</v>
      </c>
      <c r="F41" s="117">
        <f t="shared" si="5"/>
        <v>9.0536113421303623E-4</v>
      </c>
      <c r="G41" s="117">
        <f t="shared" si="5"/>
        <v>0</v>
      </c>
      <c r="H41" s="117">
        <f t="shared" si="5"/>
        <v>0</v>
      </c>
      <c r="I41" s="117">
        <f>I$20*I28</f>
        <v>0</v>
      </c>
      <c r="J41" s="117">
        <f t="shared" si="5"/>
        <v>0</v>
      </c>
      <c r="K41" s="122">
        <f t="shared" si="5"/>
        <v>5.6602967567610372E-2</v>
      </c>
    </row>
    <row r="42" spans="3:11" ht="12.75" customHeight="1">
      <c r="D42" s="121">
        <f t="shared" si="5"/>
        <v>4.2498242916189304E-2</v>
      </c>
      <c r="E42" s="117">
        <f t="shared" si="5"/>
        <v>3.3347216755728187E-3</v>
      </c>
      <c r="F42" s="117">
        <f t="shared" si="5"/>
        <v>2.2312217525629328E-3</v>
      </c>
      <c r="G42" s="117">
        <f t="shared" si="5"/>
        <v>0</v>
      </c>
      <c r="H42" s="117">
        <f t="shared" si="5"/>
        <v>0</v>
      </c>
      <c r="I42" s="117">
        <f t="shared" si="5"/>
        <v>0</v>
      </c>
      <c r="J42" s="117">
        <f t="shared" si="5"/>
        <v>6.9324194233975234E-2</v>
      </c>
      <c r="K42" s="122">
        <f t="shared" si="5"/>
        <v>5.6602967567610372E-2</v>
      </c>
    </row>
    <row r="43" spans="3:11" ht="12.75" customHeight="1">
      <c r="D43" s="121">
        <f t="shared" si="5"/>
        <v>4.3812621563081758E-2</v>
      </c>
      <c r="E43" s="117">
        <f t="shared" si="5"/>
        <v>6.7571991847133445E-2</v>
      </c>
      <c r="F43" s="117">
        <f t="shared" si="5"/>
        <v>0.15446919825435687</v>
      </c>
      <c r="G43" s="117">
        <f t="shared" si="5"/>
        <v>0</v>
      </c>
      <c r="H43" s="117">
        <f t="shared" si="5"/>
        <v>-3.1353046522883891E-2</v>
      </c>
      <c r="I43" s="117">
        <f t="shared" si="5"/>
        <v>0</v>
      </c>
      <c r="J43" s="117">
        <f t="shared" si="5"/>
        <v>0</v>
      </c>
      <c r="K43" s="122">
        <f t="shared" si="5"/>
        <v>1.1320593513522076E-2</v>
      </c>
    </row>
    <row r="44" spans="3:11" ht="12.75" customHeight="1">
      <c r="D44" s="121">
        <f t="shared" si="5"/>
        <v>1.971567970338679E-2</v>
      </c>
      <c r="E44" s="117">
        <f t="shared" si="5"/>
        <v>2.3694075063280556E-2</v>
      </c>
      <c r="F44" s="117">
        <f t="shared" si="5"/>
        <v>4.7885451458850627E-2</v>
      </c>
      <c r="G44" s="117">
        <f t="shared" si="5"/>
        <v>2.7729677693590096E-2</v>
      </c>
      <c r="H44" s="117">
        <f t="shared" si="5"/>
        <v>-3.1353046522883891E-2</v>
      </c>
      <c r="I44" s="117">
        <f>I$20*I31</f>
        <v>3.3961780540566228E-2</v>
      </c>
      <c r="J44" s="117">
        <f t="shared" si="5"/>
        <v>0</v>
      </c>
      <c r="K44" s="122">
        <f t="shared" si="5"/>
        <v>2.2641187027044152E-2</v>
      </c>
    </row>
    <row r="45" spans="3:11" ht="12.75" customHeight="1">
      <c r="D45" s="121">
        <f t="shared" si="5"/>
        <v>3.9431359406773579E-2</v>
      </c>
      <c r="E45" s="117">
        <f t="shared" si="5"/>
        <v>1.0530700028124691E-2</v>
      </c>
      <c r="F45" s="117">
        <f t="shared" si="5"/>
        <v>7.1141647418256581E-4</v>
      </c>
      <c r="G45" s="117">
        <f t="shared" si="5"/>
        <v>2.7729677693590096E-2</v>
      </c>
      <c r="H45" s="117">
        <f t="shared" si="5"/>
        <v>0</v>
      </c>
      <c r="I45" s="117">
        <f t="shared" si="5"/>
        <v>0</v>
      </c>
      <c r="J45" s="117">
        <f t="shared" si="5"/>
        <v>0</v>
      </c>
      <c r="K45" s="122">
        <f t="shared" si="5"/>
        <v>3.3961780540566221E-2</v>
      </c>
    </row>
    <row r="46" spans="3:11" ht="12.75" customHeight="1">
      <c r="D46" s="121">
        <f t="shared" si="5"/>
        <v>3.5050097250465401E-2</v>
      </c>
      <c r="E46" s="117">
        <f t="shared" si="5"/>
        <v>6.2306641833071087E-2</v>
      </c>
      <c r="F46" s="117">
        <f t="shared" si="5"/>
        <v>1.8879568675532508E-2</v>
      </c>
      <c r="G46" s="117">
        <f t="shared" si="5"/>
        <v>2.7729677693590096E-2</v>
      </c>
      <c r="H46" s="117">
        <f t="shared" si="5"/>
        <v>0</v>
      </c>
      <c r="I46" s="117">
        <f t="shared" si="5"/>
        <v>0</v>
      </c>
      <c r="J46" s="117">
        <f t="shared" si="5"/>
        <v>0</v>
      </c>
      <c r="K46" s="122">
        <f t="shared" si="5"/>
        <v>2.2641187027044152E-2</v>
      </c>
    </row>
    <row r="47" spans="3:11" ht="12.75" customHeight="1">
      <c r="D47" s="121">
        <f t="shared" si="5"/>
        <v>9.8140272301303136E-2</v>
      </c>
      <c r="E47" s="117">
        <f t="shared" si="5"/>
        <v>1.5094003373645391E-2</v>
      </c>
      <c r="F47" s="117">
        <f t="shared" si="5"/>
        <v>3.6042812926016599E-3</v>
      </c>
      <c r="G47" s="117">
        <f t="shared" si="5"/>
        <v>2.7729677693590096E-2</v>
      </c>
      <c r="H47" s="117">
        <f t="shared" si="5"/>
        <v>-1.2541218609153554E-2</v>
      </c>
      <c r="I47" s="117">
        <f t="shared" si="5"/>
        <v>3.3961780540566228E-2</v>
      </c>
      <c r="J47" s="117">
        <f t="shared" si="5"/>
        <v>0</v>
      </c>
      <c r="K47" s="122">
        <f t="shared" si="5"/>
        <v>3.3961780540566221E-2</v>
      </c>
    </row>
    <row r="48" spans="3:11" ht="12.75" customHeight="1" thickBot="1">
      <c r="D48" s="123">
        <f t="shared" si="5"/>
        <v>6.571893234462263E-2</v>
      </c>
      <c r="E48" s="124">
        <f>E$20*E35</f>
        <v>7.1082225189841655E-2</v>
      </c>
      <c r="F48" s="124">
        <f t="shared" si="5"/>
        <v>8.5816221252420485E-2</v>
      </c>
      <c r="G48" s="124">
        <f t="shared" si="5"/>
        <v>2.7729677693590096E-2</v>
      </c>
      <c r="H48" s="124">
        <f t="shared" si="5"/>
        <v>1.8811827913730334E-2</v>
      </c>
      <c r="I48" s="124">
        <f t="shared" si="5"/>
        <v>3.3961780540566228E-2</v>
      </c>
      <c r="J48" s="124">
        <f t="shared" si="5"/>
        <v>0</v>
      </c>
      <c r="K48" s="125">
        <f t="shared" si="5"/>
        <v>1.1320593513522076E-2</v>
      </c>
    </row>
    <row r="49" spans="3:12" ht="13" thickBot="1"/>
    <row r="50" spans="3:12" ht="13.5" thickBot="1">
      <c r="L50" s="418" t="s">
        <v>882</v>
      </c>
    </row>
    <row r="51" spans="3:12" ht="13.5" thickBot="1">
      <c r="C51" s="133" t="s">
        <v>861</v>
      </c>
      <c r="D51" s="118">
        <f t="shared" ref="D51:F62" si="6">D37-MIN(D$37:D$48)</f>
        <v>3.6364475897357862E-2</v>
      </c>
      <c r="E51" s="119">
        <f t="shared" si="6"/>
        <v>7.3890411864008243E-2</v>
      </c>
      <c r="F51" s="119">
        <f t="shared" si="6"/>
        <v>5.5927289552414952E-2</v>
      </c>
      <c r="G51" s="119">
        <f t="shared" ref="G51:G62" si="7">G37-MAX(G$37:G$48)</f>
        <v>0</v>
      </c>
      <c r="H51" s="119">
        <f t="shared" ref="H51:H62" si="8">H37-MIN(H$37:H$48)</f>
        <v>3.1353046522883891E-2</v>
      </c>
      <c r="I51" s="119">
        <f t="shared" ref="I51:J62" si="9">I37-MAX(I$37:I$48)</f>
        <v>-3.3961780540566228E-2</v>
      </c>
      <c r="J51" s="119">
        <f t="shared" si="9"/>
        <v>-6.9324194233975234E-2</v>
      </c>
      <c r="K51" s="138">
        <f t="shared" ref="K51:K62" si="10">K37-MIN(K$37:K$48)</f>
        <v>4.5282374054088297E-2</v>
      </c>
      <c r="L51" s="419">
        <f>SQRT(SUMSQ(D51:K51))</f>
        <v>0.13748739272863514</v>
      </c>
    </row>
    <row r="52" spans="3:12">
      <c r="D52" s="121">
        <f t="shared" si="6"/>
        <v>1.7525048625232704E-2</v>
      </c>
      <c r="E52" s="117">
        <f t="shared" si="6"/>
        <v>2.3869586730415965E-2</v>
      </c>
      <c r="F52" s="117">
        <f t="shared" si="6"/>
        <v>2.9324260964164607E-2</v>
      </c>
      <c r="G52" s="117">
        <f t="shared" si="7"/>
        <v>-2.7729677693590096E-2</v>
      </c>
      <c r="H52" s="117">
        <f t="shared" si="8"/>
        <v>3.1353046522883891E-2</v>
      </c>
      <c r="I52" s="117">
        <f t="shared" si="9"/>
        <v>-3.3961780540566228E-2</v>
      </c>
      <c r="J52" s="117">
        <f t="shared" si="9"/>
        <v>-6.9324194233975234E-2</v>
      </c>
      <c r="K52" s="139">
        <f t="shared" si="10"/>
        <v>2.2641187027044145E-2</v>
      </c>
      <c r="L52" s="419">
        <f t="shared" ref="L52:L62" si="11">SQRT(SUMSQ(D52:K52))</f>
        <v>9.9802881351279932E-2</v>
      </c>
    </row>
    <row r="53" spans="3:12">
      <c r="D53" s="121">
        <f t="shared" si="6"/>
        <v>1.7525048625232704E-2</v>
      </c>
      <c r="E53" s="117">
        <f t="shared" si="6"/>
        <v>8.0735366882289314E-3</v>
      </c>
      <c r="F53" s="117">
        <f t="shared" si="6"/>
        <v>1.3129881851620345E-4</v>
      </c>
      <c r="G53" s="117">
        <f t="shared" si="7"/>
        <v>-5.5459355387180193E-2</v>
      </c>
      <c r="H53" s="117">
        <f t="shared" si="8"/>
        <v>6.2706093045767783E-2</v>
      </c>
      <c r="I53" s="117">
        <f t="shared" si="9"/>
        <v>-3.3961780540566228E-2</v>
      </c>
      <c r="J53" s="117">
        <f t="shared" si="9"/>
        <v>-6.9324194233975234E-2</v>
      </c>
      <c r="K53" s="139">
        <f t="shared" si="10"/>
        <v>3.3961780540566228E-2</v>
      </c>
      <c r="L53" s="419">
        <f t="shared" si="11"/>
        <v>0.12038592006351832</v>
      </c>
    </row>
    <row r="54" spans="3:12">
      <c r="D54" s="121">
        <f t="shared" si="6"/>
        <v>2.9836395284458684E-2</v>
      </c>
      <c r="E54" s="117">
        <f t="shared" si="6"/>
        <v>7.1257736856977075E-2</v>
      </c>
      <c r="F54" s="117">
        <f t="shared" si="6"/>
        <v>2.0313557732660456E-2</v>
      </c>
      <c r="G54" s="117">
        <f t="shared" si="7"/>
        <v>-5.5459355387180193E-2</v>
      </c>
      <c r="H54" s="117">
        <f t="shared" si="8"/>
        <v>3.1353046522883891E-2</v>
      </c>
      <c r="I54" s="117">
        <f t="shared" si="9"/>
        <v>-3.3961780540566228E-2</v>
      </c>
      <c r="J54" s="117">
        <f t="shared" si="9"/>
        <v>0</v>
      </c>
      <c r="K54" s="139">
        <f t="shared" si="10"/>
        <v>7.9244154594654531E-2</v>
      </c>
      <c r="L54" s="419">
        <f t="shared" si="11"/>
        <v>0.13368735308338464</v>
      </c>
    </row>
    <row r="55" spans="3:12">
      <c r="D55" s="121">
        <f t="shared" si="6"/>
        <v>2.4096941859694968E-2</v>
      </c>
      <c r="E55" s="117">
        <f t="shared" si="6"/>
        <v>6.24821535002065E-2</v>
      </c>
      <c r="F55" s="117">
        <f t="shared" si="6"/>
        <v>1.9394466003047042E-4</v>
      </c>
      <c r="G55" s="117">
        <f t="shared" si="7"/>
        <v>-2.7729677693590096E-2</v>
      </c>
      <c r="H55" s="117">
        <f t="shared" si="8"/>
        <v>3.1353046522883891E-2</v>
      </c>
      <c r="I55" s="117">
        <f t="shared" si="9"/>
        <v>-3.3961780540566228E-2</v>
      </c>
      <c r="J55" s="117">
        <f t="shared" si="9"/>
        <v>-6.9324194233975234E-2</v>
      </c>
      <c r="K55" s="139">
        <f t="shared" si="10"/>
        <v>4.5282374054088297E-2</v>
      </c>
      <c r="L55" s="419">
        <f t="shared" si="11"/>
        <v>0.11935831819546733</v>
      </c>
    </row>
    <row r="56" spans="3:12">
      <c r="D56" s="121">
        <f t="shared" si="6"/>
        <v>2.2782563212802514E-2</v>
      </c>
      <c r="E56" s="117">
        <f t="shared" si="6"/>
        <v>0</v>
      </c>
      <c r="F56" s="117">
        <f t="shared" si="6"/>
        <v>1.5198052783803669E-3</v>
      </c>
      <c r="G56" s="117">
        <f t="shared" si="7"/>
        <v>-2.7729677693590096E-2</v>
      </c>
      <c r="H56" s="117">
        <f t="shared" si="8"/>
        <v>3.1353046522883891E-2</v>
      </c>
      <c r="I56" s="117">
        <f t="shared" si="9"/>
        <v>-3.3961780540566228E-2</v>
      </c>
      <c r="J56" s="117">
        <f t="shared" si="9"/>
        <v>0</v>
      </c>
      <c r="K56" s="139">
        <f t="shared" si="10"/>
        <v>4.5282374054088297E-2</v>
      </c>
      <c r="L56" s="419">
        <f t="shared" si="11"/>
        <v>7.4008104173434924E-2</v>
      </c>
    </row>
    <row r="57" spans="3:12">
      <c r="D57" s="121">
        <f t="shared" si="6"/>
        <v>2.4096941859694968E-2</v>
      </c>
      <c r="E57" s="117">
        <f t="shared" si="6"/>
        <v>6.4237270171560626E-2</v>
      </c>
      <c r="F57" s="117">
        <f t="shared" si="6"/>
        <v>0.1537577817801743</v>
      </c>
      <c r="G57" s="117">
        <f t="shared" si="7"/>
        <v>-2.7729677693590096E-2</v>
      </c>
      <c r="H57" s="117">
        <f t="shared" si="8"/>
        <v>0</v>
      </c>
      <c r="I57" s="117">
        <f t="shared" si="9"/>
        <v>-3.3961780540566228E-2</v>
      </c>
      <c r="J57" s="117">
        <f t="shared" si="9"/>
        <v>-6.9324194233975234E-2</v>
      </c>
      <c r="K57" s="139">
        <f t="shared" si="10"/>
        <v>0</v>
      </c>
      <c r="L57" s="419">
        <f t="shared" si="11"/>
        <v>0.18728781704293843</v>
      </c>
    </row>
    <row r="58" spans="3:12">
      <c r="D58" s="121">
        <f t="shared" si="6"/>
        <v>0</v>
      </c>
      <c r="E58" s="117">
        <f t="shared" si="6"/>
        <v>2.0359353387707738E-2</v>
      </c>
      <c r="F58" s="117">
        <f t="shared" si="6"/>
        <v>4.7174034984668059E-2</v>
      </c>
      <c r="G58" s="117">
        <f t="shared" si="7"/>
        <v>0</v>
      </c>
      <c r="H58" s="117">
        <f t="shared" si="8"/>
        <v>0</v>
      </c>
      <c r="I58" s="117">
        <f t="shared" si="9"/>
        <v>0</v>
      </c>
      <c r="J58" s="117">
        <f t="shared" si="9"/>
        <v>-6.9324194233975234E-2</v>
      </c>
      <c r="K58" s="139">
        <f t="shared" si="10"/>
        <v>1.1320593513522076E-2</v>
      </c>
      <c r="L58" s="419">
        <f t="shared" si="11"/>
        <v>8.7028113795420012E-2</v>
      </c>
    </row>
    <row r="59" spans="3:12">
      <c r="D59" s="121">
        <f t="shared" si="6"/>
        <v>1.971567970338679E-2</v>
      </c>
      <c r="E59" s="117">
        <f t="shared" si="6"/>
        <v>7.1959783525518718E-3</v>
      </c>
      <c r="F59" s="117">
        <f t="shared" si="6"/>
        <v>0</v>
      </c>
      <c r="G59" s="117">
        <f t="shared" si="7"/>
        <v>0</v>
      </c>
      <c r="H59" s="117">
        <f t="shared" si="8"/>
        <v>3.1353046522883891E-2</v>
      </c>
      <c r="I59" s="117">
        <f t="shared" si="9"/>
        <v>-3.3961780540566228E-2</v>
      </c>
      <c r="J59" s="117">
        <f t="shared" si="9"/>
        <v>-6.9324194233975234E-2</v>
      </c>
      <c r="K59" s="139">
        <f t="shared" si="10"/>
        <v>2.2641187027044145E-2</v>
      </c>
      <c r="L59" s="419">
        <f t="shared" si="11"/>
        <v>8.8855913987489626E-2</v>
      </c>
    </row>
    <row r="60" spans="3:12">
      <c r="D60" s="121">
        <f t="shared" si="6"/>
        <v>1.5334417547078611E-2</v>
      </c>
      <c r="E60" s="117">
        <f t="shared" si="6"/>
        <v>5.8971920157498268E-2</v>
      </c>
      <c r="F60" s="117">
        <f t="shared" si="6"/>
        <v>1.8168152201349944E-2</v>
      </c>
      <c r="G60" s="117">
        <f t="shared" si="7"/>
        <v>0</v>
      </c>
      <c r="H60" s="117">
        <f t="shared" si="8"/>
        <v>3.1353046522883891E-2</v>
      </c>
      <c r="I60" s="117">
        <f t="shared" si="9"/>
        <v>-3.3961780540566228E-2</v>
      </c>
      <c r="J60" s="117">
        <f t="shared" si="9"/>
        <v>-6.9324194233975234E-2</v>
      </c>
      <c r="K60" s="139">
        <f t="shared" si="10"/>
        <v>1.1320593513522076E-2</v>
      </c>
      <c r="L60" s="419">
        <f t="shared" si="11"/>
        <v>0.10541977656218945</v>
      </c>
    </row>
    <row r="61" spans="3:12">
      <c r="D61" s="121">
        <f t="shared" si="6"/>
        <v>7.8424592597916343E-2</v>
      </c>
      <c r="E61" s="117">
        <f t="shared" si="6"/>
        <v>1.1759281698072572E-2</v>
      </c>
      <c r="F61" s="117">
        <f t="shared" si="6"/>
        <v>2.892864818419094E-3</v>
      </c>
      <c r="G61" s="117">
        <f t="shared" si="7"/>
        <v>0</v>
      </c>
      <c r="H61" s="117">
        <f t="shared" si="8"/>
        <v>1.8811827913730338E-2</v>
      </c>
      <c r="I61" s="117">
        <f t="shared" si="9"/>
        <v>0</v>
      </c>
      <c r="J61" s="117">
        <f t="shared" si="9"/>
        <v>-6.9324194233975234E-2</v>
      </c>
      <c r="K61" s="139">
        <f t="shared" si="10"/>
        <v>2.2641187027044145E-2</v>
      </c>
      <c r="L61" s="419">
        <f t="shared" si="11"/>
        <v>0.10940483637710331</v>
      </c>
    </row>
    <row r="62" spans="3:12" ht="13" thickBot="1">
      <c r="D62" s="123">
        <f t="shared" si="6"/>
        <v>4.6003252641235837E-2</v>
      </c>
      <c r="E62" s="124">
        <f t="shared" si="6"/>
        <v>6.7747503514268836E-2</v>
      </c>
      <c r="F62" s="124">
        <f t="shared" si="6"/>
        <v>8.5104804778237925E-2</v>
      </c>
      <c r="G62" s="124">
        <f t="shared" si="7"/>
        <v>0</v>
      </c>
      <c r="H62" s="124">
        <f t="shared" si="8"/>
        <v>5.0164874436614229E-2</v>
      </c>
      <c r="I62" s="124">
        <f t="shared" si="9"/>
        <v>0</v>
      </c>
      <c r="J62" s="124">
        <f t="shared" si="9"/>
        <v>-6.9324194233975234E-2</v>
      </c>
      <c r="K62" s="140">
        <f t="shared" si="10"/>
        <v>0</v>
      </c>
      <c r="L62" s="420">
        <f t="shared" si="11"/>
        <v>0.14584652829519948</v>
      </c>
    </row>
    <row r="63" spans="3:12" ht="13" thickBot="1"/>
    <row r="64" spans="3:12" ht="13.5" thickBot="1">
      <c r="L64" s="418" t="s">
        <v>883</v>
      </c>
    </row>
    <row r="65" spans="3:12" ht="13.5" thickBot="1">
      <c r="C65" s="134" t="s">
        <v>883</v>
      </c>
      <c r="D65" s="128">
        <f>D37-MAX(D$51:D$62)</f>
        <v>-2.2344436997171695E-2</v>
      </c>
      <c r="E65" s="129">
        <f t="shared" ref="E65:F65" si="12">E37-MAX(E$51:E$62)</f>
        <v>3.3347216755728187E-3</v>
      </c>
      <c r="F65" s="129">
        <f t="shared" si="12"/>
        <v>-9.7119075753576783E-2</v>
      </c>
      <c r="G65" s="129">
        <f>G37-MIN($G$37:$G$48)</f>
        <v>5.5459355387180193E-2</v>
      </c>
      <c r="H65" s="129">
        <f>H37-MAX(H$37:H$48)</f>
        <v>-3.1353046522883891E-2</v>
      </c>
      <c r="I65" s="129">
        <f>I37-MIN($I$37:$I$48)</f>
        <v>0</v>
      </c>
      <c r="J65" s="129">
        <f>J37-MIN($J$37:$J$48)</f>
        <v>0</v>
      </c>
      <c r="K65" s="135">
        <f>K37-MAX(K$37:K$48)</f>
        <v>-3.3961780540566235E-2</v>
      </c>
      <c r="L65" s="419">
        <f>SQRT(SUMSQ(D65:K65))</f>
        <v>0.12310428616549611</v>
      </c>
    </row>
    <row r="66" spans="3:12">
      <c r="D66" s="130">
        <f t="shared" ref="D66:F76" si="13">D38-MAX(D$51:D$62)</f>
        <v>-4.1183864269296849E-2</v>
      </c>
      <c r="E66" s="127">
        <f t="shared" si="13"/>
        <v>-4.6686103458019462E-2</v>
      </c>
      <c r="F66" s="127">
        <f t="shared" si="13"/>
        <v>-0.12372210434182712</v>
      </c>
      <c r="G66" s="127">
        <f t="shared" ref="G66:G76" si="14">G38-MIN($G$37:$G$48)</f>
        <v>2.7729677693590096E-2</v>
      </c>
      <c r="H66" s="127">
        <f t="shared" ref="H66:H76" si="15">H38-MAX(H$37:H$48)</f>
        <v>-3.1353046522883891E-2</v>
      </c>
      <c r="I66" s="127">
        <f t="shared" ref="I66:I76" si="16">I38-MIN($I$37:$I$48)</f>
        <v>0</v>
      </c>
      <c r="J66" s="127">
        <f t="shared" ref="J66:J76" si="17">J38-MIN($J$37:$J$48)</f>
        <v>0</v>
      </c>
      <c r="K66" s="136">
        <f t="shared" ref="K66:K76" si="18">K38-MAX(K$37:K$48)</f>
        <v>-5.6602967567610386E-2</v>
      </c>
      <c r="L66" s="419">
        <f t="shared" ref="L66:L76" si="19">SQRT(SUMSQ(D66:K66))</f>
        <v>0.15536636226587525</v>
      </c>
    </row>
    <row r="67" spans="3:12">
      <c r="D67" s="130">
        <f t="shared" si="13"/>
        <v>-4.1183864269296849E-2</v>
      </c>
      <c r="E67" s="127">
        <f t="shared" si="13"/>
        <v>-6.2482153500206493E-2</v>
      </c>
      <c r="F67" s="127">
        <f t="shared" si="13"/>
        <v>-0.15291506648747552</v>
      </c>
      <c r="G67" s="127">
        <f t="shared" si="14"/>
        <v>0</v>
      </c>
      <c r="H67" s="127">
        <f t="shared" si="15"/>
        <v>0</v>
      </c>
      <c r="I67" s="127">
        <f t="shared" si="16"/>
        <v>0</v>
      </c>
      <c r="J67" s="127">
        <f t="shared" si="17"/>
        <v>0</v>
      </c>
      <c r="K67" s="136">
        <f t="shared" si="18"/>
        <v>-4.5282374054088304E-2</v>
      </c>
      <c r="L67" s="419">
        <f t="shared" si="19"/>
        <v>0.17616367713299658</v>
      </c>
    </row>
    <row r="68" spans="3:12">
      <c r="D68" s="130">
        <f t="shared" si="13"/>
        <v>-2.8872517610070869E-2</v>
      </c>
      <c r="E68" s="127">
        <f t="shared" si="13"/>
        <v>7.0204666854165043E-4</v>
      </c>
      <c r="F68" s="127">
        <f t="shared" si="13"/>
        <v>-0.13273280757333128</v>
      </c>
      <c r="G68" s="127">
        <f t="shared" si="14"/>
        <v>0</v>
      </c>
      <c r="H68" s="127">
        <f t="shared" si="15"/>
        <v>-3.1353046522883891E-2</v>
      </c>
      <c r="I68" s="127">
        <f t="shared" si="16"/>
        <v>0</v>
      </c>
      <c r="J68" s="127">
        <f t="shared" si="17"/>
        <v>6.9324194233975234E-2</v>
      </c>
      <c r="K68" s="136">
        <f t="shared" si="18"/>
        <v>0</v>
      </c>
      <c r="L68" s="419">
        <f t="shared" si="19"/>
        <v>0.15569512125119303</v>
      </c>
    </row>
    <row r="69" spans="3:12">
      <c r="D69" s="130">
        <f t="shared" si="13"/>
        <v>-3.4611971034834585E-2</v>
      </c>
      <c r="E69" s="127">
        <f t="shared" si="13"/>
        <v>-8.0735366882289245E-3</v>
      </c>
      <c r="F69" s="127">
        <f t="shared" si="13"/>
        <v>-0.15285242064596127</v>
      </c>
      <c r="G69" s="127">
        <f t="shared" si="14"/>
        <v>2.7729677693590096E-2</v>
      </c>
      <c r="H69" s="127">
        <f t="shared" si="15"/>
        <v>-3.1353046522883891E-2</v>
      </c>
      <c r="I69" s="127">
        <f t="shared" si="16"/>
        <v>0</v>
      </c>
      <c r="J69" s="127">
        <f t="shared" si="17"/>
        <v>0</v>
      </c>
      <c r="K69" s="136">
        <f t="shared" si="18"/>
        <v>-3.3961780540566235E-2</v>
      </c>
      <c r="L69" s="419">
        <f t="shared" si="19"/>
        <v>0.16592885258340209</v>
      </c>
    </row>
    <row r="70" spans="3:12">
      <c r="D70" s="130">
        <f t="shared" si="13"/>
        <v>-3.5926349681727039E-2</v>
      </c>
      <c r="E70" s="127">
        <f t="shared" si="13"/>
        <v>-7.0555690188435424E-2</v>
      </c>
      <c r="F70" s="127">
        <f t="shared" si="13"/>
        <v>-0.15152656002761136</v>
      </c>
      <c r="G70" s="127">
        <f t="shared" si="14"/>
        <v>2.7729677693590096E-2</v>
      </c>
      <c r="H70" s="127">
        <f t="shared" si="15"/>
        <v>-3.1353046522883891E-2</v>
      </c>
      <c r="I70" s="127">
        <f t="shared" si="16"/>
        <v>0</v>
      </c>
      <c r="J70" s="127">
        <f t="shared" si="17"/>
        <v>6.9324194233975234E-2</v>
      </c>
      <c r="K70" s="136">
        <f t="shared" si="18"/>
        <v>-3.3961780540566235E-2</v>
      </c>
      <c r="L70" s="419">
        <f t="shared" si="19"/>
        <v>0.19219859887146298</v>
      </c>
    </row>
    <row r="71" spans="3:12">
      <c r="D71" s="130">
        <f t="shared" si="13"/>
        <v>-3.4611971034834585E-2</v>
      </c>
      <c r="E71" s="127">
        <f t="shared" si="13"/>
        <v>-6.3184200168747984E-3</v>
      </c>
      <c r="F71" s="127">
        <f t="shared" si="13"/>
        <v>7.1141647418257459E-4</v>
      </c>
      <c r="G71" s="127">
        <f t="shared" si="14"/>
        <v>2.7729677693590096E-2</v>
      </c>
      <c r="H71" s="127">
        <f t="shared" si="15"/>
        <v>-6.2706093045767783E-2</v>
      </c>
      <c r="I71" s="127">
        <f t="shared" si="16"/>
        <v>0</v>
      </c>
      <c r="J71" s="127">
        <f t="shared" si="17"/>
        <v>0</v>
      </c>
      <c r="K71" s="136">
        <f t="shared" si="18"/>
        <v>-7.9244154594654531E-2</v>
      </c>
      <c r="L71" s="419">
        <f t="shared" si="19"/>
        <v>0.11053977678330092</v>
      </c>
    </row>
    <row r="72" spans="3:12">
      <c r="D72" s="130">
        <f t="shared" si="13"/>
        <v>-5.870891289452955E-2</v>
      </c>
      <c r="E72" s="127">
        <f t="shared" si="13"/>
        <v>-5.0196336800727687E-2</v>
      </c>
      <c r="F72" s="127">
        <f t="shared" si="13"/>
        <v>-0.10587233032132368</v>
      </c>
      <c r="G72" s="127">
        <f t="shared" si="14"/>
        <v>5.5459355387180193E-2</v>
      </c>
      <c r="H72" s="127">
        <f t="shared" si="15"/>
        <v>-6.2706093045767783E-2</v>
      </c>
      <c r="I72" s="127">
        <f t="shared" si="16"/>
        <v>3.3961780540566228E-2</v>
      </c>
      <c r="J72" s="127">
        <f t="shared" si="17"/>
        <v>0</v>
      </c>
      <c r="K72" s="136">
        <f t="shared" si="18"/>
        <v>-6.7923561081132455E-2</v>
      </c>
      <c r="L72" s="419">
        <f t="shared" si="19"/>
        <v>0.17306116231434182</v>
      </c>
    </row>
    <row r="73" spans="3:12">
      <c r="D73" s="130">
        <f t="shared" si="13"/>
        <v>-3.8993233191142763E-2</v>
      </c>
      <c r="E73" s="127">
        <f t="shared" si="13"/>
        <v>-6.3359711835883556E-2</v>
      </c>
      <c r="F73" s="127">
        <f t="shared" si="13"/>
        <v>-0.15304636530599172</v>
      </c>
      <c r="G73" s="127">
        <f t="shared" si="14"/>
        <v>5.5459355387180193E-2</v>
      </c>
      <c r="H73" s="127">
        <f t="shared" si="15"/>
        <v>-3.1353046522883891E-2</v>
      </c>
      <c r="I73" s="127">
        <f t="shared" si="16"/>
        <v>0</v>
      </c>
      <c r="J73" s="127">
        <f t="shared" si="17"/>
        <v>0</v>
      </c>
      <c r="K73" s="136">
        <f t="shared" si="18"/>
        <v>-5.6602967567610386E-2</v>
      </c>
      <c r="L73" s="419">
        <f t="shared" si="19"/>
        <v>0.19031753680543403</v>
      </c>
    </row>
    <row r="74" spans="3:12">
      <c r="D74" s="130">
        <f t="shared" si="13"/>
        <v>-4.3374495347450942E-2</v>
      </c>
      <c r="E74" s="127">
        <f t="shared" si="13"/>
        <v>-1.1583770030937156E-2</v>
      </c>
      <c r="F74" s="127">
        <f t="shared" si="13"/>
        <v>-0.13487821310464179</v>
      </c>
      <c r="G74" s="127">
        <f t="shared" si="14"/>
        <v>5.5459355387180193E-2</v>
      </c>
      <c r="H74" s="127">
        <f t="shared" si="15"/>
        <v>-3.1353046522883891E-2</v>
      </c>
      <c r="I74" s="127">
        <f t="shared" si="16"/>
        <v>0</v>
      </c>
      <c r="J74" s="127">
        <f t="shared" si="17"/>
        <v>0</v>
      </c>
      <c r="K74" s="136">
        <f t="shared" si="18"/>
        <v>-6.7923561081132455E-2</v>
      </c>
      <c r="L74" s="419">
        <f t="shared" si="19"/>
        <v>0.16994124490907689</v>
      </c>
    </row>
    <row r="75" spans="3:12">
      <c r="D75" s="130">
        <f t="shared" si="13"/>
        <v>1.9715679703386793E-2</v>
      </c>
      <c r="E75" s="127">
        <f t="shared" si="13"/>
        <v>-5.8796408490362856E-2</v>
      </c>
      <c r="F75" s="127">
        <f t="shared" si="13"/>
        <v>-0.15015350048757264</v>
      </c>
      <c r="G75" s="127">
        <f t="shared" si="14"/>
        <v>5.5459355387180193E-2</v>
      </c>
      <c r="H75" s="127">
        <f t="shared" si="15"/>
        <v>-4.3894265132037445E-2</v>
      </c>
      <c r="I75" s="127">
        <f t="shared" si="16"/>
        <v>3.3961780540566228E-2</v>
      </c>
      <c r="J75" s="127">
        <f t="shared" si="17"/>
        <v>0</v>
      </c>
      <c r="K75" s="136">
        <f t="shared" si="18"/>
        <v>-5.6602967567610386E-2</v>
      </c>
      <c r="L75" s="419">
        <f t="shared" si="19"/>
        <v>0.1890807882165513</v>
      </c>
    </row>
    <row r="76" spans="3:12" ht="13" thickBot="1">
      <c r="D76" s="131">
        <f t="shared" si="13"/>
        <v>-1.2705660253293713E-2</v>
      </c>
      <c r="E76" s="132">
        <f t="shared" si="13"/>
        <v>-2.8081866741665878E-3</v>
      </c>
      <c r="F76" s="132">
        <f t="shared" si="13"/>
        <v>-6.7941560527753811E-2</v>
      </c>
      <c r="G76" s="132">
        <f t="shared" si="14"/>
        <v>5.5459355387180193E-2</v>
      </c>
      <c r="H76" s="132">
        <f t="shared" si="15"/>
        <v>-1.2541218609153557E-2</v>
      </c>
      <c r="I76" s="132">
        <f t="shared" si="16"/>
        <v>3.3961780540566228E-2</v>
      </c>
      <c r="J76" s="132">
        <f t="shared" si="17"/>
        <v>0</v>
      </c>
      <c r="K76" s="137">
        <f t="shared" si="18"/>
        <v>-7.9244154594654531E-2</v>
      </c>
      <c r="L76" s="420">
        <f t="shared" si="19"/>
        <v>0.12430380605953606</v>
      </c>
    </row>
    <row r="77" spans="3:12" ht="13" thickBot="1"/>
    <row r="78" spans="3:12" ht="44" thickBot="1">
      <c r="C78" s="153" t="s">
        <v>888</v>
      </c>
      <c r="D78" s="154" t="s">
        <v>6</v>
      </c>
      <c r="E78" s="155" t="s">
        <v>884</v>
      </c>
      <c r="G78" s="147" t="s">
        <v>888</v>
      </c>
      <c r="H78" s="148" t="s">
        <v>890</v>
      </c>
    </row>
    <row r="79" spans="3:12" ht="14.5">
      <c r="C79" s="151">
        <f t="shared" ref="C79:C90" si="20">_xlfn.RANK.AVG(E79,$E$79:$E$90)</f>
        <v>3</v>
      </c>
      <c r="D79" s="152" t="str">
        <f>C6</f>
        <v>FMCG</v>
      </c>
      <c r="E79" s="141">
        <f>L51/(L51+L65)</f>
        <v>0.52759701810928183</v>
      </c>
      <c r="G79" s="143">
        <v>1</v>
      </c>
      <c r="H79" s="144" t="str">
        <f>VLOOKUP(G79,$C$79:$E$90,2,FALSE)</f>
        <v>Banks</v>
      </c>
    </row>
    <row r="80" spans="3:12" ht="14.5">
      <c r="C80" s="143">
        <f t="shared" si="20"/>
        <v>7</v>
      </c>
      <c r="D80" s="149" t="str">
        <f t="shared" ref="D80:D90" si="21">C7</f>
        <v>Electronics</v>
      </c>
      <c r="E80" s="141">
        <f t="shared" ref="E80:E90" si="22">L52/(L52+L66)</f>
        <v>0.39112425908594151</v>
      </c>
      <c r="G80" s="143">
        <v>2</v>
      </c>
      <c r="H80" s="144" t="str">
        <f t="shared" ref="H80:H84" si="23">VLOOKUP(G80,$C$79:$E$90,2,FALSE)</f>
        <v>Infrastructure</v>
      </c>
    </row>
    <row r="81" spans="3:8" ht="14.5">
      <c r="C81" s="143">
        <f t="shared" si="20"/>
        <v>6</v>
      </c>
      <c r="D81" s="149" t="str">
        <f t="shared" si="21"/>
        <v>Agro_Chemical</v>
      </c>
      <c r="E81" s="141">
        <f t="shared" si="22"/>
        <v>0.40595543275596502</v>
      </c>
      <c r="G81" s="143">
        <v>3</v>
      </c>
      <c r="H81" s="144" t="str">
        <f t="shared" si="23"/>
        <v>FMCG</v>
      </c>
    </row>
    <row r="82" spans="3:8" ht="14.5">
      <c r="C82" s="143">
        <f t="shared" si="20"/>
        <v>4</v>
      </c>
      <c r="D82" s="149" t="str">
        <f t="shared" si="21"/>
        <v>IT_Software</v>
      </c>
      <c r="E82" s="141">
        <f t="shared" si="22"/>
        <v>0.4619746008834601</v>
      </c>
      <c r="G82" s="143">
        <v>4</v>
      </c>
      <c r="H82" s="144" t="str">
        <f t="shared" si="23"/>
        <v>IT_Software</v>
      </c>
    </row>
    <row r="83" spans="3:8" ht="14.5">
      <c r="C83" s="143">
        <f t="shared" si="20"/>
        <v>5</v>
      </c>
      <c r="D83" s="149" t="str">
        <f t="shared" si="21"/>
        <v>Hotels_and_Restaurants</v>
      </c>
      <c r="E83" s="141">
        <f t="shared" si="22"/>
        <v>0.41837955022514428</v>
      </c>
      <c r="G83" s="143">
        <v>5</v>
      </c>
      <c r="H83" s="144" t="str">
        <f t="shared" si="23"/>
        <v>Hotels_and_Restaurants</v>
      </c>
    </row>
    <row r="84" spans="3:8" ht="15" thickBot="1">
      <c r="C84" s="143">
        <f t="shared" si="20"/>
        <v>12</v>
      </c>
      <c r="D84" s="149" t="str">
        <f t="shared" si="21"/>
        <v>Entertainment</v>
      </c>
      <c r="E84" s="141">
        <f t="shared" si="22"/>
        <v>0.27800991983643952</v>
      </c>
      <c r="G84" s="145">
        <v>6</v>
      </c>
      <c r="H84" s="146" t="str">
        <f t="shared" si="23"/>
        <v>Agro_Chemical</v>
      </c>
    </row>
    <row r="85" spans="3:8" ht="14.5">
      <c r="C85" s="143">
        <f t="shared" si="20"/>
        <v>1</v>
      </c>
      <c r="D85" s="149" t="str">
        <f t="shared" si="21"/>
        <v>Banks</v>
      </c>
      <c r="E85" s="141">
        <f t="shared" si="22"/>
        <v>0.62884642298190541</v>
      </c>
    </row>
    <row r="86" spans="3:8" ht="14.5">
      <c r="C86" s="143">
        <f t="shared" si="20"/>
        <v>10</v>
      </c>
      <c r="D86" s="149" t="str">
        <f t="shared" si="21"/>
        <v>Power_Gen_and_Dist</v>
      </c>
      <c r="E86" s="141">
        <f t="shared" si="22"/>
        <v>0.33460862015200021</v>
      </c>
    </row>
    <row r="87" spans="3:8" ht="14.5">
      <c r="C87" s="143">
        <f t="shared" si="20"/>
        <v>11</v>
      </c>
      <c r="D87" s="149" t="str">
        <f t="shared" si="21"/>
        <v>Cement</v>
      </c>
      <c r="E87" s="141">
        <f t="shared" si="22"/>
        <v>0.31828210646505323</v>
      </c>
    </row>
    <row r="88" spans="3:8" ht="14.5">
      <c r="C88" s="143">
        <f t="shared" si="20"/>
        <v>8</v>
      </c>
      <c r="D88" s="149" t="str">
        <f t="shared" si="21"/>
        <v>Automobiles</v>
      </c>
      <c r="E88" s="141">
        <f t="shared" si="22"/>
        <v>0.38284204495947483</v>
      </c>
    </row>
    <row r="89" spans="3:8" ht="14.5">
      <c r="C89" s="143">
        <f t="shared" si="20"/>
        <v>9</v>
      </c>
      <c r="D89" s="149" t="str">
        <f t="shared" si="21"/>
        <v>Pharmaceuticals</v>
      </c>
      <c r="E89" s="141">
        <f t="shared" si="22"/>
        <v>0.36653301654323323</v>
      </c>
    </row>
    <row r="90" spans="3:8" ht="15" thickBot="1">
      <c r="C90" s="145">
        <f t="shared" si="20"/>
        <v>2</v>
      </c>
      <c r="D90" s="150" t="str">
        <f t="shared" si="21"/>
        <v>Infrastructure</v>
      </c>
      <c r="E90" s="142">
        <f t="shared" si="22"/>
        <v>0.53987172972989095</v>
      </c>
    </row>
  </sheetData>
  <conditionalFormatting sqref="D49">
    <cfRule type="colorScale" priority="9">
      <colorScale>
        <cfvo type="min"/>
        <cfvo type="percentile" val="50"/>
        <cfvo type="max"/>
        <color rgb="FFF8696B"/>
        <color rgb="FFFCFCFF"/>
        <color rgb="FF63BE7B"/>
      </colorScale>
    </cfRule>
  </conditionalFormatting>
  <conditionalFormatting sqref="E49">
    <cfRule type="colorScale" priority="8">
      <colorScale>
        <cfvo type="min"/>
        <cfvo type="percentile" val="50"/>
        <cfvo type="max"/>
        <color rgb="FFF8696B"/>
        <color rgb="FFFCFCFF"/>
        <color rgb="FF63BE7B"/>
      </colorScale>
    </cfRule>
  </conditionalFormatting>
  <conditionalFormatting sqref="E79:E90">
    <cfRule type="dataBar" priority="1">
      <dataBar>
        <cfvo type="min"/>
        <cfvo type="max"/>
        <color rgb="FF008AEF"/>
      </dataBar>
      <extLst>
        <ext xmlns:x14="http://schemas.microsoft.com/office/spreadsheetml/2009/9/main" uri="{B025F937-C7B1-47D3-B67F-A62EFF666E3E}">
          <x14:id>{41C76FC8-619D-4E26-8147-5F0B46790C58}</x14:id>
        </ext>
      </extLst>
    </cfRule>
  </conditionalFormatting>
  <conditionalFormatting sqref="F49">
    <cfRule type="colorScale" priority="7">
      <colorScale>
        <cfvo type="min"/>
        <cfvo type="percentile" val="50"/>
        <cfvo type="max"/>
        <color rgb="FFF8696B"/>
        <color rgb="FFFCFCFF"/>
        <color rgb="FF63BE7B"/>
      </colorScale>
    </cfRule>
  </conditionalFormatting>
  <conditionalFormatting sqref="G49">
    <cfRule type="colorScale" priority="4">
      <colorScale>
        <cfvo type="min"/>
        <cfvo type="percentile" val="50"/>
        <cfvo type="max"/>
        <color rgb="FF63BE7B"/>
        <color rgb="FFFCFCFF"/>
        <color rgb="FFF8696B"/>
      </colorScale>
    </cfRule>
  </conditionalFormatting>
  <conditionalFormatting sqref="H49">
    <cfRule type="colorScale" priority="6">
      <colorScale>
        <cfvo type="min"/>
        <cfvo type="percentile" val="50"/>
        <cfvo type="max"/>
        <color rgb="FFF8696B"/>
        <color rgb="FFFCFCFF"/>
        <color rgb="FF63BE7B"/>
      </colorScale>
    </cfRule>
  </conditionalFormatting>
  <conditionalFormatting sqref="I49">
    <cfRule type="colorScale" priority="3">
      <colorScale>
        <cfvo type="min"/>
        <cfvo type="percentile" val="50"/>
        <cfvo type="max"/>
        <color rgb="FF63BE7B"/>
        <color rgb="FFFCFCFF"/>
        <color rgb="FFF8696B"/>
      </colorScale>
    </cfRule>
  </conditionalFormatting>
  <conditionalFormatting sqref="J49">
    <cfRule type="colorScale" priority="2">
      <colorScale>
        <cfvo type="min"/>
        <cfvo type="percentile" val="50"/>
        <cfvo type="max"/>
        <color rgb="FF63BE7B"/>
        <color rgb="FFFCFCFF"/>
        <color rgb="FFF8696B"/>
      </colorScale>
    </cfRule>
  </conditionalFormatting>
  <conditionalFormatting sqref="K49">
    <cfRule type="colorScale" priority="5">
      <colorScale>
        <cfvo type="min"/>
        <cfvo type="percentile" val="50"/>
        <cfvo type="max"/>
        <color rgb="FFF8696B"/>
        <color rgb="FFFCFCFF"/>
        <color rgb="FF63BE7B"/>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41C76FC8-619D-4E26-8147-5F0B46790C58}">
            <x14:dataBar minLength="0" maxLength="100" border="1" negativeBarBorderColorSameAsPositive="0">
              <x14:cfvo type="autoMin"/>
              <x14:cfvo type="autoMax"/>
              <x14:borderColor rgb="FF008AEF"/>
              <x14:negativeFillColor rgb="FFFF0000"/>
              <x14:negativeBorderColor rgb="FFFF0000"/>
              <x14:axisColor rgb="FF000000"/>
            </x14:dataBar>
          </x14:cfRule>
          <xm:sqref>E79:E90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outlinePr summaryBelow="0" summaryRight="0"/>
  </sheetPr>
  <dimension ref="B1:V988"/>
  <sheetViews>
    <sheetView showGridLines="0" zoomScale="68" zoomScaleNormal="50" workbookViewId="0">
      <selection activeCell="U5" sqref="U5"/>
    </sheetView>
  </sheetViews>
  <sheetFormatPr defaultColWidth="12.54296875" defaultRowHeight="15.75" customHeight="1"/>
  <cols>
    <col min="1" max="1" width="2.81640625" customWidth="1"/>
    <col min="2" max="2" width="32.7265625" customWidth="1"/>
    <col min="3" max="3" width="18.453125" customWidth="1"/>
    <col min="4" max="4" width="24" bestFit="1" customWidth="1"/>
    <col min="5" max="5" width="12.7265625" bestFit="1" customWidth="1"/>
    <col min="6" max="6" width="10" bestFit="1" customWidth="1"/>
    <col min="7" max="7" width="16.7265625" customWidth="1"/>
    <col min="9" max="9" width="14.7265625" customWidth="1"/>
    <col min="10" max="10" width="27.7265625" customWidth="1"/>
    <col min="13" max="13" width="14.1796875" customWidth="1"/>
    <col min="15" max="15" width="13.453125" customWidth="1"/>
    <col min="18" max="18" width="14.453125" customWidth="1"/>
    <col min="21" max="21" width="16.26953125" bestFit="1" customWidth="1"/>
  </cols>
  <sheetData>
    <row r="1" spans="2:22" ht="12.5">
      <c r="Q1" s="14"/>
    </row>
    <row r="2" spans="2:22" ht="13">
      <c r="B2" s="415" t="s">
        <v>865</v>
      </c>
      <c r="Q2" s="14"/>
    </row>
    <row r="3" spans="2:22" ht="13" thickBot="1">
      <c r="N3" s="15" t="s">
        <v>104</v>
      </c>
      <c r="P3" s="15" t="s">
        <v>105</v>
      </c>
      <c r="Q3" s="14"/>
    </row>
    <row r="4" spans="2:22" ht="15.75" customHeight="1">
      <c r="B4" s="388" t="s">
        <v>106</v>
      </c>
      <c r="C4" s="389" t="s">
        <v>107</v>
      </c>
      <c r="D4" s="389" t="s">
        <v>108</v>
      </c>
      <c r="E4" s="390" t="s">
        <v>939</v>
      </c>
      <c r="F4" s="390" t="s">
        <v>900</v>
      </c>
      <c r="G4" s="389" t="s">
        <v>109</v>
      </c>
      <c r="H4" s="389" t="s">
        <v>110</v>
      </c>
      <c r="I4" s="389" t="s">
        <v>111</v>
      </c>
      <c r="J4" s="389" t="s">
        <v>112</v>
      </c>
      <c r="K4" s="389" t="s">
        <v>113</v>
      </c>
      <c r="L4" s="390" t="s">
        <v>897</v>
      </c>
      <c r="M4" s="389" t="s">
        <v>114</v>
      </c>
      <c r="N4" s="389" t="s">
        <v>115</v>
      </c>
      <c r="O4" s="389" t="s">
        <v>116</v>
      </c>
      <c r="P4" s="389" t="s">
        <v>117</v>
      </c>
      <c r="Q4" s="391" t="s">
        <v>118</v>
      </c>
      <c r="R4" s="389" t="s">
        <v>119</v>
      </c>
      <c r="S4" s="389" t="s">
        <v>120</v>
      </c>
      <c r="T4" s="389" t="s">
        <v>121</v>
      </c>
      <c r="U4" s="390" t="s">
        <v>940</v>
      </c>
      <c r="V4" s="392" t="s">
        <v>122</v>
      </c>
    </row>
    <row r="5" spans="2:22" ht="12.5">
      <c r="B5" s="393" t="s">
        <v>123</v>
      </c>
      <c r="C5" s="178" t="s">
        <v>50</v>
      </c>
      <c r="D5" s="178">
        <v>1569</v>
      </c>
      <c r="E5" s="177">
        <f>VLOOKUP(B5,'Master_return and risk'!$B$10:$C$70,2,FALSE)</f>
        <v>0.20468616037153869</v>
      </c>
      <c r="F5" s="177">
        <f>VLOOKUP(B5,'Master_return and risk'!$B$10:$D$70,3,FALSE)</f>
        <v>0.37182358861331571</v>
      </c>
      <c r="G5" s="178">
        <v>66</v>
      </c>
      <c r="H5" s="178">
        <v>55</v>
      </c>
      <c r="I5" s="178">
        <v>72</v>
      </c>
      <c r="J5" s="186">
        <v>0.1</v>
      </c>
      <c r="K5" s="187">
        <v>195091</v>
      </c>
      <c r="L5" s="184" t="str">
        <f>IF(K5&gt;20000,"Large Cap",IF(K5&gt;5000,"Mid Cap","Small Cap"))</f>
        <v>Large Cap</v>
      </c>
      <c r="M5" s="193">
        <v>0.2</v>
      </c>
      <c r="N5" s="194">
        <v>1.4342999999999999</v>
      </c>
      <c r="O5" s="178">
        <v>2732605</v>
      </c>
      <c r="P5" s="194">
        <v>0.27589999999999998</v>
      </c>
      <c r="Q5" s="195">
        <v>20</v>
      </c>
      <c r="R5" s="178">
        <v>92246.85</v>
      </c>
      <c r="S5" s="178">
        <v>1.64</v>
      </c>
      <c r="T5" s="178">
        <v>18.11</v>
      </c>
      <c r="U5" s="185">
        <f>AVERAGE(G5:I5)</f>
        <v>64.333333333333329</v>
      </c>
      <c r="V5" s="394">
        <v>10.93</v>
      </c>
    </row>
    <row r="6" spans="2:22" ht="14">
      <c r="B6" s="393" t="s">
        <v>124</v>
      </c>
      <c r="C6" s="178" t="s">
        <v>50</v>
      </c>
      <c r="D6" s="178">
        <v>614</v>
      </c>
      <c r="E6" s="177">
        <f>VLOOKUP(B6,'Master_return and risk'!$B$10:$C$70,2,FALSE)</f>
        <v>0.38027495912904496</v>
      </c>
      <c r="F6" s="177">
        <f>VLOOKUP(B6,'Master_return and risk'!$B$10:$D$70,3,FALSE)</f>
        <v>0.60349468846097776</v>
      </c>
      <c r="G6" s="178">
        <v>52</v>
      </c>
      <c r="H6" s="178">
        <v>56</v>
      </c>
      <c r="I6" s="178">
        <v>73</v>
      </c>
      <c r="J6" s="186">
        <v>0.05</v>
      </c>
      <c r="K6" s="187">
        <v>224161</v>
      </c>
      <c r="L6" s="184" t="str">
        <f t="shared" ref="L6:L64" si="0">IF(K6&gt;20000,"Large Cap",IF(K6&gt;5000,"Mid Cap","Small Cap"))</f>
        <v>Large Cap</v>
      </c>
      <c r="M6" s="193">
        <v>0.14000000000000001</v>
      </c>
      <c r="N6" s="194">
        <v>0.3085</v>
      </c>
      <c r="O6" s="181">
        <v>13993903</v>
      </c>
      <c r="P6" s="194">
        <v>0.32500000000000001</v>
      </c>
      <c r="Q6" s="195">
        <v>18</v>
      </c>
      <c r="R6" s="178">
        <v>134113.44</v>
      </c>
      <c r="S6" s="178">
        <v>2.96</v>
      </c>
      <c r="T6" s="178">
        <v>5.62</v>
      </c>
      <c r="U6" s="185">
        <f t="shared" ref="U6:U64" si="1">AVERAGE(G6:I6)</f>
        <v>60.333333333333336</v>
      </c>
      <c r="V6" s="394">
        <v>6.72</v>
      </c>
    </row>
    <row r="7" spans="2:22" ht="14">
      <c r="B7" s="393" t="s">
        <v>125</v>
      </c>
      <c r="C7" s="178" t="s">
        <v>50</v>
      </c>
      <c r="D7" s="178">
        <v>9385</v>
      </c>
      <c r="E7" s="177">
        <f>VLOOKUP(B7,'Master_return and risk'!$B$10:$C$70,2,FALSE)</f>
        <v>0.10494070908862108</v>
      </c>
      <c r="F7" s="177">
        <f>VLOOKUP(B7,'Master_return and risk'!$B$10:$D$70,3,FALSE)</f>
        <v>0.30034568059708538</v>
      </c>
      <c r="G7" s="178">
        <v>58</v>
      </c>
      <c r="H7" s="178">
        <v>57</v>
      </c>
      <c r="I7" s="178">
        <v>64</v>
      </c>
      <c r="J7" s="186">
        <v>0.12</v>
      </c>
      <c r="K7" s="187">
        <v>283499</v>
      </c>
      <c r="L7" s="184" t="str">
        <f t="shared" si="0"/>
        <v>Large Cap</v>
      </c>
      <c r="M7" s="193">
        <v>0.41</v>
      </c>
      <c r="N7" s="194">
        <v>0.27379999999999999</v>
      </c>
      <c r="O7" s="181">
        <v>519204</v>
      </c>
      <c r="P7" s="194">
        <v>0.27129999999999999</v>
      </c>
      <c r="Q7" s="195">
        <v>20</v>
      </c>
      <c r="R7" s="178">
        <v>1247.3</v>
      </c>
      <c r="S7" s="178">
        <v>0.02</v>
      </c>
      <c r="T7" s="178">
        <v>11.52</v>
      </c>
      <c r="U7" s="185">
        <f t="shared" si="1"/>
        <v>59.666666666666664</v>
      </c>
      <c r="V7" s="394">
        <v>18.57</v>
      </c>
    </row>
    <row r="8" spans="2:22" ht="14">
      <c r="B8" s="393" t="s">
        <v>126</v>
      </c>
      <c r="C8" s="178" t="s">
        <v>50</v>
      </c>
      <c r="D8" s="178">
        <v>638</v>
      </c>
      <c r="E8" s="177">
        <f>VLOOKUP(B8,'Master_return and risk'!$B$10:$C$70,2,FALSE)</f>
        <v>0.24390360732010449</v>
      </c>
      <c r="F8" s="177">
        <f>VLOOKUP(B8,'Master_return and risk'!$B$10:$D$70,3,FALSE)</f>
        <v>0.39926026359951022</v>
      </c>
      <c r="G8" s="178">
        <v>36</v>
      </c>
      <c r="H8" s="178">
        <v>55</v>
      </c>
      <c r="I8" s="178">
        <v>72</v>
      </c>
      <c r="J8" s="186">
        <v>0.15</v>
      </c>
      <c r="K8" s="187">
        <v>16395</v>
      </c>
      <c r="L8" s="184" t="str">
        <f t="shared" si="0"/>
        <v>Mid Cap</v>
      </c>
      <c r="M8" s="193">
        <v>0.1</v>
      </c>
      <c r="N8" s="194">
        <v>-0.3236</v>
      </c>
      <c r="O8" s="181">
        <v>673128</v>
      </c>
      <c r="P8" s="194">
        <v>0.25390000000000001</v>
      </c>
      <c r="Q8" s="195">
        <v>19</v>
      </c>
      <c r="R8" s="178">
        <v>3383.37</v>
      </c>
      <c r="S8" s="178">
        <v>0.9</v>
      </c>
      <c r="T8" s="178">
        <v>4.74</v>
      </c>
      <c r="U8" s="185">
        <f t="shared" si="1"/>
        <v>54.333333333333336</v>
      </c>
      <c r="V8" s="394">
        <v>20.85</v>
      </c>
    </row>
    <row r="9" spans="2:22" ht="14">
      <c r="B9" s="393" t="s">
        <v>127</v>
      </c>
      <c r="C9" s="178" t="s">
        <v>50</v>
      </c>
      <c r="D9" s="178">
        <v>3489</v>
      </c>
      <c r="E9" s="177">
        <f>VLOOKUP(B9,'Master_return and risk'!$B$10:$C$70,2,FALSE)</f>
        <v>0.33355029028553956</v>
      </c>
      <c r="F9" s="177">
        <f>VLOOKUP(B9,'Master_return and risk'!$B$10:$D$70,3,FALSE)</f>
        <v>0.47380023326190435</v>
      </c>
      <c r="G9" s="178">
        <v>44</v>
      </c>
      <c r="H9" s="178">
        <v>61</v>
      </c>
      <c r="I9" s="178">
        <v>58</v>
      </c>
      <c r="J9" s="186">
        <v>0.1</v>
      </c>
      <c r="K9" s="187">
        <v>4598</v>
      </c>
      <c r="L9" s="184" t="str">
        <f t="shared" si="0"/>
        <v>Small Cap</v>
      </c>
      <c r="M9" s="193">
        <v>0.05</v>
      </c>
      <c r="N9" s="194">
        <v>-0.26950000000000002</v>
      </c>
      <c r="O9" s="181">
        <v>88262</v>
      </c>
      <c r="P9" s="194">
        <v>0.55430000000000001</v>
      </c>
      <c r="Q9" s="195">
        <v>18</v>
      </c>
      <c r="R9" s="178">
        <v>954.76</v>
      </c>
      <c r="S9" s="178">
        <v>0.51</v>
      </c>
      <c r="T9" s="178">
        <v>1.74</v>
      </c>
      <c r="U9" s="185">
        <f t="shared" si="1"/>
        <v>54.333333333333336</v>
      </c>
      <c r="V9" s="394">
        <v>10.52</v>
      </c>
    </row>
    <row r="10" spans="2:22" ht="15.75" customHeight="1">
      <c r="B10" s="395" t="s">
        <v>128</v>
      </c>
      <c r="C10" s="179" t="s">
        <v>67</v>
      </c>
      <c r="D10" s="179">
        <v>1782</v>
      </c>
      <c r="E10" s="177">
        <f>VLOOKUP(B10,'Master_return and risk'!$B$10:$C$70,2,FALSE)</f>
        <v>0.12388652105329537</v>
      </c>
      <c r="F10" s="177">
        <f>VLOOKUP(B10,'Master_return and risk'!$B$10:$D$70,3,FALSE)</f>
        <v>0.27406641647678748</v>
      </c>
      <c r="G10" s="188">
        <v>75</v>
      </c>
      <c r="H10" s="188">
        <v>61</v>
      </c>
      <c r="I10" s="188">
        <v>79</v>
      </c>
      <c r="J10" s="186">
        <v>0.12</v>
      </c>
      <c r="K10" s="189">
        <v>351000</v>
      </c>
      <c r="L10" s="184" t="str">
        <f t="shared" si="0"/>
        <v>Large Cap</v>
      </c>
      <c r="M10" s="193">
        <v>7.0000000000000007E-2</v>
      </c>
      <c r="N10" s="196">
        <v>0.18779999999999999</v>
      </c>
      <c r="O10" s="181">
        <v>4095965</v>
      </c>
      <c r="P10" s="194">
        <v>0.31530000000000002</v>
      </c>
      <c r="Q10" s="197">
        <v>20</v>
      </c>
      <c r="R10" s="181">
        <v>418306.54</v>
      </c>
      <c r="S10" s="181">
        <v>3.72</v>
      </c>
      <c r="T10" s="181">
        <v>14.24</v>
      </c>
      <c r="U10" s="185">
        <f t="shared" si="1"/>
        <v>71.666666666666671</v>
      </c>
      <c r="V10" s="396">
        <v>19.14</v>
      </c>
    </row>
    <row r="11" spans="2:22" ht="15.75" customHeight="1">
      <c r="B11" s="395" t="s">
        <v>129</v>
      </c>
      <c r="C11" s="179" t="s">
        <v>67</v>
      </c>
      <c r="D11" s="179">
        <v>1597</v>
      </c>
      <c r="E11" s="177">
        <f>VLOOKUP(B11,'Master_return and risk'!$B$10:$C$70,2,FALSE)</f>
        <v>0.1321402243378911</v>
      </c>
      <c r="F11" s="177">
        <f>VLOOKUP(B11,'Master_return and risk'!$B$10:$D$70,3,FALSE)</f>
        <v>0.24775582878931862</v>
      </c>
      <c r="G11" s="188">
        <v>65</v>
      </c>
      <c r="H11" s="188">
        <v>67</v>
      </c>
      <c r="I11" s="188">
        <v>81</v>
      </c>
      <c r="J11" s="186">
        <v>0.1</v>
      </c>
      <c r="K11" s="190">
        <v>1205214.33</v>
      </c>
      <c r="L11" s="184" t="str">
        <f t="shared" si="0"/>
        <v>Large Cap</v>
      </c>
      <c r="M11" s="193">
        <v>0.25</v>
      </c>
      <c r="N11" s="196">
        <v>0.18340000000000001</v>
      </c>
      <c r="O11" s="181">
        <v>11773166</v>
      </c>
      <c r="P11" s="181">
        <v>31</v>
      </c>
      <c r="Q11" s="197">
        <v>20</v>
      </c>
      <c r="R11" s="180">
        <v>2139211.91</v>
      </c>
      <c r="S11" s="181">
        <v>7.39</v>
      </c>
      <c r="T11" s="180">
        <v>17.11</v>
      </c>
      <c r="U11" s="185">
        <f t="shared" si="1"/>
        <v>71</v>
      </c>
      <c r="V11" s="396">
        <v>20.62</v>
      </c>
    </row>
    <row r="12" spans="2:22" ht="15.75" customHeight="1">
      <c r="B12" s="395" t="s">
        <v>130</v>
      </c>
      <c r="C12" s="179" t="s">
        <v>67</v>
      </c>
      <c r="D12" s="179">
        <v>935</v>
      </c>
      <c r="E12" s="177">
        <f>VLOOKUP(B12,'Master_return and risk'!$B$10:$C$70,2,FALSE)</f>
        <v>0.16200875339097173</v>
      </c>
      <c r="F12" s="177">
        <f>VLOOKUP(B12,'Master_return and risk'!$B$10:$D$70,3,FALSE)</f>
        <v>0.36244521861843437</v>
      </c>
      <c r="G12" s="188">
        <v>68</v>
      </c>
      <c r="H12" s="188">
        <v>63</v>
      </c>
      <c r="I12" s="188">
        <v>79</v>
      </c>
      <c r="J12" s="186">
        <v>0.08</v>
      </c>
      <c r="K12" s="190">
        <v>288538.59999999998</v>
      </c>
      <c r="L12" s="184" t="str">
        <f t="shared" si="0"/>
        <v>Large Cap</v>
      </c>
      <c r="M12" s="193">
        <v>0.1</v>
      </c>
      <c r="N12" s="196">
        <v>1.0737000000000001</v>
      </c>
      <c r="O12" s="181">
        <v>10928428</v>
      </c>
      <c r="P12" s="181">
        <v>31.73</v>
      </c>
      <c r="Q12" s="197">
        <v>19</v>
      </c>
      <c r="R12" s="181">
        <v>1152038.29</v>
      </c>
      <c r="S12" s="180">
        <v>8.8800000000000008</v>
      </c>
      <c r="T12" s="181">
        <v>14.54</v>
      </c>
      <c r="U12" s="185">
        <f t="shared" si="1"/>
        <v>70</v>
      </c>
      <c r="V12" s="396">
        <v>16.399999999999999</v>
      </c>
    </row>
    <row r="13" spans="2:22" ht="15.75" customHeight="1">
      <c r="B13" s="395" t="s">
        <v>131</v>
      </c>
      <c r="C13" s="179" t="s">
        <v>67</v>
      </c>
      <c r="D13" s="179">
        <v>88.45</v>
      </c>
      <c r="E13" s="177">
        <f>VLOOKUP(B13,'Master_return and risk'!$B$10:$C$70,2,FALSE)</f>
        <v>0.2833871111025042</v>
      </c>
      <c r="F13" s="177">
        <f>VLOOKUP(B13,'Master_return and risk'!$B$10:$D$70,3,FALSE)</f>
        <v>0.44461220135401724</v>
      </c>
      <c r="G13" s="188">
        <v>57</v>
      </c>
      <c r="H13" s="188">
        <v>59</v>
      </c>
      <c r="I13" s="188">
        <v>78</v>
      </c>
      <c r="J13" s="186">
        <v>0.15</v>
      </c>
      <c r="K13" s="191">
        <v>58699</v>
      </c>
      <c r="L13" s="184" t="str">
        <f t="shared" si="0"/>
        <v>Large Cap</v>
      </c>
      <c r="M13" s="193">
        <v>0.02</v>
      </c>
      <c r="N13" s="196">
        <v>0.38119999999999998</v>
      </c>
      <c r="O13" s="181">
        <v>38068956</v>
      </c>
      <c r="P13" s="181">
        <v>37.04</v>
      </c>
      <c r="Q13" s="197">
        <v>19</v>
      </c>
      <c r="R13" s="181">
        <v>201681.59</v>
      </c>
      <c r="S13" s="181">
        <v>7.8</v>
      </c>
      <c r="T13" s="181">
        <v>10.59</v>
      </c>
      <c r="U13" s="185">
        <f t="shared" si="1"/>
        <v>64.666666666666671</v>
      </c>
      <c r="V13" s="396">
        <v>16.75</v>
      </c>
    </row>
    <row r="14" spans="2:22" ht="15.75" customHeight="1">
      <c r="B14" s="395" t="s">
        <v>132</v>
      </c>
      <c r="C14" s="179" t="s">
        <v>67</v>
      </c>
      <c r="D14" s="179">
        <v>702</v>
      </c>
      <c r="E14" s="177">
        <f>VLOOKUP(B14,'Master_return and risk'!$B$10:$C$70,2,FALSE)</f>
        <v>-1.0435170681886961E-2</v>
      </c>
      <c r="F14" s="177">
        <f>VLOOKUP(B14,'Master_return and risk'!$B$10:$D$70,3,FALSE)</f>
        <v>0.34353492011501746</v>
      </c>
      <c r="G14" s="188">
        <v>60</v>
      </c>
      <c r="H14" s="188">
        <v>63</v>
      </c>
      <c r="I14" s="188">
        <v>75</v>
      </c>
      <c r="J14" s="186">
        <v>0.12</v>
      </c>
      <c r="K14" s="191">
        <v>9070</v>
      </c>
      <c r="L14" s="184" t="str">
        <f t="shared" si="0"/>
        <v>Mid Cap</v>
      </c>
      <c r="M14" s="193">
        <v>0.01</v>
      </c>
      <c r="N14" s="196">
        <v>0.2515</v>
      </c>
      <c r="O14" s="181">
        <v>4066709</v>
      </c>
      <c r="P14" s="181">
        <v>16.03</v>
      </c>
      <c r="Q14" s="197">
        <v>16</v>
      </c>
      <c r="R14" s="181">
        <v>57085.95</v>
      </c>
      <c r="S14" s="181">
        <v>7.66</v>
      </c>
      <c r="T14" s="181">
        <v>13.35</v>
      </c>
      <c r="U14" s="185">
        <f t="shared" si="1"/>
        <v>66</v>
      </c>
      <c r="V14" s="397">
        <v>15.4</v>
      </c>
    </row>
    <row r="15" spans="2:22" ht="14">
      <c r="B15" s="398" t="s">
        <v>133</v>
      </c>
      <c r="C15" s="179" t="s">
        <v>53</v>
      </c>
      <c r="D15" s="178">
        <v>1145</v>
      </c>
      <c r="E15" s="177">
        <f>VLOOKUP(B15,'Master_return and risk'!$B$10:$C$70,2,FALSE)</f>
        <v>0.17198391529494844</v>
      </c>
      <c r="F15" s="177">
        <f>VLOOKUP(B15,'Master_return and risk'!$B$10:$D$70,3,FALSE)</f>
        <v>0.28619645262403748</v>
      </c>
      <c r="G15" s="178">
        <v>55</v>
      </c>
      <c r="H15" s="178">
        <v>60</v>
      </c>
      <c r="I15" s="178">
        <v>50</v>
      </c>
      <c r="J15" s="186">
        <v>0.12</v>
      </c>
      <c r="K15" s="187">
        <v>274712</v>
      </c>
      <c r="L15" s="184" t="str">
        <f t="shared" si="0"/>
        <v>Large Cap</v>
      </c>
      <c r="M15" s="193">
        <v>0.2</v>
      </c>
      <c r="N15" s="194">
        <v>0.29720000000000002</v>
      </c>
      <c r="O15" s="181">
        <v>2619079</v>
      </c>
      <c r="P15" s="194">
        <v>0.13519999999999999</v>
      </c>
      <c r="Q15" s="195">
        <v>20</v>
      </c>
      <c r="R15" s="178">
        <v>6885.87</v>
      </c>
      <c r="S15" s="178">
        <v>0.12</v>
      </c>
      <c r="T15" s="178">
        <v>16.55</v>
      </c>
      <c r="U15" s="185">
        <f t="shared" si="1"/>
        <v>55</v>
      </c>
      <c r="V15" s="394">
        <v>21.33</v>
      </c>
    </row>
    <row r="16" spans="2:22" ht="14">
      <c r="B16" s="398" t="s">
        <v>134</v>
      </c>
      <c r="C16" s="179" t="s">
        <v>53</v>
      </c>
      <c r="D16" s="178">
        <v>5889</v>
      </c>
      <c r="E16" s="177">
        <f>VLOOKUP(B16,'Master_return and risk'!$B$10:$C$70,2,FALSE)</f>
        <v>0.21366528302968874</v>
      </c>
      <c r="F16" s="177">
        <f>VLOOKUP(B16,'Master_return and risk'!$B$10:$D$70,3,FALSE)</f>
        <v>0.26013738800207248</v>
      </c>
      <c r="G16" s="178">
        <v>61</v>
      </c>
      <c r="H16" s="178">
        <v>58</v>
      </c>
      <c r="I16" s="178">
        <v>76</v>
      </c>
      <c r="J16" s="186">
        <v>0.1</v>
      </c>
      <c r="K16" s="187">
        <v>98072</v>
      </c>
      <c r="L16" s="184" t="str">
        <f t="shared" si="0"/>
        <v>Large Cap</v>
      </c>
      <c r="M16" s="193">
        <v>0.15</v>
      </c>
      <c r="N16" s="194">
        <v>0.31219999999999998</v>
      </c>
      <c r="O16" s="181">
        <v>422168</v>
      </c>
      <c r="P16" s="194">
        <v>0.19980000000000001</v>
      </c>
      <c r="Q16" s="198">
        <v>20</v>
      </c>
      <c r="R16" s="178">
        <v>1347.2</v>
      </c>
      <c r="S16" s="178">
        <v>0.06</v>
      </c>
      <c r="T16" s="178">
        <v>21.64</v>
      </c>
      <c r="U16" s="185">
        <f t="shared" si="1"/>
        <v>65</v>
      </c>
      <c r="V16" s="394">
        <v>12.4</v>
      </c>
    </row>
    <row r="17" spans="2:22" ht="14">
      <c r="B17" s="398" t="s">
        <v>135</v>
      </c>
      <c r="C17" s="179" t="s">
        <v>53</v>
      </c>
      <c r="D17" s="178">
        <v>868</v>
      </c>
      <c r="E17" s="177">
        <f>VLOOKUP(B17,'Master_return and risk'!$B$10:$C$70,2,FALSE)</f>
        <v>0.11131596863387355</v>
      </c>
      <c r="F17" s="177">
        <f>VLOOKUP(B17,'Master_return and risk'!$B$10:$D$70,3,FALSE)</f>
        <v>0.4039084024348597</v>
      </c>
      <c r="G17" s="178">
        <v>54</v>
      </c>
      <c r="H17" s="178">
        <v>60</v>
      </c>
      <c r="I17" s="178">
        <v>69</v>
      </c>
      <c r="J17" s="186">
        <v>0.15</v>
      </c>
      <c r="K17" s="187">
        <v>50859</v>
      </c>
      <c r="L17" s="184" t="str">
        <f t="shared" si="0"/>
        <v>Large Cap</v>
      </c>
      <c r="M17" s="193">
        <v>0.1</v>
      </c>
      <c r="N17" s="194">
        <v>-0.12479999999999999</v>
      </c>
      <c r="O17" s="181">
        <v>1841440</v>
      </c>
      <c r="P17" s="194">
        <v>6.1699999999999998E-2</v>
      </c>
      <c r="Q17" s="198">
        <v>17</v>
      </c>
      <c r="R17" s="178">
        <v>5286.21</v>
      </c>
      <c r="S17" s="178">
        <v>0.2</v>
      </c>
      <c r="T17" s="178">
        <v>7.47</v>
      </c>
      <c r="U17" s="185">
        <f t="shared" si="1"/>
        <v>61</v>
      </c>
      <c r="V17" s="394">
        <v>11.67</v>
      </c>
    </row>
    <row r="18" spans="2:22" ht="14">
      <c r="B18" s="398" t="s">
        <v>136</v>
      </c>
      <c r="C18" s="179" t="s">
        <v>53</v>
      </c>
      <c r="D18" s="178">
        <v>520</v>
      </c>
      <c r="E18" s="177">
        <f>VLOOKUP(B18,'Master_return and risk'!$B$10:$C$70,2,FALSE)</f>
        <v>0.32214515680897537</v>
      </c>
      <c r="F18" s="177">
        <f>VLOOKUP(B18,'Master_return and risk'!$B$10:$D$70,3,FALSE)</f>
        <v>0.37306381327796806</v>
      </c>
      <c r="G18" s="178">
        <v>34</v>
      </c>
      <c r="H18" s="178">
        <v>52</v>
      </c>
      <c r="I18" s="178">
        <v>66</v>
      </c>
      <c r="J18" s="186">
        <v>0.2</v>
      </c>
      <c r="K18" s="187">
        <v>13250</v>
      </c>
      <c r="L18" s="184" t="str">
        <f t="shared" si="0"/>
        <v>Mid Cap</v>
      </c>
      <c r="M18" s="193">
        <v>0.03</v>
      </c>
      <c r="N18" s="194">
        <v>9.64E-2</v>
      </c>
      <c r="O18" s="181">
        <v>373610</v>
      </c>
      <c r="P18" s="194">
        <v>-3.3099999999999997E-2</v>
      </c>
      <c r="Q18" s="195">
        <v>16</v>
      </c>
      <c r="R18" s="178">
        <v>70.34</v>
      </c>
      <c r="S18" s="178">
        <v>0.04</v>
      </c>
      <c r="T18" s="178">
        <v>25.21</v>
      </c>
      <c r="U18" s="185">
        <f t="shared" si="1"/>
        <v>50.666666666666664</v>
      </c>
      <c r="V18" s="394">
        <v>21.08</v>
      </c>
    </row>
    <row r="19" spans="2:22" ht="14">
      <c r="B19" s="398" t="s">
        <v>137</v>
      </c>
      <c r="C19" s="179" t="s">
        <v>53</v>
      </c>
      <c r="D19" s="178">
        <v>406</v>
      </c>
      <c r="E19" s="177">
        <f>VLOOKUP(B19,'Master_return and risk'!$B$10:$C$70,2,FALSE)</f>
        <v>0.25749569951901918</v>
      </c>
      <c r="F19" s="177">
        <f>VLOOKUP(B19,'Master_return and risk'!$B$10:$D$70,3,FALSE)</f>
        <v>0.42890901242693308</v>
      </c>
      <c r="G19" s="178">
        <v>32</v>
      </c>
      <c r="H19" s="178">
        <v>56</v>
      </c>
      <c r="I19" s="178">
        <v>67</v>
      </c>
      <c r="J19" s="186">
        <v>0.15</v>
      </c>
      <c r="K19" s="187">
        <v>2862</v>
      </c>
      <c r="L19" s="184" t="str">
        <f t="shared" si="0"/>
        <v>Small Cap</v>
      </c>
      <c r="M19" s="193">
        <v>0.02</v>
      </c>
      <c r="N19" s="194">
        <v>-0.68079999999999996</v>
      </c>
      <c r="O19" s="181">
        <v>229025</v>
      </c>
      <c r="P19" s="194">
        <v>0.1366</v>
      </c>
      <c r="Q19" s="198">
        <v>15</v>
      </c>
      <c r="R19" s="178">
        <v>314.04000000000002</v>
      </c>
      <c r="S19" s="178">
        <v>0.13</v>
      </c>
      <c r="T19" s="178">
        <v>-6.7</v>
      </c>
      <c r="U19" s="185">
        <f t="shared" si="1"/>
        <v>51.666666666666664</v>
      </c>
      <c r="V19" s="394">
        <v>131.63</v>
      </c>
    </row>
    <row r="20" spans="2:22" ht="14">
      <c r="B20" s="398" t="s">
        <v>138</v>
      </c>
      <c r="C20" s="179" t="s">
        <v>57</v>
      </c>
      <c r="D20" s="178">
        <v>2653</v>
      </c>
      <c r="E20" s="177">
        <f>VLOOKUP(B20,'Master_return and risk'!$B$10:$C$70,2,FALSE)</f>
        <v>0.20894871609621712</v>
      </c>
      <c r="F20" s="177">
        <f>VLOOKUP(B20,'Master_return and risk'!$B$10:$D$70,3,FALSE)</f>
        <v>0.28943224316850358</v>
      </c>
      <c r="G20" s="178">
        <v>60</v>
      </c>
      <c r="H20" s="178">
        <v>58</v>
      </c>
      <c r="I20" s="178">
        <v>74</v>
      </c>
      <c r="J20" s="186">
        <v>0.12</v>
      </c>
      <c r="K20" s="187">
        <v>372870</v>
      </c>
      <c r="L20" s="184" t="str">
        <f t="shared" si="0"/>
        <v>Large Cap</v>
      </c>
      <c r="M20" s="193">
        <v>0.22</v>
      </c>
      <c r="N20" s="194">
        <v>1.5800000000000002E-2</v>
      </c>
      <c r="O20" s="181">
        <v>2025586</v>
      </c>
      <c r="P20" s="194">
        <v>0.1983</v>
      </c>
      <c r="Q20" s="195">
        <v>20</v>
      </c>
      <c r="R20" s="178">
        <v>120650.44</v>
      </c>
      <c r="S20" s="178">
        <v>1.35</v>
      </c>
      <c r="T20" s="178">
        <v>11.68</v>
      </c>
      <c r="U20" s="185">
        <f t="shared" si="1"/>
        <v>64</v>
      </c>
      <c r="V20" s="394">
        <v>15.16</v>
      </c>
    </row>
    <row r="21" spans="2:22" ht="14">
      <c r="B21" s="398" t="s">
        <v>139</v>
      </c>
      <c r="C21" s="179" t="s">
        <v>57</v>
      </c>
      <c r="D21" s="178">
        <v>717</v>
      </c>
      <c r="E21" s="177">
        <f>VLOOKUP(B21,'Master_return and risk'!$B$10:$C$70,2,FALSE)</f>
        <v>0.20687244928354304</v>
      </c>
      <c r="F21" s="177">
        <f>VLOOKUP(B21,'Master_return and risk'!$B$10:$D$70,3,FALSE)</f>
        <v>0.31102295256460233</v>
      </c>
      <c r="G21" s="178">
        <v>40</v>
      </c>
      <c r="H21" s="178">
        <v>36</v>
      </c>
      <c r="I21" s="178">
        <v>60</v>
      </c>
      <c r="J21" s="186">
        <v>0.15</v>
      </c>
      <c r="K21" s="187">
        <v>69159</v>
      </c>
      <c r="L21" s="184" t="str">
        <f t="shared" si="0"/>
        <v>Large Cap</v>
      </c>
      <c r="M21" s="193">
        <v>0.05</v>
      </c>
      <c r="N21" s="194">
        <v>1.6000000000000001E-3</v>
      </c>
      <c r="O21" s="181">
        <v>771525</v>
      </c>
      <c r="P21" s="194">
        <v>-0.18360000000000001</v>
      </c>
      <c r="Q21" s="195">
        <v>15</v>
      </c>
      <c r="R21" s="178">
        <v>9050.7999999999993</v>
      </c>
      <c r="S21" s="178">
        <v>0.71</v>
      </c>
      <c r="T21" s="178">
        <v>7.09</v>
      </c>
      <c r="U21" s="185">
        <f t="shared" si="1"/>
        <v>45.333333333333336</v>
      </c>
      <c r="V21" s="394">
        <v>36.06</v>
      </c>
    </row>
    <row r="22" spans="2:22" ht="14">
      <c r="B22" s="398" t="s">
        <v>140</v>
      </c>
      <c r="C22" s="179" t="s">
        <v>57</v>
      </c>
      <c r="D22" s="178">
        <v>478</v>
      </c>
      <c r="E22" s="177">
        <f>VLOOKUP(B22,'Master_return and risk'!$B$10:$C$70,2,FALSE)</f>
        <v>0.31398280388375099</v>
      </c>
      <c r="F22" s="177">
        <f>VLOOKUP(B22,'Master_return and risk'!$B$10:$D$70,3,FALSE)</f>
        <v>0.41633003961341497</v>
      </c>
      <c r="G22" s="178">
        <v>63</v>
      </c>
      <c r="H22" s="178">
        <v>53</v>
      </c>
      <c r="I22" s="178">
        <v>65</v>
      </c>
      <c r="J22" s="186">
        <v>0.1</v>
      </c>
      <c r="K22" s="187">
        <v>118196</v>
      </c>
      <c r="L22" s="184" t="str">
        <f t="shared" si="0"/>
        <v>Large Cap</v>
      </c>
      <c r="M22" s="193">
        <v>0.12</v>
      </c>
      <c r="N22" s="194">
        <v>1.2265999999999999</v>
      </c>
      <c r="O22" s="181">
        <v>4756658</v>
      </c>
      <c r="P22" s="194">
        <v>-5.7000000000000002E-2</v>
      </c>
      <c r="Q22" s="195">
        <v>18</v>
      </c>
      <c r="R22" s="178">
        <v>3333.99</v>
      </c>
      <c r="S22" s="178">
        <v>0.09</v>
      </c>
      <c r="T22" s="178">
        <v>5.47</v>
      </c>
      <c r="U22" s="185">
        <f t="shared" si="1"/>
        <v>60.333333333333336</v>
      </c>
      <c r="V22" s="394">
        <v>58.19</v>
      </c>
    </row>
    <row r="23" spans="2:22" ht="14">
      <c r="B23" s="398" t="s">
        <v>141</v>
      </c>
      <c r="C23" s="179" t="s">
        <v>57</v>
      </c>
      <c r="D23" s="178">
        <v>156</v>
      </c>
      <c r="E23" s="177">
        <f>VLOOKUP(B23,'Master_return and risk'!$B$10:$C$70,2,FALSE)</f>
        <v>0.33803513498013182</v>
      </c>
      <c r="F23" s="177">
        <f>VLOOKUP(B23,'Master_return and risk'!$B$10:$D$70,3,FALSE)</f>
        <v>0.58871467519266352</v>
      </c>
      <c r="G23" s="178">
        <v>30</v>
      </c>
      <c r="H23" s="178">
        <v>36</v>
      </c>
      <c r="I23" s="178">
        <v>51</v>
      </c>
      <c r="J23" s="186">
        <v>0.08</v>
      </c>
      <c r="K23" s="187">
        <v>9794</v>
      </c>
      <c r="L23" s="184" t="str">
        <f t="shared" si="0"/>
        <v>Mid Cap</v>
      </c>
      <c r="M23" s="193">
        <v>0.02</v>
      </c>
      <c r="N23" s="194">
        <v>0.20699999999999999</v>
      </c>
      <c r="O23" s="181">
        <v>6057006</v>
      </c>
      <c r="P23" s="194">
        <v>0.34029999999999999</v>
      </c>
      <c r="Q23" s="198">
        <v>15</v>
      </c>
      <c r="R23" s="178">
        <v>973.82</v>
      </c>
      <c r="S23" s="178">
        <v>0.16</v>
      </c>
      <c r="T23" s="178">
        <v>10.54</v>
      </c>
      <c r="U23" s="185">
        <f t="shared" si="1"/>
        <v>39</v>
      </c>
      <c r="V23" s="394">
        <v>5.87</v>
      </c>
    </row>
    <row r="24" spans="2:22" ht="14">
      <c r="B24" s="398" t="s">
        <v>142</v>
      </c>
      <c r="C24" s="179" t="s">
        <v>57</v>
      </c>
      <c r="D24" s="178">
        <v>119</v>
      </c>
      <c r="E24" s="177">
        <f>VLOOKUP(B24,'Master_return and risk'!$B$10:$C$70,2,FALSE)</f>
        <v>0</v>
      </c>
      <c r="F24" s="177">
        <f>VLOOKUP(B24,'Master_return and risk'!$B$10:$D$70,3,FALSE)</f>
        <v>0</v>
      </c>
      <c r="G24" s="178">
        <v>30</v>
      </c>
      <c r="H24" s="178">
        <v>43</v>
      </c>
      <c r="I24" s="178">
        <v>67</v>
      </c>
      <c r="J24" s="186">
        <v>0.15</v>
      </c>
      <c r="K24" s="187">
        <v>1996</v>
      </c>
      <c r="L24" s="184" t="str">
        <f t="shared" si="0"/>
        <v>Small Cap</v>
      </c>
      <c r="M24" s="193">
        <v>0.01</v>
      </c>
      <c r="N24" s="194">
        <v>0.1431</v>
      </c>
      <c r="O24" s="181">
        <v>375299</v>
      </c>
      <c r="P24" s="194">
        <v>0.29480000000000001</v>
      </c>
      <c r="Q24" s="198">
        <v>17</v>
      </c>
      <c r="R24" s="178">
        <v>1871.67</v>
      </c>
      <c r="S24" s="178">
        <v>3.39</v>
      </c>
      <c r="T24" s="178">
        <v>22.87</v>
      </c>
      <c r="U24" s="185">
        <f t="shared" si="1"/>
        <v>46.666666666666664</v>
      </c>
      <c r="V24" s="394">
        <v>5.51</v>
      </c>
    </row>
    <row r="25" spans="2:22" ht="15.75" customHeight="1">
      <c r="B25" s="395" t="s">
        <v>143</v>
      </c>
      <c r="C25" s="179" t="s">
        <v>144</v>
      </c>
      <c r="D25" s="180">
        <v>933</v>
      </c>
      <c r="E25" s="177">
        <f>VLOOKUP(B25,'Master_return and risk'!$B$10:$C$70,2,FALSE)</f>
        <v>1.0059319017891468</v>
      </c>
      <c r="F25" s="177">
        <f>VLOOKUP(B25,'Master_return and risk'!$B$10:$D$70,3,FALSE)</f>
        <v>0.8454112005575033</v>
      </c>
      <c r="G25" s="188">
        <v>74</v>
      </c>
      <c r="H25" s="188">
        <v>57</v>
      </c>
      <c r="I25" s="188">
        <v>64</v>
      </c>
      <c r="J25" s="192">
        <v>0.25</v>
      </c>
      <c r="K25" s="190">
        <v>147790.26</v>
      </c>
      <c r="L25" s="184" t="str">
        <f t="shared" si="0"/>
        <v>Large Cap</v>
      </c>
      <c r="M25" s="193">
        <v>0.22</v>
      </c>
      <c r="N25" s="196">
        <v>1.9108000000000001</v>
      </c>
      <c r="O25" s="181">
        <v>2738646</v>
      </c>
      <c r="P25" s="199">
        <v>0.439</v>
      </c>
      <c r="Q25" s="200">
        <v>18</v>
      </c>
      <c r="R25" s="181">
        <v>54223</v>
      </c>
      <c r="S25" s="180">
        <v>7.42</v>
      </c>
      <c r="T25" s="180">
        <v>22.83</v>
      </c>
      <c r="U25" s="185">
        <f t="shared" si="1"/>
        <v>65</v>
      </c>
      <c r="V25" s="397">
        <v>28.3</v>
      </c>
    </row>
    <row r="26" spans="2:22" ht="15.75" customHeight="1">
      <c r="B26" s="395" t="s">
        <v>145</v>
      </c>
      <c r="C26" s="179" t="s">
        <v>144</v>
      </c>
      <c r="D26" s="180">
        <v>232.35</v>
      </c>
      <c r="E26" s="177">
        <f>VLOOKUP(B26,'Master_return and risk'!$B$10:$C$70,2,FALSE)</f>
        <v>0.35569451931125146</v>
      </c>
      <c r="F26" s="177">
        <f>VLOOKUP(B26,'Master_return and risk'!$B$10:$D$70,3,FALSE)</f>
        <v>0.40340371841421296</v>
      </c>
      <c r="G26" s="188">
        <v>59</v>
      </c>
      <c r="H26" s="188">
        <v>60</v>
      </c>
      <c r="I26" s="188">
        <v>73</v>
      </c>
      <c r="J26" s="192">
        <v>0.1</v>
      </c>
      <c r="K26" s="190">
        <v>74243.78</v>
      </c>
      <c r="L26" s="184" t="str">
        <f t="shared" si="0"/>
        <v>Large Cap</v>
      </c>
      <c r="M26" s="193">
        <v>0.1</v>
      </c>
      <c r="N26" s="196">
        <v>1.2037</v>
      </c>
      <c r="O26" s="181">
        <v>11526628</v>
      </c>
      <c r="P26" s="196">
        <v>0.18329999999999999</v>
      </c>
      <c r="Q26" s="200">
        <v>18</v>
      </c>
      <c r="R26" s="181">
        <v>52923</v>
      </c>
      <c r="S26" s="181">
        <v>1.84</v>
      </c>
      <c r="T26" s="180">
        <v>12.62</v>
      </c>
      <c r="U26" s="185">
        <f t="shared" si="1"/>
        <v>64</v>
      </c>
      <c r="V26" s="396">
        <v>8.4600000000000009</v>
      </c>
    </row>
    <row r="27" spans="2:22" ht="14.5">
      <c r="B27" s="395" t="s">
        <v>146</v>
      </c>
      <c r="C27" s="179" t="s">
        <v>144</v>
      </c>
      <c r="D27" s="181">
        <v>49.7</v>
      </c>
      <c r="E27" s="177">
        <f>VLOOKUP(B27,'Master_return and risk'!$B$10:$C$70,2,FALSE)</f>
        <v>0.25325933696187536</v>
      </c>
      <c r="F27" s="177">
        <f>VLOOKUP(B27,'Master_return and risk'!$B$10:$D$70,3,FALSE)</f>
        <v>0.24946016611298133</v>
      </c>
      <c r="G27" s="188">
        <v>65</v>
      </c>
      <c r="H27" s="188">
        <v>64</v>
      </c>
      <c r="I27" s="188">
        <v>56</v>
      </c>
      <c r="J27" s="192">
        <v>0.12</v>
      </c>
      <c r="K27" s="190">
        <v>49923.839999999997</v>
      </c>
      <c r="L27" s="184" t="str">
        <f t="shared" si="0"/>
        <v>Large Cap</v>
      </c>
      <c r="M27" s="193">
        <v>0.13</v>
      </c>
      <c r="N27" s="196">
        <v>6.08E-2</v>
      </c>
      <c r="O27" s="181">
        <v>16061658</v>
      </c>
      <c r="P27" s="196">
        <v>0.12330000000000001</v>
      </c>
      <c r="Q27" s="197">
        <v>20</v>
      </c>
      <c r="R27" s="181">
        <v>29539.84</v>
      </c>
      <c r="S27" s="181">
        <v>0.8</v>
      </c>
      <c r="T27" s="179">
        <v>10.83</v>
      </c>
      <c r="U27" s="185">
        <f t="shared" si="1"/>
        <v>61.666666666666664</v>
      </c>
      <c r="V27" s="396">
        <v>11.02</v>
      </c>
    </row>
    <row r="28" spans="2:22" ht="14.5">
      <c r="B28" s="395" t="s">
        <v>147</v>
      </c>
      <c r="C28" s="179" t="s">
        <v>144</v>
      </c>
      <c r="D28" s="181">
        <v>116.65</v>
      </c>
      <c r="E28" s="177">
        <f>VLOOKUP(B28,'Master_return and risk'!$B$10:$C$70,2,FALSE)</f>
        <v>0.18231405898018538</v>
      </c>
      <c r="F28" s="177">
        <f>VLOOKUP(B28,'Master_return and risk'!$B$10:$D$70,3,FALSE)</f>
        <v>0.35929152366827216</v>
      </c>
      <c r="G28" s="188">
        <v>26</v>
      </c>
      <c r="H28" s="188">
        <v>39</v>
      </c>
      <c r="I28" s="188">
        <v>60</v>
      </c>
      <c r="J28" s="192">
        <v>0.1</v>
      </c>
      <c r="K28" s="190">
        <v>1764.37</v>
      </c>
      <c r="L28" s="184" t="str">
        <f t="shared" si="0"/>
        <v>Small Cap</v>
      </c>
      <c r="M28" s="193">
        <v>0.03</v>
      </c>
      <c r="N28" s="196">
        <v>-8.7099999999999997E-2</v>
      </c>
      <c r="O28" s="181">
        <v>593763</v>
      </c>
      <c r="P28" s="196">
        <v>0.1832</v>
      </c>
      <c r="Q28" s="197">
        <v>18</v>
      </c>
      <c r="R28" s="181">
        <v>493.32</v>
      </c>
      <c r="S28" s="180">
        <v>0.16</v>
      </c>
      <c r="T28" s="180">
        <v>6.09</v>
      </c>
      <c r="U28" s="185">
        <f t="shared" si="1"/>
        <v>41.666666666666664</v>
      </c>
      <c r="V28" s="396">
        <v>4.01</v>
      </c>
    </row>
    <row r="29" spans="2:22" ht="14.5">
      <c r="B29" s="395" t="s">
        <v>148</v>
      </c>
      <c r="C29" s="179" t="s">
        <v>144</v>
      </c>
      <c r="D29" s="180">
        <v>16.57</v>
      </c>
      <c r="E29" s="177">
        <f>VLOOKUP(B29,'Master_return and risk'!$B$10:$C$70,2,FALSE)</f>
        <v>0.41394819870405219</v>
      </c>
      <c r="F29" s="177">
        <f>VLOOKUP(B29,'Master_return and risk'!$B$10:$D$70,3,FALSE)</f>
        <v>1.0834333162843792</v>
      </c>
      <c r="G29" s="188">
        <v>24</v>
      </c>
      <c r="H29" s="188">
        <v>33</v>
      </c>
      <c r="I29" s="188">
        <v>51</v>
      </c>
      <c r="J29" s="192">
        <v>0.05</v>
      </c>
      <c r="K29" s="190">
        <v>6189.15</v>
      </c>
      <c r="L29" s="184" t="str">
        <f t="shared" si="0"/>
        <v>Mid Cap</v>
      </c>
      <c r="M29" s="193">
        <v>0.02</v>
      </c>
      <c r="N29" s="179"/>
      <c r="O29" s="181">
        <v>70933636</v>
      </c>
      <c r="P29" s="201">
        <v>-0.02</v>
      </c>
      <c r="Q29" s="197">
        <v>20</v>
      </c>
      <c r="R29" s="181">
        <v>21236.03</v>
      </c>
      <c r="S29" s="181">
        <v>1.84</v>
      </c>
      <c r="T29" s="181">
        <v>-11.75</v>
      </c>
      <c r="U29" s="185">
        <f t="shared" si="1"/>
        <v>36</v>
      </c>
      <c r="V29" s="396">
        <v>13.48</v>
      </c>
    </row>
    <row r="30" spans="2:22" ht="14.5">
      <c r="B30" s="398" t="s">
        <v>149</v>
      </c>
      <c r="C30" s="179" t="s">
        <v>70</v>
      </c>
      <c r="D30" s="179">
        <v>23883</v>
      </c>
      <c r="E30" s="177">
        <f>VLOOKUP(B30,'Master_return and risk'!$B$10:$C$70,2,FALSE)</f>
        <v>0.11296281778317935</v>
      </c>
      <c r="F30" s="177">
        <f>VLOOKUP(B30,'Master_return and risk'!$B$10:$D$70,3,FALSE)</f>
        <v>0.28816132341612677</v>
      </c>
      <c r="G30" s="188">
        <v>54</v>
      </c>
      <c r="H30" s="188">
        <v>58</v>
      </c>
      <c r="I30" s="188">
        <v>69</v>
      </c>
      <c r="J30" s="192">
        <v>0.15</v>
      </c>
      <c r="K30" s="190">
        <v>86171.63</v>
      </c>
      <c r="L30" s="184" t="str">
        <f t="shared" si="0"/>
        <v>Large Cap</v>
      </c>
      <c r="M30" s="193">
        <v>0.14000000000000001</v>
      </c>
      <c r="N30" s="196">
        <v>-5.6099999999999997E-2</v>
      </c>
      <c r="O30" s="181">
        <v>58684</v>
      </c>
      <c r="P30" s="202">
        <v>0.17100000000000001</v>
      </c>
      <c r="Q30" s="197">
        <v>20</v>
      </c>
      <c r="R30" s="179">
        <v>2811.13</v>
      </c>
      <c r="S30" s="179">
        <v>0.15</v>
      </c>
      <c r="T30" s="179">
        <v>7.45</v>
      </c>
      <c r="U30" s="185">
        <f t="shared" si="1"/>
        <v>60.333333333333336</v>
      </c>
      <c r="V30" s="397">
        <v>24.21</v>
      </c>
    </row>
    <row r="31" spans="2:22" ht="14.5">
      <c r="B31" s="398" t="s">
        <v>150</v>
      </c>
      <c r="C31" s="179" t="s">
        <v>70</v>
      </c>
      <c r="D31" s="179">
        <v>445.7</v>
      </c>
      <c r="E31" s="177">
        <f>VLOOKUP(B31,'Master_return and risk'!$B$10:$C$70,2,FALSE)</f>
        <v>0.22788341818461672</v>
      </c>
      <c r="F31" s="177">
        <f>VLOOKUP(B31,'Master_return and risk'!$B$10:$D$70,3,FALSE)</f>
        <v>0.34068494296310381</v>
      </c>
      <c r="G31" s="188">
        <v>50</v>
      </c>
      <c r="H31" s="188">
        <v>58</v>
      </c>
      <c r="I31" s="188">
        <v>69</v>
      </c>
      <c r="J31" s="192">
        <v>0.12</v>
      </c>
      <c r="K31" s="190">
        <v>88500.23</v>
      </c>
      <c r="L31" s="184" t="str">
        <f t="shared" si="0"/>
        <v>Large Cap</v>
      </c>
      <c r="M31" s="193">
        <v>0.08</v>
      </c>
      <c r="N31" s="196">
        <v>0.1017</v>
      </c>
      <c r="O31" s="181">
        <v>11355078</v>
      </c>
      <c r="P31" s="202">
        <v>5.04E-2</v>
      </c>
      <c r="Q31" s="197">
        <v>20</v>
      </c>
      <c r="R31" s="179">
        <v>522.73</v>
      </c>
      <c r="S31" s="179">
        <v>0.02</v>
      </c>
      <c r="T31" s="179">
        <v>10.76</v>
      </c>
      <c r="U31" s="185">
        <f t="shared" si="1"/>
        <v>59</v>
      </c>
      <c r="V31" s="399">
        <v>17.05</v>
      </c>
    </row>
    <row r="32" spans="2:22" ht="14.5">
      <c r="B32" s="398" t="s">
        <v>151</v>
      </c>
      <c r="C32" s="179" t="s">
        <v>70</v>
      </c>
      <c r="D32" s="181">
        <v>8194.9</v>
      </c>
      <c r="E32" s="177">
        <f>VLOOKUP(B32,'Master_return and risk'!$B$10:$C$70,2,FALSE)</f>
        <v>0.18423012838043776</v>
      </c>
      <c r="F32" s="177">
        <f>VLOOKUP(B32,'Master_return and risk'!$B$10:$D$70,3,FALSE)</f>
        <v>0.26786544469017265</v>
      </c>
      <c r="G32" s="188">
        <v>48</v>
      </c>
      <c r="H32" s="188">
        <v>61</v>
      </c>
      <c r="I32" s="188">
        <v>71</v>
      </c>
      <c r="J32" s="192">
        <v>0.1</v>
      </c>
      <c r="K32" s="190">
        <v>236575.62</v>
      </c>
      <c r="L32" s="184" t="str">
        <f t="shared" si="0"/>
        <v>Large Cap</v>
      </c>
      <c r="M32" s="193">
        <v>0.43</v>
      </c>
      <c r="N32" s="196">
        <v>-3.9199999999999999E-2</v>
      </c>
      <c r="O32" s="181">
        <v>369693</v>
      </c>
      <c r="P32" s="202">
        <v>0.17660000000000001</v>
      </c>
      <c r="Q32" s="197">
        <v>20</v>
      </c>
      <c r="R32" s="181">
        <v>11057.74</v>
      </c>
      <c r="S32" s="179">
        <v>0.2</v>
      </c>
      <c r="T32" s="179">
        <v>9.6300000000000008</v>
      </c>
      <c r="U32" s="185">
        <f t="shared" si="1"/>
        <v>60</v>
      </c>
      <c r="V32" s="400">
        <v>22.11</v>
      </c>
    </row>
    <row r="33" spans="2:22" ht="14.5">
      <c r="B33" s="398" t="s">
        <v>152</v>
      </c>
      <c r="C33" s="179" t="s">
        <v>70</v>
      </c>
      <c r="D33" s="179">
        <v>157.85</v>
      </c>
      <c r="E33" s="177">
        <f>VLOOKUP(B33,'Master_return and risk'!$B$10:$C$70,2,FALSE)</f>
        <v>0.10443859170000275</v>
      </c>
      <c r="F33" s="177">
        <f>VLOOKUP(B33,'Master_return and risk'!$B$10:$D$70,3,FALSE)</f>
        <v>0.24769833074020831</v>
      </c>
      <c r="G33" s="188">
        <v>29</v>
      </c>
      <c r="H33" s="188">
        <v>43</v>
      </c>
      <c r="I33" s="188">
        <v>56</v>
      </c>
      <c r="J33" s="192">
        <v>0.15</v>
      </c>
      <c r="K33" s="189">
        <v>6380.04</v>
      </c>
      <c r="L33" s="184" t="str">
        <f t="shared" si="0"/>
        <v>Mid Cap</v>
      </c>
      <c r="M33" s="193">
        <v>0.02</v>
      </c>
      <c r="N33" s="203">
        <v>-0.04</v>
      </c>
      <c r="O33" s="181">
        <v>525636</v>
      </c>
      <c r="P33" s="202">
        <v>0.18029999999999999</v>
      </c>
      <c r="Q33" s="197">
        <v>17</v>
      </c>
      <c r="R33" s="179">
        <v>35.35</v>
      </c>
      <c r="S33" s="179">
        <v>0.01</v>
      </c>
      <c r="T33" s="179">
        <v>10.8</v>
      </c>
      <c r="U33" s="185">
        <f t="shared" si="1"/>
        <v>42.666666666666664</v>
      </c>
      <c r="V33" s="400">
        <v>11.73</v>
      </c>
    </row>
    <row r="34" spans="2:22" ht="14.5">
      <c r="B34" s="398" t="s">
        <v>153</v>
      </c>
      <c r="C34" s="179" t="s">
        <v>70</v>
      </c>
      <c r="D34" s="181">
        <v>222.15</v>
      </c>
      <c r="E34" s="177">
        <f>VLOOKUP(B34,'Master_return and risk'!$B$10:$C$70,2,FALSE)</f>
        <v>0.19630164020026258</v>
      </c>
      <c r="F34" s="177">
        <f>VLOOKUP(B34,'Master_return and risk'!$B$10:$D$70,3,FALSE)</f>
        <v>0.38528970706963539</v>
      </c>
      <c r="G34" s="188">
        <v>26</v>
      </c>
      <c r="H34" s="188">
        <v>30</v>
      </c>
      <c r="I34" s="188">
        <v>70</v>
      </c>
      <c r="J34" s="192">
        <v>0.1</v>
      </c>
      <c r="K34" s="190">
        <v>1004.81</v>
      </c>
      <c r="L34" s="184" t="str">
        <f t="shared" si="0"/>
        <v>Small Cap</v>
      </c>
      <c r="M34" s="193">
        <v>0.01</v>
      </c>
      <c r="N34" s="196">
        <v>-3.0800000000000001E-2</v>
      </c>
      <c r="O34" s="181">
        <v>153307</v>
      </c>
      <c r="P34" s="199">
        <v>2.3699999999999999E-2</v>
      </c>
      <c r="Q34" s="197">
        <v>15</v>
      </c>
      <c r="R34" s="181">
        <v>292.33</v>
      </c>
      <c r="S34" s="181">
        <v>0.38</v>
      </c>
      <c r="T34" s="180">
        <v>6.06</v>
      </c>
      <c r="U34" s="185">
        <f t="shared" si="1"/>
        <v>42</v>
      </c>
      <c r="V34" s="396">
        <v>6.34</v>
      </c>
    </row>
    <row r="35" spans="2:22" ht="14">
      <c r="B35" s="398" t="s">
        <v>154</v>
      </c>
      <c r="C35" s="179" t="s">
        <v>32</v>
      </c>
      <c r="D35" s="179">
        <v>3368</v>
      </c>
      <c r="E35" s="177">
        <f>VLOOKUP(B35,'Master_return and risk'!$B$10:$C$70,2,FALSE)</f>
        <v>0.13278390410721419</v>
      </c>
      <c r="F35" s="177">
        <f>VLOOKUP(B35,'Master_return and risk'!$B$10:$D$70,3,FALSE)</f>
        <v>0.21508055411169699</v>
      </c>
      <c r="G35" s="179">
        <v>70</v>
      </c>
      <c r="H35" s="179">
        <v>66</v>
      </c>
      <c r="I35" s="179">
        <v>78</v>
      </c>
      <c r="J35" s="192">
        <v>0.12</v>
      </c>
      <c r="K35" s="179">
        <v>1232368.49</v>
      </c>
      <c r="L35" s="184" t="str">
        <f t="shared" si="0"/>
        <v>Large Cap</v>
      </c>
      <c r="M35" s="193">
        <v>0.23</v>
      </c>
      <c r="N35" s="202">
        <v>0.1018</v>
      </c>
      <c r="O35" s="181">
        <v>2027293</v>
      </c>
      <c r="P35" s="204">
        <v>0.1656</v>
      </c>
      <c r="Q35" s="200">
        <v>19</v>
      </c>
      <c r="R35" s="183">
        <v>7688</v>
      </c>
      <c r="S35" s="179">
        <v>0.09</v>
      </c>
      <c r="T35" s="202">
        <v>0.46899999999999997</v>
      </c>
      <c r="U35" s="185">
        <f t="shared" si="1"/>
        <v>71.333333333333329</v>
      </c>
      <c r="V35" s="401">
        <v>18.899999999999999</v>
      </c>
    </row>
    <row r="36" spans="2:22" ht="14">
      <c r="B36" s="398" t="s">
        <v>155</v>
      </c>
      <c r="C36" s="179" t="s">
        <v>32</v>
      </c>
      <c r="D36" s="179">
        <v>1392.95</v>
      </c>
      <c r="E36" s="177">
        <f>VLOOKUP(B36,'Master_return and risk'!$B$10:$C$70,2,FALSE)</f>
        <v>0.19783512771373279</v>
      </c>
      <c r="F36" s="177">
        <f>VLOOKUP(B36,'Master_return and risk'!$B$10:$D$70,3,FALSE)</f>
        <v>0.27648483638080718</v>
      </c>
      <c r="G36" s="179">
        <v>81</v>
      </c>
      <c r="H36" s="179">
        <v>62</v>
      </c>
      <c r="I36" s="179">
        <v>80</v>
      </c>
      <c r="J36" s="192">
        <v>0.1</v>
      </c>
      <c r="K36" s="179">
        <v>578101.07999999996</v>
      </c>
      <c r="L36" s="184" t="str">
        <f t="shared" si="0"/>
        <v>Large Cap</v>
      </c>
      <c r="M36" s="193">
        <v>0.18</v>
      </c>
      <c r="N36" s="202">
        <v>0.14380000000000001</v>
      </c>
      <c r="O36" s="181">
        <v>7105230</v>
      </c>
      <c r="P36" s="205">
        <v>0.17169999999999999</v>
      </c>
      <c r="Q36" s="200">
        <v>19</v>
      </c>
      <c r="R36" s="183">
        <v>8483</v>
      </c>
      <c r="S36" s="179">
        <v>0.11</v>
      </c>
      <c r="T36" s="202">
        <v>0.318</v>
      </c>
      <c r="U36" s="185">
        <f t="shared" si="1"/>
        <v>74.333333333333329</v>
      </c>
      <c r="V36" s="400">
        <v>14.5</v>
      </c>
    </row>
    <row r="37" spans="2:22" ht="14">
      <c r="B37" s="398" t="s">
        <v>156</v>
      </c>
      <c r="C37" s="179" t="s">
        <v>32</v>
      </c>
      <c r="D37" s="182">
        <v>7008.15</v>
      </c>
      <c r="E37" s="177">
        <f>VLOOKUP(B37,'Master_return and risk'!$B$10:$C$70,2,FALSE)</f>
        <v>0.50017905895791692</v>
      </c>
      <c r="F37" s="177">
        <f>VLOOKUP(B37,'Master_return and risk'!$B$10:$D$70,3,FALSE)</f>
        <v>0.49300141283348159</v>
      </c>
      <c r="G37" s="179">
        <v>43</v>
      </c>
      <c r="H37" s="179">
        <v>62</v>
      </c>
      <c r="I37" s="179">
        <v>75</v>
      </c>
      <c r="J37" s="192">
        <v>0.15</v>
      </c>
      <c r="K37" s="179">
        <v>43831.08</v>
      </c>
      <c r="L37" s="184" t="str">
        <f t="shared" si="0"/>
        <v>Large Cap</v>
      </c>
      <c r="M37" s="193">
        <v>0.03</v>
      </c>
      <c r="N37" s="202">
        <v>0.42670000000000002</v>
      </c>
      <c r="O37" s="181">
        <v>217606</v>
      </c>
      <c r="P37" s="205">
        <v>0.23910000000000001</v>
      </c>
      <c r="Q37" s="200">
        <v>17</v>
      </c>
      <c r="R37" s="179">
        <v>185</v>
      </c>
      <c r="S37" s="179">
        <v>0.09</v>
      </c>
      <c r="T37" s="202">
        <v>0.41099999999999998</v>
      </c>
      <c r="U37" s="185">
        <f t="shared" si="1"/>
        <v>60</v>
      </c>
      <c r="V37" s="400">
        <v>40.200000000000003</v>
      </c>
    </row>
    <row r="38" spans="2:22" ht="14">
      <c r="B38" s="398" t="s">
        <v>157</v>
      </c>
      <c r="C38" s="179" t="s">
        <v>32</v>
      </c>
      <c r="D38" s="182">
        <v>896.25</v>
      </c>
      <c r="E38" s="177">
        <f>VLOOKUP(B38,'Master_return and risk'!$B$10:$C$70,2,FALSE)</f>
        <v>0.26534087648607818</v>
      </c>
      <c r="F38" s="177">
        <f>VLOOKUP(B38,'Master_return and risk'!$B$10:$D$70,3,FALSE)</f>
        <v>0.39090694649468649</v>
      </c>
      <c r="G38" s="179">
        <v>44</v>
      </c>
      <c r="H38" s="179">
        <v>63</v>
      </c>
      <c r="I38" s="179">
        <v>80</v>
      </c>
      <c r="J38" s="192">
        <v>0.2</v>
      </c>
      <c r="K38" s="179">
        <v>13647.65</v>
      </c>
      <c r="L38" s="184" t="str">
        <f t="shared" si="0"/>
        <v>Mid Cap</v>
      </c>
      <c r="M38" s="193">
        <v>0.02</v>
      </c>
      <c r="N38" s="202">
        <v>-4.8300000000000003E-2</v>
      </c>
      <c r="O38" s="181">
        <v>336209</v>
      </c>
      <c r="P38" s="205">
        <v>0.24379999999999999</v>
      </c>
      <c r="Q38" s="200">
        <v>13</v>
      </c>
      <c r="R38" s="179">
        <v>543</v>
      </c>
      <c r="S38" s="179">
        <v>0.66</v>
      </c>
      <c r="T38" s="202">
        <v>0.28899999999999998</v>
      </c>
      <c r="U38" s="185">
        <f t="shared" si="1"/>
        <v>62.333333333333336</v>
      </c>
      <c r="V38" s="400">
        <v>37.5</v>
      </c>
    </row>
    <row r="39" spans="2:22" ht="14">
      <c r="B39" s="398" t="s">
        <v>158</v>
      </c>
      <c r="C39" s="179" t="s">
        <v>32</v>
      </c>
      <c r="D39" s="179">
        <v>423.7</v>
      </c>
      <c r="E39" s="177">
        <f>VLOOKUP(B39,'Master_return and risk'!$B$10:$C$70,2,FALSE)</f>
        <v>-3.9468461853402727E-2</v>
      </c>
      <c r="F39" s="177">
        <f>VLOOKUP(B39,'Master_return and risk'!$B$10:$D$70,3,FALSE)</f>
        <v>0.18212260430423388</v>
      </c>
      <c r="G39" s="179">
        <v>42</v>
      </c>
      <c r="H39" s="179">
        <v>55</v>
      </c>
      <c r="I39" s="179">
        <v>59</v>
      </c>
      <c r="J39" s="192">
        <v>0.25</v>
      </c>
      <c r="K39" s="179">
        <v>8692.9699999999993</v>
      </c>
      <c r="L39" s="184" t="str">
        <f t="shared" si="0"/>
        <v>Mid Cap</v>
      </c>
      <c r="M39" s="193">
        <v>0.01</v>
      </c>
      <c r="N39" s="202">
        <v>-0.55100000000000005</v>
      </c>
      <c r="O39" s="181">
        <v>559595</v>
      </c>
      <c r="P39" s="205">
        <v>0.28770000000000001</v>
      </c>
      <c r="Q39" s="200">
        <v>11</v>
      </c>
      <c r="R39" s="179">
        <v>21.5</v>
      </c>
      <c r="S39" s="179">
        <v>0.02</v>
      </c>
      <c r="T39" s="202">
        <v>0.13800000000000001</v>
      </c>
      <c r="U39" s="185">
        <f t="shared" si="1"/>
        <v>52</v>
      </c>
      <c r="V39" s="400">
        <v>40.5</v>
      </c>
    </row>
    <row r="40" spans="2:22" ht="14">
      <c r="B40" s="398" t="s">
        <v>159</v>
      </c>
      <c r="C40" s="179" t="s">
        <v>160</v>
      </c>
      <c r="D40" s="183">
        <v>274</v>
      </c>
      <c r="E40" s="177">
        <f>VLOOKUP(B40,'Master_return and risk'!$B$10:$C$70,2,FALSE)</f>
        <v>9.5069639825155733E-2</v>
      </c>
      <c r="F40" s="177">
        <f>VLOOKUP(B40,'Master_return and risk'!$B$10:$D$70,3,FALSE)</f>
        <v>0.63238385471361502</v>
      </c>
      <c r="G40" s="179">
        <v>43</v>
      </c>
      <c r="H40" s="179">
        <v>50</v>
      </c>
      <c r="I40" s="179">
        <v>55</v>
      </c>
      <c r="J40" s="192">
        <v>0.05</v>
      </c>
      <c r="K40" s="183">
        <v>26251</v>
      </c>
      <c r="L40" s="184" t="str">
        <f t="shared" si="0"/>
        <v>Large Cap</v>
      </c>
      <c r="M40" s="193">
        <v>0.01</v>
      </c>
      <c r="N40" s="202">
        <v>-0.17119999999999999</v>
      </c>
      <c r="O40" s="181">
        <v>11871067</v>
      </c>
      <c r="P40" s="205">
        <v>-2.8999999999999998E-3</v>
      </c>
      <c r="Q40" s="200">
        <v>14</v>
      </c>
      <c r="R40" s="179">
        <v>282</v>
      </c>
      <c r="S40" s="179">
        <v>0.03</v>
      </c>
      <c r="T40" s="202">
        <v>7.1000000000000004E-3</v>
      </c>
      <c r="U40" s="185">
        <f t="shared" si="1"/>
        <v>49.333333333333336</v>
      </c>
      <c r="V40" s="400">
        <v>24.7</v>
      </c>
    </row>
    <row r="41" spans="2:22" ht="14">
      <c r="B41" s="398" t="s">
        <v>161</v>
      </c>
      <c r="C41" s="179" t="s">
        <v>160</v>
      </c>
      <c r="D41" s="179">
        <v>549</v>
      </c>
      <c r="E41" s="177">
        <f>VLOOKUP(B41,'Master_return and risk'!$B$10:$C$70,2,FALSE)</f>
        <v>7.1834801715598987E-2</v>
      </c>
      <c r="F41" s="177">
        <f>VLOOKUP(B41,'Master_return and risk'!$B$10:$D$70,3,FALSE)</f>
        <v>0.36560117848767876</v>
      </c>
      <c r="G41" s="179">
        <v>41</v>
      </c>
      <c r="H41" s="179">
        <v>49</v>
      </c>
      <c r="I41" s="179">
        <v>57</v>
      </c>
      <c r="J41" s="192">
        <v>0.1</v>
      </c>
      <c r="K41" s="183">
        <v>21647</v>
      </c>
      <c r="L41" s="184" t="str">
        <f t="shared" si="0"/>
        <v>Large Cap</v>
      </c>
      <c r="M41" s="193">
        <v>0.28000000000000003</v>
      </c>
      <c r="N41" s="202">
        <v>0.10299999999999999</v>
      </c>
      <c r="O41" s="181">
        <v>903082</v>
      </c>
      <c r="P41" s="205">
        <v>-2.0799999999999999E-2</v>
      </c>
      <c r="Q41" s="200">
        <v>14</v>
      </c>
      <c r="R41" s="179">
        <v>62.9</v>
      </c>
      <c r="S41" s="179">
        <v>0.01</v>
      </c>
      <c r="T41" s="202">
        <v>0.19600000000000001</v>
      </c>
      <c r="U41" s="185">
        <f t="shared" si="1"/>
        <v>49</v>
      </c>
      <c r="V41" s="400">
        <v>7.49</v>
      </c>
    </row>
    <row r="42" spans="2:22" ht="14">
      <c r="B42" s="398" t="s">
        <v>162</v>
      </c>
      <c r="C42" s="179" t="s">
        <v>160</v>
      </c>
      <c r="D42" s="183">
        <v>1720</v>
      </c>
      <c r="E42" s="177">
        <f>VLOOKUP(B42,'Master_return and risk'!$B$10:$C$70,2,FALSE)</f>
        <v>4.4519091698428876E-3</v>
      </c>
      <c r="F42" s="177">
        <f>VLOOKUP(B42,'Master_return and risk'!$B$10:$D$70,3,FALSE)</f>
        <v>9.5506631713756104E-2</v>
      </c>
      <c r="G42" s="179">
        <v>47</v>
      </c>
      <c r="H42" s="179">
        <v>45</v>
      </c>
      <c r="I42" s="179">
        <v>58</v>
      </c>
      <c r="J42" s="192">
        <v>0.15</v>
      </c>
      <c r="K42" s="183">
        <v>16852</v>
      </c>
      <c r="L42" s="184" t="str">
        <f t="shared" si="0"/>
        <v>Mid Cap</v>
      </c>
      <c r="M42" s="193">
        <v>0.12</v>
      </c>
      <c r="N42" s="202">
        <v>-0.42499999999999999</v>
      </c>
      <c r="O42" s="181">
        <v>755720</v>
      </c>
      <c r="P42" s="205">
        <v>0.8095</v>
      </c>
      <c r="Q42" s="200">
        <v>13</v>
      </c>
      <c r="R42" s="183">
        <v>8052</v>
      </c>
      <c r="S42" s="179">
        <v>1.1000000000000001</v>
      </c>
      <c r="T42" s="202">
        <v>-7.6100000000000001E-2</v>
      </c>
      <c r="U42" s="185">
        <f t="shared" si="1"/>
        <v>50</v>
      </c>
      <c r="V42" s="400">
        <v>21.5</v>
      </c>
    </row>
    <row r="43" spans="2:22" ht="14">
      <c r="B43" s="398" t="s">
        <v>163</v>
      </c>
      <c r="C43" s="179" t="s">
        <v>160</v>
      </c>
      <c r="D43" s="179">
        <v>201</v>
      </c>
      <c r="E43" s="177">
        <f>VLOOKUP(B43,'Master_return and risk'!$B$10:$C$70,2,FALSE)</f>
        <v>-1.4506316035358013E-2</v>
      </c>
      <c r="F43" s="177">
        <f>VLOOKUP(B43,'Master_return and risk'!$B$10:$D$70,3,FALSE)</f>
        <v>0.33682172057698972</v>
      </c>
      <c r="G43" s="179">
        <v>43</v>
      </c>
      <c r="H43" s="179">
        <v>52</v>
      </c>
      <c r="I43" s="179">
        <v>65</v>
      </c>
      <c r="J43" s="192">
        <v>0.1</v>
      </c>
      <c r="K43" s="183">
        <v>1204</v>
      </c>
      <c r="L43" s="184" t="str">
        <f t="shared" si="0"/>
        <v>Small Cap</v>
      </c>
      <c r="M43" s="193">
        <v>0.02</v>
      </c>
      <c r="N43" s="202">
        <v>-0.1206</v>
      </c>
      <c r="O43" s="181">
        <v>203833</v>
      </c>
      <c r="P43" s="205">
        <v>-6.5199999999999994E-2</v>
      </c>
      <c r="Q43" s="200">
        <v>11</v>
      </c>
      <c r="R43" s="179">
        <v>34.200000000000003</v>
      </c>
      <c r="S43" s="179">
        <v>0.04</v>
      </c>
      <c r="T43" s="202">
        <v>9.5399999999999999E-2</v>
      </c>
      <c r="U43" s="185">
        <f t="shared" si="1"/>
        <v>53.333333333333336</v>
      </c>
      <c r="V43" s="400">
        <v>8.3699999999999992</v>
      </c>
    </row>
    <row r="44" spans="2:22" ht="14">
      <c r="B44" s="398" t="s">
        <v>164</v>
      </c>
      <c r="C44" s="179" t="s">
        <v>160</v>
      </c>
      <c r="D44" s="179">
        <v>63.5</v>
      </c>
      <c r="E44" s="177">
        <f>VLOOKUP(B44,'Master_return and risk'!$B$10:$C$70,2,FALSE)</f>
        <v>0.20017046382892639</v>
      </c>
      <c r="F44" s="177">
        <f>VLOOKUP(B44,'Master_return and risk'!$B$10:$D$70,3,FALSE)</f>
        <v>0.53369895156349112</v>
      </c>
      <c r="G44" s="179">
        <v>42</v>
      </c>
      <c r="H44" s="179">
        <v>47</v>
      </c>
      <c r="I44" s="179">
        <v>67</v>
      </c>
      <c r="J44" s="192">
        <v>0.15</v>
      </c>
      <c r="K44" s="183">
        <v>6644</v>
      </c>
      <c r="L44" s="184" t="str">
        <f t="shared" si="0"/>
        <v>Mid Cap</v>
      </c>
      <c r="M44" s="193">
        <v>0.05</v>
      </c>
      <c r="N44" s="202">
        <v>-1.7659</v>
      </c>
      <c r="O44" s="181">
        <v>1716243</v>
      </c>
      <c r="P44" s="205">
        <v>0.35239999999999999</v>
      </c>
      <c r="Q44" s="200">
        <v>11</v>
      </c>
      <c r="R44" s="183">
        <v>6069</v>
      </c>
      <c r="S44" s="179">
        <v>8.99</v>
      </c>
      <c r="T44" s="202">
        <v>-2.2100000000000002E-2</v>
      </c>
      <c r="U44" s="185">
        <f t="shared" si="1"/>
        <v>52</v>
      </c>
      <c r="V44" s="400">
        <v>34.5</v>
      </c>
    </row>
    <row r="45" spans="2:22" ht="14">
      <c r="B45" s="398" t="s">
        <v>165</v>
      </c>
      <c r="C45" s="179" t="s">
        <v>166</v>
      </c>
      <c r="D45" s="179">
        <v>381</v>
      </c>
      <c r="E45" s="177">
        <f>VLOOKUP(B45,'Master_return and risk'!$B$10:$C$70,2,FALSE)</f>
        <v>0.29857205792955321</v>
      </c>
      <c r="F45" s="177">
        <f>VLOOKUP(B45,'Master_return and risk'!$B$10:$D$70,3,FALSE)</f>
        <v>0.40690698934066688</v>
      </c>
      <c r="G45" s="179">
        <v>47</v>
      </c>
      <c r="H45" s="179">
        <v>54</v>
      </c>
      <c r="I45" s="179">
        <v>67</v>
      </c>
      <c r="J45" s="192">
        <v>0.05</v>
      </c>
      <c r="K45" s="183">
        <v>54132</v>
      </c>
      <c r="L45" s="184" t="str">
        <f t="shared" si="0"/>
        <v>Large Cap</v>
      </c>
      <c r="M45" s="193">
        <v>0.12</v>
      </c>
      <c r="N45" s="202">
        <v>0.47010000000000002</v>
      </c>
      <c r="O45" s="181">
        <v>5262171</v>
      </c>
      <c r="P45" s="206">
        <v>0.51100000000000001</v>
      </c>
      <c r="Q45" s="200">
        <v>11</v>
      </c>
      <c r="R45" s="183">
        <v>3139</v>
      </c>
      <c r="S45" s="179">
        <v>0.39</v>
      </c>
      <c r="T45" s="202">
        <v>0.127</v>
      </c>
      <c r="U45" s="185">
        <f t="shared" si="1"/>
        <v>56</v>
      </c>
      <c r="V45" s="400">
        <v>28.1</v>
      </c>
    </row>
    <row r="46" spans="2:22" ht="14">
      <c r="B46" s="398" t="s">
        <v>167</v>
      </c>
      <c r="C46" s="179" t="s">
        <v>166</v>
      </c>
      <c r="D46" s="179">
        <v>224</v>
      </c>
      <c r="E46" s="177">
        <f>VLOOKUP(B46,'Master_return and risk'!$B$10:$C$70,2,FALSE)</f>
        <v>0.19561085127143341</v>
      </c>
      <c r="F46" s="177">
        <f>VLOOKUP(B46,'Master_return and risk'!$B$10:$D$70,3,FALSE)</f>
        <v>0.45017915854713336</v>
      </c>
      <c r="G46" s="179">
        <v>43</v>
      </c>
      <c r="H46" s="179">
        <v>64</v>
      </c>
      <c r="I46" s="179">
        <v>59</v>
      </c>
      <c r="J46" s="192">
        <v>0.1</v>
      </c>
      <c r="K46" s="183">
        <v>14030</v>
      </c>
      <c r="L46" s="184" t="str">
        <f t="shared" si="0"/>
        <v>Mid Cap</v>
      </c>
      <c r="M46" s="193">
        <v>0.02</v>
      </c>
      <c r="N46" s="202">
        <v>0.33629999999999999</v>
      </c>
      <c r="O46" s="181">
        <v>864068</v>
      </c>
      <c r="P46" s="206">
        <v>0.65129999999999999</v>
      </c>
      <c r="Q46" s="200">
        <v>10</v>
      </c>
      <c r="R46" s="179">
        <v>238</v>
      </c>
      <c r="S46" s="179">
        <v>7.0000000000000007E-2</v>
      </c>
      <c r="T46" s="202">
        <v>0.114</v>
      </c>
      <c r="U46" s="185">
        <f t="shared" si="1"/>
        <v>55.333333333333336</v>
      </c>
      <c r="V46" s="400">
        <v>18.100000000000001</v>
      </c>
    </row>
    <row r="47" spans="2:22" ht="14">
      <c r="B47" s="398" t="s">
        <v>168</v>
      </c>
      <c r="C47" s="179" t="s">
        <v>166</v>
      </c>
      <c r="D47" s="179">
        <v>490</v>
      </c>
      <c r="E47" s="177">
        <f>VLOOKUP(B47,'Master_return and risk'!$B$10:$C$70,2,FALSE)</f>
        <v>0.17472162053362206</v>
      </c>
      <c r="F47" s="177">
        <f>VLOOKUP(B47,'Master_return and risk'!$B$10:$D$70,3,FALSE)</f>
        <v>0.44044294064986916</v>
      </c>
      <c r="G47" s="179">
        <v>54</v>
      </c>
      <c r="H47" s="179">
        <v>46</v>
      </c>
      <c r="I47" s="179">
        <v>69</v>
      </c>
      <c r="J47" s="192">
        <v>0.15</v>
      </c>
      <c r="K47" s="183">
        <v>10044</v>
      </c>
      <c r="L47" s="184" t="str">
        <f t="shared" si="0"/>
        <v>Mid Cap</v>
      </c>
      <c r="M47" s="193">
        <v>0</v>
      </c>
      <c r="N47" s="202">
        <v>0.15590000000000001</v>
      </c>
      <c r="O47" s="181">
        <v>242991</v>
      </c>
      <c r="P47" s="206">
        <v>0.71079999999999999</v>
      </c>
      <c r="Q47" s="200">
        <v>8</v>
      </c>
      <c r="R47" s="183">
        <v>2667</v>
      </c>
      <c r="S47" s="179">
        <v>1.54</v>
      </c>
      <c r="T47" s="205">
        <v>9.69E-2</v>
      </c>
      <c r="U47" s="185">
        <f t="shared" si="1"/>
        <v>56.333333333333336</v>
      </c>
      <c r="V47" s="400">
        <v>24.8</v>
      </c>
    </row>
    <row r="48" spans="2:22" ht="14">
      <c r="B48" s="398" t="s">
        <v>169</v>
      </c>
      <c r="C48" s="179" t="s">
        <v>166</v>
      </c>
      <c r="D48" s="179">
        <v>360</v>
      </c>
      <c r="E48" s="177">
        <f>VLOOKUP(B48,'Master_return and risk'!$B$10:$C$70,2,FALSE)</f>
        <v>0.25333484814048257</v>
      </c>
      <c r="F48" s="177">
        <f>VLOOKUP(B48,'Master_return and risk'!$B$10:$D$70,3,FALSE)</f>
        <v>0.3562959459393773</v>
      </c>
      <c r="G48" s="179">
        <v>46</v>
      </c>
      <c r="H48" s="179">
        <v>47</v>
      </c>
      <c r="I48" s="179">
        <v>73</v>
      </c>
      <c r="J48" s="192">
        <v>0.1</v>
      </c>
      <c r="K48" s="183">
        <v>7235</v>
      </c>
      <c r="L48" s="184" t="str">
        <f t="shared" si="0"/>
        <v>Mid Cap</v>
      </c>
      <c r="M48" s="193">
        <v>0.04</v>
      </c>
      <c r="N48" s="202">
        <v>0.42070000000000002</v>
      </c>
      <c r="O48" s="181">
        <v>412185</v>
      </c>
      <c r="P48" s="206">
        <v>0.1242</v>
      </c>
      <c r="Q48" s="200">
        <v>10</v>
      </c>
      <c r="R48" s="183">
        <v>2623</v>
      </c>
      <c r="S48" s="179">
        <v>6.73</v>
      </c>
      <c r="T48" s="202">
        <v>0.35899999999999999</v>
      </c>
      <c r="U48" s="185">
        <f t="shared" si="1"/>
        <v>55.333333333333336</v>
      </c>
      <c r="V48" s="400">
        <v>16.899999999999999</v>
      </c>
    </row>
    <row r="49" spans="2:22" ht="14">
      <c r="B49" s="398" t="s">
        <v>170</v>
      </c>
      <c r="C49" s="179" t="s">
        <v>166</v>
      </c>
      <c r="D49" s="179">
        <v>102</v>
      </c>
      <c r="E49" s="177">
        <f>VLOOKUP(B49,'Master_return and risk'!$B$10:$C$70,2,FALSE)</f>
        <v>0.20020684663376448</v>
      </c>
      <c r="F49" s="177">
        <f>VLOOKUP(B49,'Master_return and risk'!$B$10:$D$70,3,FALSE)</f>
        <v>0.47441341844754797</v>
      </c>
      <c r="G49" s="179">
        <v>49</v>
      </c>
      <c r="H49" s="179">
        <v>56</v>
      </c>
      <c r="I49" s="179">
        <v>64</v>
      </c>
      <c r="J49" s="192">
        <v>0.15</v>
      </c>
      <c r="K49" s="183">
        <v>8098</v>
      </c>
      <c r="L49" s="184" t="str">
        <f t="shared" si="0"/>
        <v>Mid Cap</v>
      </c>
      <c r="M49" s="193">
        <v>0.03</v>
      </c>
      <c r="N49" s="202">
        <v>4.4108000000000001</v>
      </c>
      <c r="O49" s="181">
        <v>5808421</v>
      </c>
      <c r="P49" s="206">
        <v>0.63949999999999996</v>
      </c>
      <c r="Q49" s="200">
        <v>10</v>
      </c>
      <c r="R49" s="183">
        <v>2177</v>
      </c>
      <c r="S49" s="179">
        <v>2.5499999999999998</v>
      </c>
      <c r="T49" s="202">
        <v>0.13600000000000001</v>
      </c>
      <c r="U49" s="185">
        <f t="shared" si="1"/>
        <v>56.333333333333336</v>
      </c>
      <c r="V49" s="400">
        <v>22.1</v>
      </c>
    </row>
    <row r="50" spans="2:22" ht="14">
      <c r="B50" s="398" t="s">
        <v>923</v>
      </c>
      <c r="C50" s="179" t="s">
        <v>17</v>
      </c>
      <c r="D50" s="179">
        <v>2554.75</v>
      </c>
      <c r="E50" s="177">
        <f>VLOOKUP(B50,'Master_return and risk'!$B$10:$C$70,2,FALSE)</f>
        <v>0.1336349934393109</v>
      </c>
      <c r="F50" s="177">
        <f>VLOOKUP(B50,'Master_return and risk'!$B$10:$D$70,3,FALSE)</f>
        <v>0.21797754059465221</v>
      </c>
      <c r="G50" s="179">
        <v>64</v>
      </c>
      <c r="H50" s="179">
        <v>55</v>
      </c>
      <c r="I50" s="179">
        <v>78</v>
      </c>
      <c r="J50" s="192">
        <v>0.11</v>
      </c>
      <c r="K50" s="183">
        <v>600261.82999999996</v>
      </c>
      <c r="L50" s="184" t="str">
        <f t="shared" si="0"/>
        <v>Large Cap</v>
      </c>
      <c r="M50" s="193">
        <v>0.252</v>
      </c>
      <c r="N50" s="202">
        <v>0.10780000000000001</v>
      </c>
      <c r="O50" s="181">
        <v>1511794</v>
      </c>
      <c r="P50" s="206">
        <v>0.1198</v>
      </c>
      <c r="Q50" s="200">
        <v>20</v>
      </c>
      <c r="R50" s="183">
        <v>1219</v>
      </c>
      <c r="S50" s="179">
        <v>0.02</v>
      </c>
      <c r="T50" s="202">
        <v>0.20469999999999999</v>
      </c>
      <c r="U50" s="185">
        <f t="shared" si="1"/>
        <v>65.666666666666671</v>
      </c>
      <c r="V50" s="400">
        <v>39.86</v>
      </c>
    </row>
    <row r="51" spans="2:22" ht="14">
      <c r="B51" s="398" t="s">
        <v>924</v>
      </c>
      <c r="C51" s="179" t="s">
        <v>17</v>
      </c>
      <c r="D51" s="179">
        <v>21830</v>
      </c>
      <c r="E51" s="177">
        <f>VLOOKUP(B51,'Master_return and risk'!$B$10:$C$70,2,FALSE)</f>
        <v>0.19681040927319621</v>
      </c>
      <c r="F51" s="177">
        <f>VLOOKUP(B51,'Master_return and risk'!$B$10:$D$70,3,FALSE)</f>
        <v>0.17087442090233534</v>
      </c>
      <c r="G51" s="179">
        <v>48</v>
      </c>
      <c r="H51" s="179">
        <v>56</v>
      </c>
      <c r="I51" s="179">
        <v>75</v>
      </c>
      <c r="J51" s="192">
        <v>0.1</v>
      </c>
      <c r="K51" s="183">
        <v>210475.51</v>
      </c>
      <c r="L51" s="184" t="str">
        <f t="shared" si="0"/>
        <v>Large Cap</v>
      </c>
      <c r="M51" s="193">
        <v>0.151</v>
      </c>
      <c r="N51" s="202">
        <v>6.6199999999999995E-2</v>
      </c>
      <c r="O51" s="181">
        <v>63848</v>
      </c>
      <c r="P51" s="206">
        <v>0.17100000000000001</v>
      </c>
      <c r="Q51" s="200">
        <v>20</v>
      </c>
      <c r="R51" s="183">
        <v>288.49</v>
      </c>
      <c r="S51" s="179">
        <v>0.1</v>
      </c>
      <c r="T51" s="202">
        <v>1.0831</v>
      </c>
      <c r="U51" s="185">
        <f t="shared" si="1"/>
        <v>59.666666666666664</v>
      </c>
      <c r="V51" s="400">
        <v>49.48</v>
      </c>
    </row>
    <row r="52" spans="2:22" ht="14">
      <c r="B52" s="398" t="s">
        <v>925</v>
      </c>
      <c r="C52" s="179" t="s">
        <v>17</v>
      </c>
      <c r="D52" s="179">
        <v>899.25</v>
      </c>
      <c r="E52" s="177">
        <f>VLOOKUP(B52,'Master_return and risk'!$B$10:$C$70,2,FALSE)</f>
        <v>0.50040371755633206</v>
      </c>
      <c r="F52" s="177">
        <f>VLOOKUP(B52,'Master_return and risk'!$B$10:$D$70,3,FALSE)</f>
        <v>0.34128578041844143</v>
      </c>
      <c r="G52" s="179">
        <v>42</v>
      </c>
      <c r="H52" s="179">
        <v>39</v>
      </c>
      <c r="I52" s="179">
        <v>65</v>
      </c>
      <c r="J52" s="192">
        <v>0.13</v>
      </c>
      <c r="K52" s="183">
        <v>116823.01</v>
      </c>
      <c r="L52" s="184" t="str">
        <f t="shared" si="0"/>
        <v>Large Cap</v>
      </c>
      <c r="M52" s="193">
        <v>0.22259999999999999</v>
      </c>
      <c r="N52" s="202">
        <v>0.48759999999999998</v>
      </c>
      <c r="O52" s="181">
        <v>2027406</v>
      </c>
      <c r="P52" s="206">
        <v>0.25009999999999999</v>
      </c>
      <c r="Q52" s="200">
        <v>19</v>
      </c>
      <c r="R52" s="183">
        <v>3726.41</v>
      </c>
      <c r="S52" s="179">
        <v>0.56999999999999995</v>
      </c>
      <c r="T52" s="202">
        <v>0.33539999999999998</v>
      </c>
      <c r="U52" s="185">
        <f t="shared" si="1"/>
        <v>48.666666666666664</v>
      </c>
      <c r="V52" s="400">
        <v>35.5</v>
      </c>
    </row>
    <row r="53" spans="2:22" ht="14">
      <c r="B53" s="398" t="s">
        <v>926</v>
      </c>
      <c r="C53" s="179" t="s">
        <v>17</v>
      </c>
      <c r="D53" s="179">
        <v>1074.95</v>
      </c>
      <c r="E53" s="177">
        <f>VLOOKUP(B53,'Master_return and risk'!$B$10:$C$70,2,FALSE)</f>
        <v>0.2507427436556523</v>
      </c>
      <c r="F53" s="177">
        <f>VLOOKUP(B53,'Master_return and risk'!$B$10:$D$70,3,FALSE)</f>
        <v>0.25760813249159192</v>
      </c>
      <c r="G53" s="179">
        <v>38</v>
      </c>
      <c r="H53" s="179">
        <v>48</v>
      </c>
      <c r="I53" s="179">
        <v>74</v>
      </c>
      <c r="J53" s="192">
        <v>0.09</v>
      </c>
      <c r="K53" s="183">
        <v>6322.58</v>
      </c>
      <c r="L53" s="184" t="str">
        <f t="shared" si="0"/>
        <v>Mid Cap</v>
      </c>
      <c r="M53" s="193">
        <v>4.4999999999999998E-2</v>
      </c>
      <c r="N53" s="202">
        <v>0.42559999999999998</v>
      </c>
      <c r="O53" s="181">
        <v>274329</v>
      </c>
      <c r="P53" s="206">
        <v>0.35099999999999998</v>
      </c>
      <c r="Q53" s="200">
        <v>17</v>
      </c>
      <c r="R53" s="183">
        <v>127</v>
      </c>
      <c r="S53" s="179">
        <v>0.23</v>
      </c>
      <c r="T53" s="202">
        <v>0.17780000000000001</v>
      </c>
      <c r="U53" s="185">
        <f t="shared" si="1"/>
        <v>53.333333333333336</v>
      </c>
      <c r="V53" s="400">
        <v>29.46</v>
      </c>
    </row>
    <row r="54" spans="2:22" ht="14">
      <c r="B54" s="398" t="s">
        <v>927</v>
      </c>
      <c r="C54" s="179" t="s">
        <v>17</v>
      </c>
      <c r="D54" s="179">
        <v>244.05</v>
      </c>
      <c r="E54" s="177">
        <f>VLOOKUP(B54,'Master_return and risk'!$B$10:$C$70,2,FALSE)</f>
        <v>-1.7188686801576973E-2</v>
      </c>
      <c r="F54" s="177">
        <f>VLOOKUP(B54,'Master_return and risk'!$B$10:$D$70,3,FALSE)</f>
        <v>0.34511992987711693</v>
      </c>
      <c r="G54" s="179">
        <v>40</v>
      </c>
      <c r="H54" s="179">
        <v>51</v>
      </c>
      <c r="I54" s="179">
        <v>71</v>
      </c>
      <c r="J54" s="192">
        <v>0.08</v>
      </c>
      <c r="K54" s="183">
        <v>3529.09</v>
      </c>
      <c r="L54" s="184" t="str">
        <f t="shared" si="0"/>
        <v>Small Cap</v>
      </c>
      <c r="M54" s="193">
        <v>3.3000000000000002E-2</v>
      </c>
      <c r="N54" s="202">
        <v>-8.3400000000000002E-2</v>
      </c>
      <c r="O54" s="181">
        <v>562932</v>
      </c>
      <c r="P54" s="206">
        <v>7.5499999999999998E-2</v>
      </c>
      <c r="Q54" s="200">
        <v>18</v>
      </c>
      <c r="R54" s="183">
        <v>9.2799999999999994</v>
      </c>
      <c r="S54" s="179">
        <v>0.01</v>
      </c>
      <c r="T54" s="202">
        <v>0.1731</v>
      </c>
      <c r="U54" s="185">
        <f t="shared" si="1"/>
        <v>54</v>
      </c>
      <c r="V54" s="400">
        <v>18.18</v>
      </c>
    </row>
    <row r="55" spans="2:22" ht="14">
      <c r="B55" s="398" t="s">
        <v>928</v>
      </c>
      <c r="C55" s="179" t="s">
        <v>23</v>
      </c>
      <c r="D55" s="179">
        <v>127.15</v>
      </c>
      <c r="E55" s="177">
        <f>VLOOKUP(B55,'Master_return and risk'!$B$10:$C$70,2,FALSE)</f>
        <v>0.40327055407345813</v>
      </c>
      <c r="F55" s="177">
        <f>VLOOKUP(B55,'Master_return and risk'!$B$10:$D$70,3,FALSE)</f>
        <v>0.33689205625725172</v>
      </c>
      <c r="G55" s="179">
        <v>31</v>
      </c>
      <c r="H55" s="179">
        <v>50</v>
      </c>
      <c r="I55" s="179">
        <v>31.2</v>
      </c>
      <c r="J55" s="192">
        <v>7.0000000000000007E-2</v>
      </c>
      <c r="K55" s="183">
        <v>92943.84</v>
      </c>
      <c r="L55" s="184" t="str">
        <f t="shared" si="0"/>
        <v>Large Cap</v>
      </c>
      <c r="M55" s="193">
        <v>0.45</v>
      </c>
      <c r="N55" s="202">
        <v>0.1777</v>
      </c>
      <c r="O55" s="181">
        <v>16002953</v>
      </c>
      <c r="P55" s="206">
        <v>7.51E-2</v>
      </c>
      <c r="Q55" s="200">
        <v>20</v>
      </c>
      <c r="R55" s="183">
        <v>61.34</v>
      </c>
      <c r="S55" s="179">
        <v>0</v>
      </c>
      <c r="T55" s="202">
        <v>0.22789999999999999</v>
      </c>
      <c r="U55" s="185">
        <f t="shared" si="1"/>
        <v>37.4</v>
      </c>
      <c r="V55" s="400">
        <v>18.559999999999999</v>
      </c>
    </row>
    <row r="56" spans="2:22" ht="14">
      <c r="B56" s="398" t="s">
        <v>929</v>
      </c>
      <c r="C56" s="179" t="s">
        <v>23</v>
      </c>
      <c r="D56" s="179">
        <v>40183.85</v>
      </c>
      <c r="E56" s="177">
        <f>VLOOKUP(B56,'Master_return and risk'!$B$10:$C$70,2,FALSE)</f>
        <v>0.18688448892669665</v>
      </c>
      <c r="F56" s="177">
        <f>VLOOKUP(B56,'Master_return and risk'!$B$10:$D$70,3,FALSE)</f>
        <v>0.32092826033379551</v>
      </c>
      <c r="G56" s="179">
        <v>24.5</v>
      </c>
      <c r="H56" s="179">
        <v>58</v>
      </c>
      <c r="I56" s="179">
        <v>24.5</v>
      </c>
      <c r="J56" s="192">
        <v>0.11</v>
      </c>
      <c r="K56" s="183">
        <v>35522.519999999997</v>
      </c>
      <c r="L56" s="184" t="str">
        <f t="shared" si="0"/>
        <v>Large Cap</v>
      </c>
      <c r="M56" s="193">
        <v>0.16</v>
      </c>
      <c r="N56" s="202">
        <v>-3.7900000000000003E-2</v>
      </c>
      <c r="O56" s="181">
        <v>5523</v>
      </c>
      <c r="P56" s="206">
        <v>0.17780000000000001</v>
      </c>
      <c r="Q56" s="200">
        <v>17</v>
      </c>
      <c r="R56" s="183">
        <v>36.340000000000003</v>
      </c>
      <c r="S56" s="179">
        <v>0.01</v>
      </c>
      <c r="T56" s="202">
        <v>0.1454</v>
      </c>
      <c r="U56" s="185">
        <f t="shared" si="1"/>
        <v>35.666666666666664</v>
      </c>
      <c r="V56" s="400">
        <v>51.08</v>
      </c>
    </row>
    <row r="57" spans="2:22" ht="14">
      <c r="B57" s="398" t="s">
        <v>930</v>
      </c>
      <c r="C57" s="179" t="s">
        <v>23</v>
      </c>
      <c r="D57" s="179">
        <v>2158.5500000000002</v>
      </c>
      <c r="E57" s="177">
        <f>VLOOKUP(B57,'Master_return and risk'!$B$10:$C$70,2,FALSE)</f>
        <v>0.26902197433130554</v>
      </c>
      <c r="F57" s="177">
        <f>VLOOKUP(B57,'Master_return and risk'!$B$10:$D$70,3,FALSE)</f>
        <v>0.30995209442714622</v>
      </c>
      <c r="G57" s="179">
        <v>29.7</v>
      </c>
      <c r="H57" s="179">
        <v>56</v>
      </c>
      <c r="I57" s="179">
        <v>45.2</v>
      </c>
      <c r="J57" s="192">
        <v>0.13</v>
      </c>
      <c r="K57" s="183">
        <v>12084.42</v>
      </c>
      <c r="L57" s="184" t="str">
        <f t="shared" si="0"/>
        <v>Mid Cap</v>
      </c>
      <c r="M57" s="193">
        <v>0.12</v>
      </c>
      <c r="N57" s="202">
        <v>-0.43630000000000002</v>
      </c>
      <c r="O57" s="181">
        <v>271553</v>
      </c>
      <c r="P57" s="206">
        <v>0.38829999999999998</v>
      </c>
      <c r="Q57" s="200">
        <v>11</v>
      </c>
      <c r="R57" s="183">
        <v>2.4900000000000002</v>
      </c>
      <c r="S57" s="179">
        <v>0</v>
      </c>
      <c r="T57" s="202">
        <v>0.14169999999999999</v>
      </c>
      <c r="U57" s="185">
        <f t="shared" si="1"/>
        <v>43.633333333333333</v>
      </c>
      <c r="V57" s="400">
        <v>58.44</v>
      </c>
    </row>
    <row r="58" spans="2:22" ht="14">
      <c r="B58" s="398" t="s">
        <v>931</v>
      </c>
      <c r="C58" s="179" t="s">
        <v>23</v>
      </c>
      <c r="D58" s="179">
        <v>470.15</v>
      </c>
      <c r="E58" s="177">
        <f>VLOOKUP(B58,'Master_return and risk'!$B$10:$C$70,2,FALSE)</f>
        <v>0.11900968560968561</v>
      </c>
      <c r="F58" s="177">
        <f>VLOOKUP(B58,'Master_return and risk'!$B$10:$D$70,3,FALSE)</f>
        <v>0.18534921868068419</v>
      </c>
      <c r="G58" s="179">
        <v>25.2</v>
      </c>
      <c r="H58" s="179">
        <v>46</v>
      </c>
      <c r="I58" s="179">
        <v>38.6</v>
      </c>
      <c r="J58" s="192">
        <v>0.11</v>
      </c>
      <c r="K58" s="183">
        <v>8311.2099999999991</v>
      </c>
      <c r="L58" s="184" t="str">
        <f t="shared" si="0"/>
        <v>Mid Cap</v>
      </c>
      <c r="M58" s="193">
        <v>0.05</v>
      </c>
      <c r="N58" s="202">
        <v>-0.82530000000000003</v>
      </c>
      <c r="O58" s="181">
        <v>1289290</v>
      </c>
      <c r="P58" s="206">
        <v>0.77159999999999995</v>
      </c>
      <c r="Q58" s="200">
        <v>11</v>
      </c>
      <c r="R58" s="183">
        <v>374.73</v>
      </c>
      <c r="S58" s="179">
        <v>0.24</v>
      </c>
      <c r="T58" s="202">
        <v>0.1115</v>
      </c>
      <c r="U58" s="185">
        <f t="shared" si="1"/>
        <v>36.6</v>
      </c>
      <c r="V58" s="400">
        <v>33.909999999999997</v>
      </c>
    </row>
    <row r="59" spans="2:22" ht="14">
      <c r="B59" s="398" t="s">
        <v>932</v>
      </c>
      <c r="C59" s="179" t="s">
        <v>23</v>
      </c>
      <c r="D59" s="179">
        <v>515.4</v>
      </c>
      <c r="E59" s="177">
        <f>VLOOKUP(B59,'Master_return and risk'!$B$10:$C$70,2,FALSE)</f>
        <v>0</v>
      </c>
      <c r="F59" s="177">
        <f>VLOOKUP(B59,'Master_return and risk'!$B$10:$D$70,3,FALSE)</f>
        <v>0</v>
      </c>
      <c r="G59" s="179">
        <v>27.4</v>
      </c>
      <c r="H59" s="179">
        <v>49</v>
      </c>
      <c r="I59" s="179">
        <v>42.8</v>
      </c>
      <c r="J59" s="192">
        <v>0.11</v>
      </c>
      <c r="K59" s="183">
        <v>4087.44</v>
      </c>
      <c r="L59" s="184" t="str">
        <f t="shared" si="0"/>
        <v>Small Cap</v>
      </c>
      <c r="M59" s="193">
        <v>0.04</v>
      </c>
      <c r="N59" s="202">
        <v>0.28539999999999999</v>
      </c>
      <c r="O59" s="181">
        <v>2347496</v>
      </c>
      <c r="P59" s="206">
        <v>0.1547</v>
      </c>
      <c r="Q59" s="200">
        <v>13</v>
      </c>
      <c r="R59" s="183">
        <v>356.05</v>
      </c>
      <c r="S59" s="179">
        <v>1.8</v>
      </c>
      <c r="T59" s="202">
        <v>0.2336</v>
      </c>
      <c r="U59" s="185">
        <f t="shared" si="1"/>
        <v>39.733333333333334</v>
      </c>
      <c r="V59" s="400">
        <v>45.17</v>
      </c>
    </row>
    <row r="60" spans="2:22" ht="14">
      <c r="B60" s="398" t="s">
        <v>933</v>
      </c>
      <c r="C60" s="179" t="s">
        <v>27</v>
      </c>
      <c r="D60" s="179">
        <v>409.7</v>
      </c>
      <c r="E60" s="177">
        <f>VLOOKUP(B60,'Master_return and risk'!$B$10:$C$70,2,FALSE)</f>
        <v>0.13363208036125246</v>
      </c>
      <c r="F60" s="177">
        <f>VLOOKUP(B60,'Master_return and risk'!$B$10:$D$70,3,FALSE)</f>
        <v>0.27202861125150329</v>
      </c>
      <c r="G60" s="179">
        <v>33.200000000000003</v>
      </c>
      <c r="H60" s="179">
        <v>48</v>
      </c>
      <c r="I60" s="179">
        <v>40.700000000000003</v>
      </c>
      <c r="J60" s="192">
        <v>0.11</v>
      </c>
      <c r="K60" s="183">
        <v>20450</v>
      </c>
      <c r="L60" s="184" t="str">
        <f t="shared" si="0"/>
        <v>Large Cap</v>
      </c>
      <c r="M60" s="193">
        <v>0.1</v>
      </c>
      <c r="N60" s="202">
        <v>0.30549999999999999</v>
      </c>
      <c r="O60" s="181">
        <v>423073</v>
      </c>
      <c r="P60" s="206">
        <v>-0.5</v>
      </c>
      <c r="Q60" s="200">
        <v>13</v>
      </c>
      <c r="R60" s="183">
        <v>33.97</v>
      </c>
      <c r="S60" s="179">
        <v>0.01</v>
      </c>
      <c r="T60" s="202">
        <v>23.39</v>
      </c>
      <c r="U60" s="185">
        <f t="shared" si="1"/>
        <v>40.633333333333333</v>
      </c>
      <c r="V60" s="400">
        <v>32.630000000000003</v>
      </c>
    </row>
    <row r="61" spans="2:22" ht="14">
      <c r="B61" s="398" t="s">
        <v>934</v>
      </c>
      <c r="C61" s="179" t="s">
        <v>27</v>
      </c>
      <c r="D61" s="179">
        <v>578.45000000000005</v>
      </c>
      <c r="E61" s="177">
        <f>VLOOKUP(B61,'Master_return and risk'!$B$10:$C$70,2,FALSE)</f>
        <v>0.13956828553711442</v>
      </c>
      <c r="F61" s="177">
        <f>VLOOKUP(B61,'Master_return and risk'!$B$10:$D$70,3,FALSE)</f>
        <v>0.38861720761570412</v>
      </c>
      <c r="G61" s="179">
        <v>28.1</v>
      </c>
      <c r="H61" s="179">
        <v>48</v>
      </c>
      <c r="I61" s="179">
        <v>37.5</v>
      </c>
      <c r="J61" s="192">
        <v>0.14000000000000001</v>
      </c>
      <c r="K61" s="183">
        <v>43418.9</v>
      </c>
      <c r="L61" s="184" t="str">
        <f t="shared" si="0"/>
        <v>Large Cap</v>
      </c>
      <c r="M61" s="193">
        <v>0.12</v>
      </c>
      <c r="N61" s="202">
        <v>0.2026</v>
      </c>
      <c r="O61" s="181">
        <v>2224790</v>
      </c>
      <c r="P61" s="206">
        <v>6.5299999999999997E-2</v>
      </c>
      <c r="Q61" s="200">
        <v>13</v>
      </c>
      <c r="R61" s="183">
        <v>23985</v>
      </c>
      <c r="S61" s="179">
        <v>0.8</v>
      </c>
      <c r="T61" s="202">
        <v>0.1341</v>
      </c>
      <c r="U61" s="185">
        <f t="shared" si="1"/>
        <v>37.866666666666667</v>
      </c>
      <c r="V61" s="400">
        <v>6.19</v>
      </c>
    </row>
    <row r="62" spans="2:22" ht="14">
      <c r="B62" s="398" t="s">
        <v>935</v>
      </c>
      <c r="C62" s="179" t="s">
        <v>27</v>
      </c>
      <c r="D62" s="179">
        <v>4733.8999999999996</v>
      </c>
      <c r="E62" s="177">
        <f>VLOOKUP(B62,'Master_return and risk'!$B$10:$C$70,2,FALSE)</f>
        <v>7.8343929459517569E-2</v>
      </c>
      <c r="F62" s="177">
        <f>VLOOKUP(B62,'Master_return and risk'!$B$10:$D$70,3,FALSE)</f>
        <v>0.3048694762028395</v>
      </c>
      <c r="G62" s="179">
        <v>31.7</v>
      </c>
      <c r="H62" s="179">
        <v>46</v>
      </c>
      <c r="I62" s="179">
        <v>34.9</v>
      </c>
      <c r="J62" s="192">
        <v>0.11</v>
      </c>
      <c r="K62" s="183">
        <v>21275.14</v>
      </c>
      <c r="L62" s="184" t="str">
        <f t="shared" si="0"/>
        <v>Large Cap</v>
      </c>
      <c r="M62" s="193">
        <v>0.08</v>
      </c>
      <c r="N62" s="202">
        <v>5.9299999999999999E-2</v>
      </c>
      <c r="O62" s="181">
        <v>19153</v>
      </c>
      <c r="P62" s="206">
        <v>4.53E-2</v>
      </c>
      <c r="Q62" s="200">
        <v>14</v>
      </c>
      <c r="R62" s="183">
        <v>73.5</v>
      </c>
      <c r="S62" s="179">
        <v>0.03</v>
      </c>
      <c r="T62" s="202">
        <v>0.2591</v>
      </c>
      <c r="U62" s="185">
        <f t="shared" si="1"/>
        <v>37.533333333333331</v>
      </c>
      <c r="V62" s="400">
        <v>20</v>
      </c>
    </row>
    <row r="63" spans="2:22" ht="14">
      <c r="B63" s="398" t="s">
        <v>936</v>
      </c>
      <c r="C63" s="179" t="s">
        <v>27</v>
      </c>
      <c r="D63" s="179">
        <v>218.15</v>
      </c>
      <c r="E63" s="177">
        <f>VLOOKUP(B63,'Master_return and risk'!$B$10:$C$70,2,FALSE)</f>
        <v>0.12215910273508611</v>
      </c>
      <c r="F63" s="177">
        <f>VLOOKUP(B63,'Master_return and risk'!$B$10:$D$70,3,FALSE)</f>
        <v>0.37151022112192189</v>
      </c>
      <c r="G63" s="179">
        <v>28.9</v>
      </c>
      <c r="H63" s="179">
        <v>48</v>
      </c>
      <c r="I63" s="179">
        <v>32.799999999999997</v>
      </c>
      <c r="J63" s="192">
        <v>0.09</v>
      </c>
      <c r="K63" s="183">
        <v>21275.14</v>
      </c>
      <c r="L63" s="184" t="str">
        <f t="shared" si="0"/>
        <v>Large Cap</v>
      </c>
      <c r="M63" s="193">
        <v>7.0000000000000007E-2</v>
      </c>
      <c r="N63" s="202">
        <v>-0.1963</v>
      </c>
      <c r="O63" s="181">
        <v>576856</v>
      </c>
      <c r="P63" s="206">
        <v>5.8700000000000002E-2</v>
      </c>
      <c r="Q63" s="200">
        <v>11</v>
      </c>
      <c r="R63" s="183">
        <v>136.69999999999999</v>
      </c>
      <c r="S63" s="179">
        <v>0.08</v>
      </c>
      <c r="T63" s="202">
        <v>5.3699999999999998E-2</v>
      </c>
      <c r="U63" s="185">
        <f t="shared" si="1"/>
        <v>36.56666666666667</v>
      </c>
      <c r="V63" s="400">
        <v>19</v>
      </c>
    </row>
    <row r="64" spans="2:22" ht="14.5" thickBot="1">
      <c r="B64" s="402" t="s">
        <v>937</v>
      </c>
      <c r="C64" s="403" t="s">
        <v>27</v>
      </c>
      <c r="D64" s="403">
        <v>419.75</v>
      </c>
      <c r="E64" s="404">
        <f>VLOOKUP(B64,'Master_return and risk'!$B$10:$C$70,2,FALSE)</f>
        <v>0.23204780892181254</v>
      </c>
      <c r="F64" s="404">
        <f>VLOOKUP(B64,'Master_return and risk'!$B$10:$D$70,3,FALSE)</f>
        <v>0.61144572140024178</v>
      </c>
      <c r="G64" s="403">
        <v>28.9</v>
      </c>
      <c r="H64" s="403">
        <v>49</v>
      </c>
      <c r="I64" s="403">
        <v>27.9</v>
      </c>
      <c r="J64" s="405">
        <v>7.0000000000000007E-2</v>
      </c>
      <c r="K64" s="406">
        <v>3787.01</v>
      </c>
      <c r="L64" s="407" t="str">
        <f t="shared" si="0"/>
        <v>Small Cap</v>
      </c>
      <c r="M64" s="408">
        <v>0.04</v>
      </c>
      <c r="N64" s="409">
        <v>0.17860000000000001</v>
      </c>
      <c r="O64" s="410">
        <v>276569</v>
      </c>
      <c r="P64" s="411">
        <v>2.0299999999999999E-2</v>
      </c>
      <c r="Q64" s="412">
        <v>11</v>
      </c>
      <c r="R64" s="406">
        <v>2.96</v>
      </c>
      <c r="S64" s="403">
        <v>0</v>
      </c>
      <c r="T64" s="409">
        <v>0.15890000000000001</v>
      </c>
      <c r="U64" s="413">
        <f t="shared" si="1"/>
        <v>35.266666666666673</v>
      </c>
      <c r="V64" s="414">
        <v>6.25</v>
      </c>
    </row>
    <row r="65" spans="17:17" ht="12.5">
      <c r="Q65" s="14"/>
    </row>
    <row r="66" spans="17:17" ht="12.5">
      <c r="Q66" s="14"/>
    </row>
    <row r="67" spans="17:17" ht="12.5">
      <c r="Q67" s="14"/>
    </row>
    <row r="68" spans="17:17" ht="12.5">
      <c r="Q68" s="14"/>
    </row>
    <row r="69" spans="17:17" ht="12.5">
      <c r="Q69" s="14"/>
    </row>
    <row r="70" spans="17:17" ht="12.5">
      <c r="Q70" s="14"/>
    </row>
    <row r="71" spans="17:17" ht="12.5">
      <c r="Q71" s="14"/>
    </row>
    <row r="72" spans="17:17" ht="12.5">
      <c r="Q72" s="14"/>
    </row>
    <row r="73" spans="17:17" ht="12.5">
      <c r="Q73" s="14"/>
    </row>
    <row r="74" spans="17:17" ht="12.5">
      <c r="Q74" s="14"/>
    </row>
    <row r="75" spans="17:17" ht="12.5">
      <c r="Q75" s="14"/>
    </row>
    <row r="76" spans="17:17" ht="12.5">
      <c r="Q76" s="14"/>
    </row>
    <row r="77" spans="17:17" ht="12.5">
      <c r="Q77" s="14"/>
    </row>
    <row r="78" spans="17:17" ht="12.5">
      <c r="Q78" s="14"/>
    </row>
    <row r="79" spans="17:17" ht="12.5">
      <c r="Q79" s="14"/>
    </row>
    <row r="80" spans="17:17" ht="12.5">
      <c r="Q80" s="14"/>
    </row>
    <row r="81" spans="17:17" ht="12.5">
      <c r="Q81" s="14"/>
    </row>
    <row r="82" spans="17:17" ht="12.5">
      <c r="Q82" s="14"/>
    </row>
    <row r="83" spans="17:17" ht="12.5">
      <c r="Q83" s="14"/>
    </row>
    <row r="84" spans="17:17" ht="12.5">
      <c r="Q84" s="14"/>
    </row>
    <row r="85" spans="17:17" ht="12.5">
      <c r="Q85" s="14"/>
    </row>
    <row r="86" spans="17:17" ht="12.5">
      <c r="Q86" s="14"/>
    </row>
    <row r="87" spans="17:17" ht="12.5">
      <c r="Q87" s="14"/>
    </row>
    <row r="88" spans="17:17" ht="12.5">
      <c r="Q88" s="14"/>
    </row>
    <row r="89" spans="17:17" ht="12.5">
      <c r="Q89" s="14"/>
    </row>
    <row r="90" spans="17:17" ht="12.5">
      <c r="Q90" s="14"/>
    </row>
    <row r="91" spans="17:17" ht="12.5">
      <c r="Q91" s="14"/>
    </row>
    <row r="92" spans="17:17" ht="12.5">
      <c r="Q92" s="14"/>
    </row>
    <row r="93" spans="17:17" ht="12.5">
      <c r="Q93" s="14"/>
    </row>
    <row r="94" spans="17:17" ht="12.5">
      <c r="Q94" s="14"/>
    </row>
    <row r="95" spans="17:17" ht="12.5">
      <c r="Q95" s="14"/>
    </row>
    <row r="96" spans="17:17" ht="12.5">
      <c r="Q96" s="14"/>
    </row>
    <row r="97" spans="17:17" ht="12.5">
      <c r="Q97" s="14"/>
    </row>
    <row r="98" spans="17:17" ht="12.5">
      <c r="Q98" s="14"/>
    </row>
    <row r="99" spans="17:17" ht="12.5">
      <c r="Q99" s="14"/>
    </row>
    <row r="100" spans="17:17" ht="12.5">
      <c r="Q100" s="14"/>
    </row>
    <row r="101" spans="17:17" ht="12.5">
      <c r="Q101" s="14"/>
    </row>
    <row r="102" spans="17:17" ht="12.5">
      <c r="Q102" s="14"/>
    </row>
    <row r="103" spans="17:17" ht="12.5">
      <c r="Q103" s="14"/>
    </row>
    <row r="104" spans="17:17" ht="12.5">
      <c r="Q104" s="14"/>
    </row>
    <row r="105" spans="17:17" ht="12.5">
      <c r="Q105" s="14"/>
    </row>
    <row r="106" spans="17:17" ht="12.5">
      <c r="Q106" s="14"/>
    </row>
    <row r="107" spans="17:17" ht="12.5">
      <c r="Q107" s="14"/>
    </row>
    <row r="108" spans="17:17" ht="12.5">
      <c r="Q108" s="14"/>
    </row>
    <row r="109" spans="17:17" ht="12.5">
      <c r="Q109" s="14"/>
    </row>
    <row r="110" spans="17:17" ht="12.5">
      <c r="Q110" s="14"/>
    </row>
    <row r="111" spans="17:17" ht="12.5">
      <c r="Q111" s="14"/>
    </row>
    <row r="112" spans="17:17" ht="12.5">
      <c r="Q112" s="14"/>
    </row>
    <row r="113" spans="17:17" ht="12.5">
      <c r="Q113" s="14"/>
    </row>
    <row r="114" spans="17:17" ht="12.5">
      <c r="Q114" s="14"/>
    </row>
    <row r="115" spans="17:17" ht="12.5">
      <c r="Q115" s="14"/>
    </row>
    <row r="116" spans="17:17" ht="12.5">
      <c r="Q116" s="14"/>
    </row>
    <row r="117" spans="17:17" ht="12.5">
      <c r="Q117" s="14"/>
    </row>
    <row r="118" spans="17:17" ht="12.5">
      <c r="Q118" s="14"/>
    </row>
    <row r="119" spans="17:17" ht="12.5">
      <c r="Q119" s="14"/>
    </row>
    <row r="120" spans="17:17" ht="12.5">
      <c r="Q120" s="14"/>
    </row>
    <row r="121" spans="17:17" ht="12.5">
      <c r="Q121" s="14"/>
    </row>
    <row r="122" spans="17:17" ht="12.5">
      <c r="Q122" s="14"/>
    </row>
    <row r="123" spans="17:17" ht="12.5">
      <c r="Q123" s="14"/>
    </row>
    <row r="124" spans="17:17" ht="12.5">
      <c r="Q124" s="14"/>
    </row>
    <row r="125" spans="17:17" ht="12.5">
      <c r="Q125" s="14"/>
    </row>
    <row r="126" spans="17:17" ht="12.5">
      <c r="Q126" s="14"/>
    </row>
    <row r="127" spans="17:17" ht="12.5">
      <c r="Q127" s="14"/>
    </row>
    <row r="128" spans="17:17" ht="12.5">
      <c r="Q128" s="14"/>
    </row>
    <row r="129" spans="17:17" ht="12.5">
      <c r="Q129" s="14"/>
    </row>
    <row r="130" spans="17:17" ht="12.5">
      <c r="Q130" s="14"/>
    </row>
    <row r="131" spans="17:17" ht="12.5">
      <c r="Q131" s="14"/>
    </row>
    <row r="132" spans="17:17" ht="12.5">
      <c r="Q132" s="14"/>
    </row>
    <row r="133" spans="17:17" ht="12.5">
      <c r="Q133" s="14"/>
    </row>
    <row r="134" spans="17:17" ht="12.5">
      <c r="Q134" s="14"/>
    </row>
    <row r="135" spans="17:17" ht="12.5">
      <c r="Q135" s="14"/>
    </row>
    <row r="136" spans="17:17" ht="12.5">
      <c r="Q136" s="14"/>
    </row>
    <row r="137" spans="17:17" ht="12.5">
      <c r="Q137" s="14"/>
    </row>
    <row r="138" spans="17:17" ht="12.5">
      <c r="Q138" s="14"/>
    </row>
    <row r="139" spans="17:17" ht="12.5">
      <c r="Q139" s="14"/>
    </row>
    <row r="140" spans="17:17" ht="12.5">
      <c r="Q140" s="14"/>
    </row>
    <row r="141" spans="17:17" ht="12.5">
      <c r="Q141" s="14"/>
    </row>
    <row r="142" spans="17:17" ht="12.5">
      <c r="Q142" s="14"/>
    </row>
    <row r="143" spans="17:17" ht="12.5">
      <c r="Q143" s="14"/>
    </row>
    <row r="144" spans="17:17" ht="12.5">
      <c r="Q144" s="14"/>
    </row>
    <row r="145" spans="17:17" ht="12.5">
      <c r="Q145" s="14"/>
    </row>
    <row r="146" spans="17:17" ht="12.5">
      <c r="Q146" s="14"/>
    </row>
    <row r="147" spans="17:17" ht="12.5">
      <c r="Q147" s="14"/>
    </row>
    <row r="148" spans="17:17" ht="12.5">
      <c r="Q148" s="14"/>
    </row>
    <row r="149" spans="17:17" ht="12.5">
      <c r="Q149" s="14"/>
    </row>
    <row r="150" spans="17:17" ht="12.5">
      <c r="Q150" s="14"/>
    </row>
    <row r="151" spans="17:17" ht="12.5">
      <c r="Q151" s="14"/>
    </row>
    <row r="152" spans="17:17" ht="12.5">
      <c r="Q152" s="14"/>
    </row>
    <row r="153" spans="17:17" ht="12.5">
      <c r="Q153" s="14"/>
    </row>
    <row r="154" spans="17:17" ht="12.5">
      <c r="Q154" s="14"/>
    </row>
    <row r="155" spans="17:17" ht="12.5">
      <c r="Q155" s="14"/>
    </row>
    <row r="156" spans="17:17" ht="12.5">
      <c r="Q156" s="14"/>
    </row>
    <row r="157" spans="17:17" ht="12.5">
      <c r="Q157" s="14"/>
    </row>
    <row r="158" spans="17:17" ht="12.5">
      <c r="Q158" s="14"/>
    </row>
    <row r="159" spans="17:17" ht="12.5">
      <c r="Q159" s="14"/>
    </row>
    <row r="160" spans="17:17" ht="12.5">
      <c r="Q160" s="14"/>
    </row>
    <row r="161" spans="17:17" ht="12.5">
      <c r="Q161" s="14"/>
    </row>
    <row r="162" spans="17:17" ht="12.5">
      <c r="Q162" s="14"/>
    </row>
    <row r="163" spans="17:17" ht="12.5">
      <c r="Q163" s="14"/>
    </row>
    <row r="164" spans="17:17" ht="12.5">
      <c r="Q164" s="14"/>
    </row>
    <row r="165" spans="17:17" ht="12.5">
      <c r="Q165" s="14"/>
    </row>
    <row r="166" spans="17:17" ht="12.5">
      <c r="Q166" s="14"/>
    </row>
    <row r="167" spans="17:17" ht="12.5">
      <c r="Q167" s="14"/>
    </row>
    <row r="168" spans="17:17" ht="12.5">
      <c r="Q168" s="14"/>
    </row>
    <row r="169" spans="17:17" ht="12.5">
      <c r="Q169" s="14"/>
    </row>
    <row r="170" spans="17:17" ht="12.5">
      <c r="Q170" s="14"/>
    </row>
    <row r="171" spans="17:17" ht="12.5">
      <c r="Q171" s="14"/>
    </row>
    <row r="172" spans="17:17" ht="12.5">
      <c r="Q172" s="14"/>
    </row>
    <row r="173" spans="17:17" ht="12.5">
      <c r="Q173" s="14"/>
    </row>
    <row r="174" spans="17:17" ht="12.5">
      <c r="Q174" s="14"/>
    </row>
    <row r="175" spans="17:17" ht="12.5">
      <c r="Q175" s="14"/>
    </row>
    <row r="176" spans="17:17" ht="12.5">
      <c r="Q176" s="14"/>
    </row>
    <row r="177" spans="17:17" ht="12.5">
      <c r="Q177" s="14"/>
    </row>
    <row r="178" spans="17:17" ht="12.5">
      <c r="Q178" s="14"/>
    </row>
    <row r="179" spans="17:17" ht="12.5">
      <c r="Q179" s="14"/>
    </row>
    <row r="180" spans="17:17" ht="12.5">
      <c r="Q180" s="14"/>
    </row>
    <row r="181" spans="17:17" ht="12.5">
      <c r="Q181" s="14"/>
    </row>
    <row r="182" spans="17:17" ht="12.5">
      <c r="Q182" s="14"/>
    </row>
    <row r="183" spans="17:17" ht="12.5">
      <c r="Q183" s="14"/>
    </row>
    <row r="184" spans="17:17" ht="12.5">
      <c r="Q184" s="14"/>
    </row>
    <row r="185" spans="17:17" ht="12.5">
      <c r="Q185" s="14"/>
    </row>
    <row r="186" spans="17:17" ht="12.5">
      <c r="Q186" s="14"/>
    </row>
    <row r="187" spans="17:17" ht="12.5">
      <c r="Q187" s="14"/>
    </row>
    <row r="188" spans="17:17" ht="12.5">
      <c r="Q188" s="14"/>
    </row>
    <row r="189" spans="17:17" ht="12.5">
      <c r="Q189" s="14"/>
    </row>
    <row r="190" spans="17:17" ht="12.5">
      <c r="Q190" s="14"/>
    </row>
    <row r="191" spans="17:17" ht="12.5">
      <c r="Q191" s="14"/>
    </row>
    <row r="192" spans="17:17" ht="12.5">
      <c r="Q192" s="14"/>
    </row>
    <row r="193" spans="17:17" ht="12.5">
      <c r="Q193" s="14"/>
    </row>
    <row r="194" spans="17:17" ht="12.5">
      <c r="Q194" s="14"/>
    </row>
    <row r="195" spans="17:17" ht="12.5">
      <c r="Q195" s="14"/>
    </row>
    <row r="196" spans="17:17" ht="12.5">
      <c r="Q196" s="14"/>
    </row>
    <row r="197" spans="17:17" ht="12.5">
      <c r="Q197" s="14"/>
    </row>
    <row r="198" spans="17:17" ht="12.5">
      <c r="Q198" s="14"/>
    </row>
    <row r="199" spans="17:17" ht="12.5">
      <c r="Q199" s="14"/>
    </row>
    <row r="200" spans="17:17" ht="12.5">
      <c r="Q200" s="14"/>
    </row>
    <row r="201" spans="17:17" ht="12.5">
      <c r="Q201" s="14"/>
    </row>
    <row r="202" spans="17:17" ht="12.5">
      <c r="Q202" s="14"/>
    </row>
    <row r="203" spans="17:17" ht="12.5">
      <c r="Q203" s="14"/>
    </row>
    <row r="204" spans="17:17" ht="12.5">
      <c r="Q204" s="14"/>
    </row>
    <row r="205" spans="17:17" ht="12.5">
      <c r="Q205" s="14"/>
    </row>
    <row r="206" spans="17:17" ht="12.5">
      <c r="Q206" s="14"/>
    </row>
    <row r="207" spans="17:17" ht="12.5">
      <c r="Q207" s="14"/>
    </row>
    <row r="208" spans="17:17" ht="12.5">
      <c r="Q208" s="14"/>
    </row>
    <row r="209" spans="17:17" ht="12.5">
      <c r="Q209" s="14"/>
    </row>
    <row r="210" spans="17:17" ht="12.5">
      <c r="Q210" s="14"/>
    </row>
    <row r="211" spans="17:17" ht="12.5">
      <c r="Q211" s="14"/>
    </row>
    <row r="212" spans="17:17" ht="12.5">
      <c r="Q212" s="14"/>
    </row>
    <row r="213" spans="17:17" ht="12.5">
      <c r="Q213" s="14"/>
    </row>
    <row r="214" spans="17:17" ht="12.5">
      <c r="Q214" s="14"/>
    </row>
    <row r="215" spans="17:17" ht="12.5">
      <c r="Q215" s="14"/>
    </row>
    <row r="216" spans="17:17" ht="12.5">
      <c r="Q216" s="14"/>
    </row>
    <row r="217" spans="17:17" ht="12.5">
      <c r="Q217" s="14"/>
    </row>
    <row r="218" spans="17:17" ht="12.5">
      <c r="Q218" s="14"/>
    </row>
    <row r="219" spans="17:17" ht="12.5">
      <c r="Q219" s="14"/>
    </row>
    <row r="220" spans="17:17" ht="12.5">
      <c r="Q220" s="14"/>
    </row>
    <row r="221" spans="17:17" ht="12.5">
      <c r="Q221" s="14"/>
    </row>
    <row r="222" spans="17:17" ht="12.5">
      <c r="Q222" s="14"/>
    </row>
    <row r="223" spans="17:17" ht="12.5">
      <c r="Q223" s="14"/>
    </row>
    <row r="224" spans="17:17" ht="12.5">
      <c r="Q224" s="14"/>
    </row>
    <row r="225" spans="17:17" ht="12.5">
      <c r="Q225" s="14"/>
    </row>
    <row r="226" spans="17:17" ht="12.5">
      <c r="Q226" s="14"/>
    </row>
    <row r="227" spans="17:17" ht="12.5">
      <c r="Q227" s="14"/>
    </row>
    <row r="228" spans="17:17" ht="12.5">
      <c r="Q228" s="14"/>
    </row>
    <row r="229" spans="17:17" ht="12.5">
      <c r="Q229" s="14"/>
    </row>
    <row r="230" spans="17:17" ht="12.5">
      <c r="Q230" s="14"/>
    </row>
    <row r="231" spans="17:17" ht="12.5">
      <c r="Q231" s="14"/>
    </row>
    <row r="232" spans="17:17" ht="12.5">
      <c r="Q232" s="14"/>
    </row>
    <row r="233" spans="17:17" ht="12.5">
      <c r="Q233" s="14"/>
    </row>
    <row r="234" spans="17:17" ht="12.5">
      <c r="Q234" s="14"/>
    </row>
    <row r="235" spans="17:17" ht="12.5">
      <c r="Q235" s="14"/>
    </row>
    <row r="236" spans="17:17" ht="12.5">
      <c r="Q236" s="14"/>
    </row>
    <row r="237" spans="17:17" ht="12.5">
      <c r="Q237" s="14"/>
    </row>
    <row r="238" spans="17:17" ht="12.5">
      <c r="Q238" s="14"/>
    </row>
    <row r="239" spans="17:17" ht="12.5">
      <c r="Q239" s="14"/>
    </row>
    <row r="240" spans="17:17" ht="12.5">
      <c r="Q240" s="14"/>
    </row>
    <row r="241" spans="17:17" ht="12.5">
      <c r="Q241" s="14"/>
    </row>
    <row r="242" spans="17:17" ht="12.5">
      <c r="Q242" s="14"/>
    </row>
    <row r="243" spans="17:17" ht="12.5">
      <c r="Q243" s="14"/>
    </row>
    <row r="244" spans="17:17" ht="12.5">
      <c r="Q244" s="14"/>
    </row>
    <row r="245" spans="17:17" ht="12.5">
      <c r="Q245" s="14"/>
    </row>
    <row r="246" spans="17:17" ht="12.5">
      <c r="Q246" s="14"/>
    </row>
    <row r="247" spans="17:17" ht="12.5">
      <c r="Q247" s="14"/>
    </row>
    <row r="248" spans="17:17" ht="12.5">
      <c r="Q248" s="14"/>
    </row>
    <row r="249" spans="17:17" ht="12.5">
      <c r="Q249" s="14"/>
    </row>
    <row r="250" spans="17:17" ht="12.5">
      <c r="Q250" s="14"/>
    </row>
    <row r="251" spans="17:17" ht="12.5">
      <c r="Q251" s="14"/>
    </row>
    <row r="252" spans="17:17" ht="12.5">
      <c r="Q252" s="14"/>
    </row>
    <row r="253" spans="17:17" ht="12.5">
      <c r="Q253" s="14"/>
    </row>
    <row r="254" spans="17:17" ht="12.5">
      <c r="Q254" s="14"/>
    </row>
    <row r="255" spans="17:17" ht="12.5">
      <c r="Q255" s="14"/>
    </row>
    <row r="256" spans="17:17" ht="12.5">
      <c r="Q256" s="14"/>
    </row>
    <row r="257" spans="17:17" ht="12.5">
      <c r="Q257" s="14"/>
    </row>
    <row r="258" spans="17:17" ht="12.5">
      <c r="Q258" s="14"/>
    </row>
    <row r="259" spans="17:17" ht="12.5">
      <c r="Q259" s="14"/>
    </row>
    <row r="260" spans="17:17" ht="12.5">
      <c r="Q260" s="14"/>
    </row>
    <row r="261" spans="17:17" ht="12.5">
      <c r="Q261" s="14"/>
    </row>
    <row r="262" spans="17:17" ht="12.5">
      <c r="Q262" s="14"/>
    </row>
    <row r="263" spans="17:17" ht="12.5">
      <c r="Q263" s="14"/>
    </row>
    <row r="264" spans="17:17" ht="12.5">
      <c r="Q264" s="14"/>
    </row>
    <row r="265" spans="17:17" ht="12.5">
      <c r="Q265" s="14"/>
    </row>
    <row r="266" spans="17:17" ht="12.5">
      <c r="Q266" s="14"/>
    </row>
    <row r="267" spans="17:17" ht="12.5">
      <c r="Q267" s="14"/>
    </row>
    <row r="268" spans="17:17" ht="12.5">
      <c r="Q268" s="14"/>
    </row>
    <row r="269" spans="17:17" ht="12.5">
      <c r="Q269" s="14"/>
    </row>
    <row r="270" spans="17:17" ht="12.5">
      <c r="Q270" s="14"/>
    </row>
    <row r="271" spans="17:17" ht="12.5">
      <c r="Q271" s="14"/>
    </row>
    <row r="272" spans="17:17" ht="12.5">
      <c r="Q272" s="14"/>
    </row>
    <row r="273" spans="17:17" ht="12.5">
      <c r="Q273" s="14"/>
    </row>
    <row r="274" spans="17:17" ht="12.5">
      <c r="Q274" s="14"/>
    </row>
    <row r="275" spans="17:17" ht="12.5">
      <c r="Q275" s="14"/>
    </row>
    <row r="276" spans="17:17" ht="12.5">
      <c r="Q276" s="14"/>
    </row>
    <row r="277" spans="17:17" ht="12.5">
      <c r="Q277" s="14"/>
    </row>
    <row r="278" spans="17:17" ht="12.5">
      <c r="Q278" s="14"/>
    </row>
    <row r="279" spans="17:17" ht="12.5">
      <c r="Q279" s="14"/>
    </row>
    <row r="280" spans="17:17" ht="12.5">
      <c r="Q280" s="14"/>
    </row>
    <row r="281" spans="17:17" ht="12.5">
      <c r="Q281" s="14"/>
    </row>
    <row r="282" spans="17:17" ht="12.5">
      <c r="Q282" s="14"/>
    </row>
    <row r="283" spans="17:17" ht="12.5">
      <c r="Q283" s="14"/>
    </row>
    <row r="284" spans="17:17" ht="12.5">
      <c r="Q284" s="14"/>
    </row>
    <row r="285" spans="17:17" ht="12.5">
      <c r="Q285" s="14"/>
    </row>
    <row r="286" spans="17:17" ht="12.5">
      <c r="Q286" s="14"/>
    </row>
    <row r="287" spans="17:17" ht="12.5">
      <c r="Q287" s="14"/>
    </row>
    <row r="288" spans="17:17" ht="12.5">
      <c r="Q288" s="14"/>
    </row>
    <row r="289" spans="17:17" ht="12.5">
      <c r="Q289" s="14"/>
    </row>
    <row r="290" spans="17:17" ht="12.5">
      <c r="Q290" s="14"/>
    </row>
    <row r="291" spans="17:17" ht="12.5">
      <c r="Q291" s="14"/>
    </row>
    <row r="292" spans="17:17" ht="12.5">
      <c r="Q292" s="14"/>
    </row>
    <row r="293" spans="17:17" ht="12.5">
      <c r="Q293" s="14"/>
    </row>
    <row r="294" spans="17:17" ht="12.5">
      <c r="Q294" s="14"/>
    </row>
    <row r="295" spans="17:17" ht="12.5">
      <c r="Q295" s="14"/>
    </row>
    <row r="296" spans="17:17" ht="12.5">
      <c r="Q296" s="14"/>
    </row>
    <row r="297" spans="17:17" ht="12.5">
      <c r="Q297" s="14"/>
    </row>
    <row r="298" spans="17:17" ht="12.5">
      <c r="Q298" s="14"/>
    </row>
    <row r="299" spans="17:17" ht="12.5">
      <c r="Q299" s="14"/>
    </row>
    <row r="300" spans="17:17" ht="12.5">
      <c r="Q300" s="14"/>
    </row>
    <row r="301" spans="17:17" ht="12.5">
      <c r="Q301" s="14"/>
    </row>
    <row r="302" spans="17:17" ht="12.5">
      <c r="Q302" s="14"/>
    </row>
    <row r="303" spans="17:17" ht="12.5">
      <c r="Q303" s="14"/>
    </row>
    <row r="304" spans="17:17" ht="12.5">
      <c r="Q304" s="14"/>
    </row>
    <row r="305" spans="17:17" ht="12.5">
      <c r="Q305" s="14"/>
    </row>
    <row r="306" spans="17:17" ht="12.5">
      <c r="Q306" s="14"/>
    </row>
    <row r="307" spans="17:17" ht="12.5">
      <c r="Q307" s="14"/>
    </row>
    <row r="308" spans="17:17" ht="12.5">
      <c r="Q308" s="14"/>
    </row>
    <row r="309" spans="17:17" ht="12.5">
      <c r="Q309" s="14"/>
    </row>
    <row r="310" spans="17:17" ht="12.5">
      <c r="Q310" s="14"/>
    </row>
    <row r="311" spans="17:17" ht="12.5">
      <c r="Q311" s="14"/>
    </row>
    <row r="312" spans="17:17" ht="12.5">
      <c r="Q312" s="14"/>
    </row>
    <row r="313" spans="17:17" ht="12.5">
      <c r="Q313" s="14"/>
    </row>
    <row r="314" spans="17:17" ht="12.5">
      <c r="Q314" s="14"/>
    </row>
    <row r="315" spans="17:17" ht="12.5">
      <c r="Q315" s="14"/>
    </row>
    <row r="316" spans="17:17" ht="12.5">
      <c r="Q316" s="14"/>
    </row>
    <row r="317" spans="17:17" ht="12.5">
      <c r="Q317" s="14"/>
    </row>
    <row r="318" spans="17:17" ht="12.5">
      <c r="Q318" s="14"/>
    </row>
    <row r="319" spans="17:17" ht="12.5">
      <c r="Q319" s="14"/>
    </row>
    <row r="320" spans="17:17" ht="12.5">
      <c r="Q320" s="14"/>
    </row>
    <row r="321" spans="17:17" ht="12.5">
      <c r="Q321" s="14"/>
    </row>
    <row r="322" spans="17:17" ht="12.5">
      <c r="Q322" s="14"/>
    </row>
    <row r="323" spans="17:17" ht="12.5">
      <c r="Q323" s="14"/>
    </row>
    <row r="324" spans="17:17" ht="12.5">
      <c r="Q324" s="14"/>
    </row>
    <row r="325" spans="17:17" ht="12.5">
      <c r="Q325" s="14"/>
    </row>
    <row r="326" spans="17:17" ht="12.5">
      <c r="Q326" s="14"/>
    </row>
    <row r="327" spans="17:17" ht="12.5">
      <c r="Q327" s="14"/>
    </row>
    <row r="328" spans="17:17" ht="12.5">
      <c r="Q328" s="14"/>
    </row>
    <row r="329" spans="17:17" ht="12.5">
      <c r="Q329" s="14"/>
    </row>
    <row r="330" spans="17:17" ht="12.5">
      <c r="Q330" s="14"/>
    </row>
    <row r="331" spans="17:17" ht="12.5">
      <c r="Q331" s="14"/>
    </row>
    <row r="332" spans="17:17" ht="12.5">
      <c r="Q332" s="14"/>
    </row>
    <row r="333" spans="17:17" ht="12.5">
      <c r="Q333" s="14"/>
    </row>
    <row r="334" spans="17:17" ht="12.5">
      <c r="Q334" s="14"/>
    </row>
    <row r="335" spans="17:17" ht="12.5">
      <c r="Q335" s="14"/>
    </row>
    <row r="336" spans="17:17" ht="12.5">
      <c r="Q336" s="14"/>
    </row>
    <row r="337" spans="17:17" ht="12.5">
      <c r="Q337" s="14"/>
    </row>
    <row r="338" spans="17:17" ht="12.5">
      <c r="Q338" s="14"/>
    </row>
    <row r="339" spans="17:17" ht="12.5">
      <c r="Q339" s="14"/>
    </row>
    <row r="340" spans="17:17" ht="12.5">
      <c r="Q340" s="14"/>
    </row>
    <row r="341" spans="17:17" ht="12.5">
      <c r="Q341" s="14"/>
    </row>
    <row r="342" spans="17:17" ht="12.5">
      <c r="Q342" s="14"/>
    </row>
    <row r="343" spans="17:17" ht="12.5">
      <c r="Q343" s="14"/>
    </row>
    <row r="344" spans="17:17" ht="12.5">
      <c r="Q344" s="14"/>
    </row>
    <row r="345" spans="17:17" ht="12.5">
      <c r="Q345" s="14"/>
    </row>
    <row r="346" spans="17:17" ht="12.5">
      <c r="Q346" s="14"/>
    </row>
    <row r="347" spans="17:17" ht="12.5">
      <c r="Q347" s="14"/>
    </row>
    <row r="348" spans="17:17" ht="12.5">
      <c r="Q348" s="14"/>
    </row>
    <row r="349" spans="17:17" ht="12.5">
      <c r="Q349" s="14"/>
    </row>
    <row r="350" spans="17:17" ht="12.5">
      <c r="Q350" s="14"/>
    </row>
    <row r="351" spans="17:17" ht="12.5">
      <c r="Q351" s="14"/>
    </row>
    <row r="352" spans="17:17" ht="12.5">
      <c r="Q352" s="14"/>
    </row>
    <row r="353" spans="17:17" ht="12.5">
      <c r="Q353" s="14"/>
    </row>
    <row r="354" spans="17:17" ht="12.5">
      <c r="Q354" s="14"/>
    </row>
    <row r="355" spans="17:17" ht="12.5">
      <c r="Q355" s="14"/>
    </row>
    <row r="356" spans="17:17" ht="12.5">
      <c r="Q356" s="14"/>
    </row>
    <row r="357" spans="17:17" ht="12.5">
      <c r="Q357" s="14"/>
    </row>
    <row r="358" spans="17:17" ht="12.5">
      <c r="Q358" s="14"/>
    </row>
    <row r="359" spans="17:17" ht="12.5">
      <c r="Q359" s="14"/>
    </row>
    <row r="360" spans="17:17" ht="12.5">
      <c r="Q360" s="14"/>
    </row>
    <row r="361" spans="17:17" ht="12.5">
      <c r="Q361" s="14"/>
    </row>
    <row r="362" spans="17:17" ht="12.5">
      <c r="Q362" s="14"/>
    </row>
    <row r="363" spans="17:17" ht="12.5">
      <c r="Q363" s="14"/>
    </row>
    <row r="364" spans="17:17" ht="12.5">
      <c r="Q364" s="14"/>
    </row>
    <row r="365" spans="17:17" ht="12.5">
      <c r="Q365" s="14"/>
    </row>
    <row r="366" spans="17:17" ht="12.5">
      <c r="Q366" s="14"/>
    </row>
    <row r="367" spans="17:17" ht="12.5">
      <c r="Q367" s="14"/>
    </row>
    <row r="368" spans="17:17" ht="12.5">
      <c r="Q368" s="14"/>
    </row>
    <row r="369" spans="17:17" ht="12.5">
      <c r="Q369" s="14"/>
    </row>
    <row r="370" spans="17:17" ht="12.5">
      <c r="Q370" s="14"/>
    </row>
    <row r="371" spans="17:17" ht="12.5">
      <c r="Q371" s="14"/>
    </row>
    <row r="372" spans="17:17" ht="12.5">
      <c r="Q372" s="14"/>
    </row>
    <row r="373" spans="17:17" ht="12.5">
      <c r="Q373" s="14"/>
    </row>
    <row r="374" spans="17:17" ht="12.5">
      <c r="Q374" s="14"/>
    </row>
    <row r="375" spans="17:17" ht="12.5">
      <c r="Q375" s="14"/>
    </row>
    <row r="376" spans="17:17" ht="12.5">
      <c r="Q376" s="14"/>
    </row>
    <row r="377" spans="17:17" ht="12.5">
      <c r="Q377" s="14"/>
    </row>
    <row r="378" spans="17:17" ht="12.5">
      <c r="Q378" s="14"/>
    </row>
    <row r="379" spans="17:17" ht="12.5">
      <c r="Q379" s="14"/>
    </row>
    <row r="380" spans="17:17" ht="12.5">
      <c r="Q380" s="14"/>
    </row>
    <row r="381" spans="17:17" ht="12.5">
      <c r="Q381" s="14"/>
    </row>
    <row r="382" spans="17:17" ht="12.5">
      <c r="Q382" s="14"/>
    </row>
    <row r="383" spans="17:17" ht="12.5">
      <c r="Q383" s="14"/>
    </row>
    <row r="384" spans="17:17" ht="12.5">
      <c r="Q384" s="14"/>
    </row>
    <row r="385" spans="17:17" ht="12.5">
      <c r="Q385" s="14"/>
    </row>
    <row r="386" spans="17:17" ht="12.5">
      <c r="Q386" s="14"/>
    </row>
    <row r="387" spans="17:17" ht="12.5">
      <c r="Q387" s="14"/>
    </row>
    <row r="388" spans="17:17" ht="12.5">
      <c r="Q388" s="14"/>
    </row>
    <row r="389" spans="17:17" ht="12.5">
      <c r="Q389" s="14"/>
    </row>
    <row r="390" spans="17:17" ht="12.5">
      <c r="Q390" s="14"/>
    </row>
    <row r="391" spans="17:17" ht="12.5">
      <c r="Q391" s="14"/>
    </row>
    <row r="392" spans="17:17" ht="12.5">
      <c r="Q392" s="14"/>
    </row>
    <row r="393" spans="17:17" ht="12.5">
      <c r="Q393" s="14"/>
    </row>
    <row r="394" spans="17:17" ht="12.5">
      <c r="Q394" s="14"/>
    </row>
    <row r="395" spans="17:17" ht="12.5">
      <c r="Q395" s="14"/>
    </row>
    <row r="396" spans="17:17" ht="12.5">
      <c r="Q396" s="14"/>
    </row>
    <row r="397" spans="17:17" ht="12.5">
      <c r="Q397" s="14"/>
    </row>
    <row r="398" spans="17:17" ht="12.5">
      <c r="Q398" s="14"/>
    </row>
    <row r="399" spans="17:17" ht="12.5">
      <c r="Q399" s="14"/>
    </row>
    <row r="400" spans="17:17" ht="12.5">
      <c r="Q400" s="14"/>
    </row>
    <row r="401" spans="17:17" ht="12.5">
      <c r="Q401" s="14"/>
    </row>
    <row r="402" spans="17:17" ht="12.5">
      <c r="Q402" s="14"/>
    </row>
    <row r="403" spans="17:17" ht="12.5">
      <c r="Q403" s="14"/>
    </row>
    <row r="404" spans="17:17" ht="12.5">
      <c r="Q404" s="14"/>
    </row>
    <row r="405" spans="17:17" ht="12.5">
      <c r="Q405" s="14"/>
    </row>
    <row r="406" spans="17:17" ht="12.5">
      <c r="Q406" s="14"/>
    </row>
    <row r="407" spans="17:17" ht="12.5">
      <c r="Q407" s="14"/>
    </row>
    <row r="408" spans="17:17" ht="12.5">
      <c r="Q408" s="14"/>
    </row>
    <row r="409" spans="17:17" ht="12.5">
      <c r="Q409" s="14"/>
    </row>
    <row r="410" spans="17:17" ht="12.5">
      <c r="Q410" s="14"/>
    </row>
    <row r="411" spans="17:17" ht="12.5">
      <c r="Q411" s="14"/>
    </row>
    <row r="412" spans="17:17" ht="12.5">
      <c r="Q412" s="14"/>
    </row>
    <row r="413" spans="17:17" ht="12.5">
      <c r="Q413" s="14"/>
    </row>
    <row r="414" spans="17:17" ht="12.5">
      <c r="Q414" s="14"/>
    </row>
    <row r="415" spans="17:17" ht="12.5">
      <c r="Q415" s="14"/>
    </row>
    <row r="416" spans="17:17" ht="12.5">
      <c r="Q416" s="14"/>
    </row>
    <row r="417" spans="17:17" ht="12.5">
      <c r="Q417" s="14"/>
    </row>
    <row r="418" spans="17:17" ht="12.5">
      <c r="Q418" s="14"/>
    </row>
    <row r="419" spans="17:17" ht="12.5">
      <c r="Q419" s="14"/>
    </row>
    <row r="420" spans="17:17" ht="12.5">
      <c r="Q420" s="14"/>
    </row>
    <row r="421" spans="17:17" ht="12.5">
      <c r="Q421" s="14"/>
    </row>
    <row r="422" spans="17:17" ht="12.5">
      <c r="Q422" s="14"/>
    </row>
    <row r="423" spans="17:17" ht="12.5">
      <c r="Q423" s="14"/>
    </row>
    <row r="424" spans="17:17" ht="12.5">
      <c r="Q424" s="14"/>
    </row>
    <row r="425" spans="17:17" ht="12.5">
      <c r="Q425" s="14"/>
    </row>
    <row r="426" spans="17:17" ht="12.5">
      <c r="Q426" s="14"/>
    </row>
    <row r="427" spans="17:17" ht="12.5">
      <c r="Q427" s="14"/>
    </row>
    <row r="428" spans="17:17" ht="12.5">
      <c r="Q428" s="14"/>
    </row>
    <row r="429" spans="17:17" ht="12.5">
      <c r="Q429" s="14"/>
    </row>
    <row r="430" spans="17:17" ht="12.5">
      <c r="Q430" s="14"/>
    </row>
    <row r="431" spans="17:17" ht="12.5">
      <c r="Q431" s="14"/>
    </row>
    <row r="432" spans="17:17" ht="12.5">
      <c r="Q432" s="14"/>
    </row>
    <row r="433" spans="17:17" ht="12.5">
      <c r="Q433" s="14"/>
    </row>
    <row r="434" spans="17:17" ht="12.5">
      <c r="Q434" s="14"/>
    </row>
    <row r="435" spans="17:17" ht="12.5">
      <c r="Q435" s="14"/>
    </row>
    <row r="436" spans="17:17" ht="12.5">
      <c r="Q436" s="14"/>
    </row>
    <row r="437" spans="17:17" ht="12.5">
      <c r="Q437" s="14"/>
    </row>
    <row r="438" spans="17:17" ht="12.5">
      <c r="Q438" s="14"/>
    </row>
    <row r="439" spans="17:17" ht="12.5">
      <c r="Q439" s="14"/>
    </row>
    <row r="440" spans="17:17" ht="12.5">
      <c r="Q440" s="14"/>
    </row>
    <row r="441" spans="17:17" ht="12.5">
      <c r="Q441" s="14"/>
    </row>
    <row r="442" spans="17:17" ht="12.5">
      <c r="Q442" s="14"/>
    </row>
    <row r="443" spans="17:17" ht="12.5">
      <c r="Q443" s="14"/>
    </row>
    <row r="444" spans="17:17" ht="12.5">
      <c r="Q444" s="14"/>
    </row>
    <row r="445" spans="17:17" ht="12.5">
      <c r="Q445" s="14"/>
    </row>
    <row r="446" spans="17:17" ht="12.5">
      <c r="Q446" s="14"/>
    </row>
    <row r="447" spans="17:17" ht="12.5">
      <c r="Q447" s="14"/>
    </row>
    <row r="448" spans="17:17" ht="12.5">
      <c r="Q448" s="14"/>
    </row>
    <row r="449" spans="17:17" ht="12.5">
      <c r="Q449" s="14"/>
    </row>
    <row r="450" spans="17:17" ht="12.5">
      <c r="Q450" s="14"/>
    </row>
    <row r="451" spans="17:17" ht="12.5">
      <c r="Q451" s="14"/>
    </row>
    <row r="452" spans="17:17" ht="12.5">
      <c r="Q452" s="14"/>
    </row>
    <row r="453" spans="17:17" ht="12.5">
      <c r="Q453" s="14"/>
    </row>
    <row r="454" spans="17:17" ht="12.5">
      <c r="Q454" s="14"/>
    </row>
    <row r="455" spans="17:17" ht="12.5">
      <c r="Q455" s="14"/>
    </row>
    <row r="456" spans="17:17" ht="12.5">
      <c r="Q456" s="14"/>
    </row>
    <row r="457" spans="17:17" ht="12.5">
      <c r="Q457" s="14"/>
    </row>
    <row r="458" spans="17:17" ht="12.5">
      <c r="Q458" s="14"/>
    </row>
    <row r="459" spans="17:17" ht="12.5">
      <c r="Q459" s="14"/>
    </row>
    <row r="460" spans="17:17" ht="12.5">
      <c r="Q460" s="14"/>
    </row>
    <row r="461" spans="17:17" ht="12.5">
      <c r="Q461" s="14"/>
    </row>
    <row r="462" spans="17:17" ht="12.5">
      <c r="Q462" s="14"/>
    </row>
    <row r="463" spans="17:17" ht="12.5">
      <c r="Q463" s="14"/>
    </row>
    <row r="464" spans="17:17" ht="12.5">
      <c r="Q464" s="14"/>
    </row>
    <row r="465" spans="17:17" ht="12.5">
      <c r="Q465" s="14"/>
    </row>
    <row r="466" spans="17:17" ht="12.5">
      <c r="Q466" s="14"/>
    </row>
    <row r="467" spans="17:17" ht="12.5">
      <c r="Q467" s="14"/>
    </row>
    <row r="468" spans="17:17" ht="12.5">
      <c r="Q468" s="14"/>
    </row>
    <row r="469" spans="17:17" ht="12.5">
      <c r="Q469" s="14"/>
    </row>
    <row r="470" spans="17:17" ht="12.5">
      <c r="Q470" s="14"/>
    </row>
    <row r="471" spans="17:17" ht="12.5">
      <c r="Q471" s="14"/>
    </row>
    <row r="472" spans="17:17" ht="12.5">
      <c r="Q472" s="14"/>
    </row>
    <row r="473" spans="17:17" ht="12.5">
      <c r="Q473" s="14"/>
    </row>
    <row r="474" spans="17:17" ht="12.5">
      <c r="Q474" s="14"/>
    </row>
    <row r="475" spans="17:17" ht="12.5">
      <c r="Q475" s="14"/>
    </row>
    <row r="476" spans="17:17" ht="12.5">
      <c r="Q476" s="14"/>
    </row>
    <row r="477" spans="17:17" ht="12.5">
      <c r="Q477" s="14"/>
    </row>
    <row r="478" spans="17:17" ht="12.5">
      <c r="Q478" s="14"/>
    </row>
    <row r="479" spans="17:17" ht="12.5">
      <c r="Q479" s="14"/>
    </row>
    <row r="480" spans="17:17" ht="12.5">
      <c r="Q480" s="14"/>
    </row>
    <row r="481" spans="17:17" ht="12.5">
      <c r="Q481" s="14"/>
    </row>
    <row r="482" spans="17:17" ht="12.5">
      <c r="Q482" s="14"/>
    </row>
    <row r="483" spans="17:17" ht="12.5">
      <c r="Q483" s="14"/>
    </row>
    <row r="484" spans="17:17" ht="12.5">
      <c r="Q484" s="14"/>
    </row>
    <row r="485" spans="17:17" ht="12.5">
      <c r="Q485" s="14"/>
    </row>
    <row r="486" spans="17:17" ht="12.5">
      <c r="Q486" s="14"/>
    </row>
    <row r="487" spans="17:17" ht="12.5">
      <c r="Q487" s="14"/>
    </row>
    <row r="488" spans="17:17" ht="12.5">
      <c r="Q488" s="14"/>
    </row>
    <row r="489" spans="17:17" ht="12.5">
      <c r="Q489" s="14"/>
    </row>
    <row r="490" spans="17:17" ht="12.5">
      <c r="Q490" s="14"/>
    </row>
    <row r="491" spans="17:17" ht="12.5">
      <c r="Q491" s="14"/>
    </row>
    <row r="492" spans="17:17" ht="12.5">
      <c r="Q492" s="14"/>
    </row>
    <row r="493" spans="17:17" ht="12.5">
      <c r="Q493" s="14"/>
    </row>
    <row r="494" spans="17:17" ht="12.5">
      <c r="Q494" s="14"/>
    </row>
    <row r="495" spans="17:17" ht="12.5">
      <c r="Q495" s="14"/>
    </row>
    <row r="496" spans="17:17" ht="12.5">
      <c r="Q496" s="14"/>
    </row>
    <row r="497" spans="17:17" ht="12.5">
      <c r="Q497" s="14"/>
    </row>
    <row r="498" spans="17:17" ht="12.5">
      <c r="Q498" s="14"/>
    </row>
    <row r="499" spans="17:17" ht="12.5">
      <c r="Q499" s="14"/>
    </row>
    <row r="500" spans="17:17" ht="12.5">
      <c r="Q500" s="14"/>
    </row>
    <row r="501" spans="17:17" ht="12.5">
      <c r="Q501" s="14"/>
    </row>
    <row r="502" spans="17:17" ht="12.5">
      <c r="Q502" s="14"/>
    </row>
    <row r="503" spans="17:17" ht="12.5">
      <c r="Q503" s="14"/>
    </row>
    <row r="504" spans="17:17" ht="12.5">
      <c r="Q504" s="14"/>
    </row>
    <row r="505" spans="17:17" ht="12.5">
      <c r="Q505" s="14"/>
    </row>
    <row r="506" spans="17:17" ht="12.5">
      <c r="Q506" s="14"/>
    </row>
    <row r="507" spans="17:17" ht="12.5">
      <c r="Q507" s="14"/>
    </row>
    <row r="508" spans="17:17" ht="12.5">
      <c r="Q508" s="14"/>
    </row>
    <row r="509" spans="17:17" ht="12.5">
      <c r="Q509" s="14"/>
    </row>
    <row r="510" spans="17:17" ht="12.5">
      <c r="Q510" s="14"/>
    </row>
    <row r="511" spans="17:17" ht="12.5">
      <c r="Q511" s="14"/>
    </row>
    <row r="512" spans="17:17" ht="12.5">
      <c r="Q512" s="14"/>
    </row>
    <row r="513" spans="17:17" ht="12.5">
      <c r="Q513" s="14"/>
    </row>
    <row r="514" spans="17:17" ht="12.5">
      <c r="Q514" s="14"/>
    </row>
    <row r="515" spans="17:17" ht="12.5">
      <c r="Q515" s="14"/>
    </row>
    <row r="516" spans="17:17" ht="12.5">
      <c r="Q516" s="14"/>
    </row>
    <row r="517" spans="17:17" ht="12.5">
      <c r="Q517" s="14"/>
    </row>
    <row r="518" spans="17:17" ht="12.5">
      <c r="Q518" s="14"/>
    </row>
    <row r="519" spans="17:17" ht="12.5">
      <c r="Q519" s="14"/>
    </row>
    <row r="520" spans="17:17" ht="12.5">
      <c r="Q520" s="14"/>
    </row>
    <row r="521" spans="17:17" ht="12.5">
      <c r="Q521" s="14"/>
    </row>
    <row r="522" spans="17:17" ht="12.5">
      <c r="Q522" s="14"/>
    </row>
    <row r="523" spans="17:17" ht="12.5">
      <c r="Q523" s="14"/>
    </row>
    <row r="524" spans="17:17" ht="12.5">
      <c r="Q524" s="14"/>
    </row>
    <row r="525" spans="17:17" ht="12.5">
      <c r="Q525" s="14"/>
    </row>
    <row r="526" spans="17:17" ht="12.5">
      <c r="Q526" s="14"/>
    </row>
    <row r="527" spans="17:17" ht="12.5">
      <c r="Q527" s="14"/>
    </row>
    <row r="528" spans="17:17" ht="12.5">
      <c r="Q528" s="14"/>
    </row>
    <row r="529" spans="17:17" ht="12.5">
      <c r="Q529" s="14"/>
    </row>
    <row r="530" spans="17:17" ht="12.5">
      <c r="Q530" s="14"/>
    </row>
    <row r="531" spans="17:17" ht="12.5">
      <c r="Q531" s="14"/>
    </row>
    <row r="532" spans="17:17" ht="12.5">
      <c r="Q532" s="14"/>
    </row>
    <row r="533" spans="17:17" ht="12.5">
      <c r="Q533" s="14"/>
    </row>
    <row r="534" spans="17:17" ht="12.5">
      <c r="Q534" s="14"/>
    </row>
    <row r="535" spans="17:17" ht="12.5">
      <c r="Q535" s="14"/>
    </row>
    <row r="536" spans="17:17" ht="12.5">
      <c r="Q536" s="14"/>
    </row>
    <row r="537" spans="17:17" ht="12.5">
      <c r="Q537" s="14"/>
    </row>
    <row r="538" spans="17:17" ht="12.5">
      <c r="Q538" s="14"/>
    </row>
    <row r="539" spans="17:17" ht="12.5">
      <c r="Q539" s="14"/>
    </row>
    <row r="540" spans="17:17" ht="12.5">
      <c r="Q540" s="14"/>
    </row>
    <row r="541" spans="17:17" ht="12.5">
      <c r="Q541" s="14"/>
    </row>
    <row r="542" spans="17:17" ht="12.5">
      <c r="Q542" s="14"/>
    </row>
    <row r="543" spans="17:17" ht="12.5">
      <c r="Q543" s="14"/>
    </row>
    <row r="544" spans="17:17" ht="12.5">
      <c r="Q544" s="14"/>
    </row>
    <row r="545" spans="17:17" ht="12.5">
      <c r="Q545" s="14"/>
    </row>
    <row r="546" spans="17:17" ht="12.5">
      <c r="Q546" s="14"/>
    </row>
    <row r="547" spans="17:17" ht="12.5">
      <c r="Q547" s="14"/>
    </row>
    <row r="548" spans="17:17" ht="12.5">
      <c r="Q548" s="14"/>
    </row>
    <row r="549" spans="17:17" ht="12.5">
      <c r="Q549" s="14"/>
    </row>
    <row r="550" spans="17:17" ht="12.5">
      <c r="Q550" s="14"/>
    </row>
    <row r="551" spans="17:17" ht="12.5">
      <c r="Q551" s="14"/>
    </row>
    <row r="552" spans="17:17" ht="12.5">
      <c r="Q552" s="14"/>
    </row>
    <row r="553" spans="17:17" ht="12.5">
      <c r="Q553" s="14"/>
    </row>
    <row r="554" spans="17:17" ht="12.5">
      <c r="Q554" s="14"/>
    </row>
    <row r="555" spans="17:17" ht="12.5">
      <c r="Q555" s="14"/>
    </row>
    <row r="556" spans="17:17" ht="12.5">
      <c r="Q556" s="14"/>
    </row>
    <row r="557" spans="17:17" ht="12.5">
      <c r="Q557" s="14"/>
    </row>
    <row r="558" spans="17:17" ht="12.5">
      <c r="Q558" s="14"/>
    </row>
    <row r="559" spans="17:17" ht="12.5">
      <c r="Q559" s="14"/>
    </row>
    <row r="560" spans="17:17" ht="12.5">
      <c r="Q560" s="14"/>
    </row>
    <row r="561" spans="17:17" ht="12.5">
      <c r="Q561" s="14"/>
    </row>
    <row r="562" spans="17:17" ht="12.5">
      <c r="Q562" s="14"/>
    </row>
    <row r="563" spans="17:17" ht="12.5">
      <c r="Q563" s="14"/>
    </row>
    <row r="564" spans="17:17" ht="12.5">
      <c r="Q564" s="14"/>
    </row>
    <row r="565" spans="17:17" ht="12.5">
      <c r="Q565" s="14"/>
    </row>
    <row r="566" spans="17:17" ht="12.5">
      <c r="Q566" s="14"/>
    </row>
    <row r="567" spans="17:17" ht="12.5">
      <c r="Q567" s="14"/>
    </row>
    <row r="568" spans="17:17" ht="12.5">
      <c r="Q568" s="14"/>
    </row>
    <row r="569" spans="17:17" ht="12.5">
      <c r="Q569" s="14"/>
    </row>
    <row r="570" spans="17:17" ht="12.5">
      <c r="Q570" s="14"/>
    </row>
    <row r="571" spans="17:17" ht="12.5">
      <c r="Q571" s="14"/>
    </row>
    <row r="572" spans="17:17" ht="12.5">
      <c r="Q572" s="14"/>
    </row>
    <row r="573" spans="17:17" ht="12.5">
      <c r="Q573" s="14"/>
    </row>
    <row r="574" spans="17:17" ht="12.5">
      <c r="Q574" s="14"/>
    </row>
    <row r="575" spans="17:17" ht="12.5">
      <c r="Q575" s="14"/>
    </row>
    <row r="576" spans="17:17" ht="12.5">
      <c r="Q576" s="14"/>
    </row>
    <row r="577" spans="17:17" ht="12.5">
      <c r="Q577" s="14"/>
    </row>
    <row r="578" spans="17:17" ht="12.5">
      <c r="Q578" s="14"/>
    </row>
    <row r="579" spans="17:17" ht="12.5">
      <c r="Q579" s="14"/>
    </row>
    <row r="580" spans="17:17" ht="12.5">
      <c r="Q580" s="14"/>
    </row>
    <row r="581" spans="17:17" ht="12.5">
      <c r="Q581" s="14"/>
    </row>
    <row r="582" spans="17:17" ht="12.5">
      <c r="Q582" s="14"/>
    </row>
    <row r="583" spans="17:17" ht="12.5">
      <c r="Q583" s="14"/>
    </row>
    <row r="584" spans="17:17" ht="12.5">
      <c r="Q584" s="14"/>
    </row>
    <row r="585" spans="17:17" ht="12.5">
      <c r="Q585" s="14"/>
    </row>
    <row r="586" spans="17:17" ht="12.5">
      <c r="Q586" s="14"/>
    </row>
    <row r="587" spans="17:17" ht="12.5">
      <c r="Q587" s="14"/>
    </row>
    <row r="588" spans="17:17" ht="12.5">
      <c r="Q588" s="14"/>
    </row>
    <row r="589" spans="17:17" ht="12.5">
      <c r="Q589" s="14"/>
    </row>
    <row r="590" spans="17:17" ht="12.5">
      <c r="Q590" s="14"/>
    </row>
    <row r="591" spans="17:17" ht="12.5">
      <c r="Q591" s="14"/>
    </row>
    <row r="592" spans="17:17" ht="12.5">
      <c r="Q592" s="14"/>
    </row>
    <row r="593" spans="17:17" ht="12.5">
      <c r="Q593" s="14"/>
    </row>
    <row r="594" spans="17:17" ht="12.5">
      <c r="Q594" s="14"/>
    </row>
    <row r="595" spans="17:17" ht="12.5">
      <c r="Q595" s="14"/>
    </row>
    <row r="596" spans="17:17" ht="12.5">
      <c r="Q596" s="14"/>
    </row>
    <row r="597" spans="17:17" ht="12.5">
      <c r="Q597" s="14"/>
    </row>
    <row r="598" spans="17:17" ht="12.5">
      <c r="Q598" s="14"/>
    </row>
    <row r="599" spans="17:17" ht="12.5">
      <c r="Q599" s="14"/>
    </row>
    <row r="600" spans="17:17" ht="12.5">
      <c r="Q600" s="14"/>
    </row>
    <row r="601" spans="17:17" ht="12.5">
      <c r="Q601" s="14"/>
    </row>
    <row r="602" spans="17:17" ht="12.5">
      <c r="Q602" s="14"/>
    </row>
    <row r="603" spans="17:17" ht="12.5">
      <c r="Q603" s="14"/>
    </row>
    <row r="604" spans="17:17" ht="12.5">
      <c r="Q604" s="14"/>
    </row>
    <row r="605" spans="17:17" ht="12.5">
      <c r="Q605" s="14"/>
    </row>
    <row r="606" spans="17:17" ht="12.5">
      <c r="Q606" s="14"/>
    </row>
    <row r="607" spans="17:17" ht="12.5">
      <c r="Q607" s="14"/>
    </row>
    <row r="608" spans="17:17" ht="12.5">
      <c r="Q608" s="14"/>
    </row>
    <row r="609" spans="17:17" ht="12.5">
      <c r="Q609" s="14"/>
    </row>
    <row r="610" spans="17:17" ht="12.5">
      <c r="Q610" s="14"/>
    </row>
    <row r="611" spans="17:17" ht="12.5">
      <c r="Q611" s="14"/>
    </row>
    <row r="612" spans="17:17" ht="12.5">
      <c r="Q612" s="14"/>
    </row>
    <row r="613" spans="17:17" ht="12.5">
      <c r="Q613" s="14"/>
    </row>
    <row r="614" spans="17:17" ht="12.5">
      <c r="Q614" s="14"/>
    </row>
    <row r="615" spans="17:17" ht="12.5">
      <c r="Q615" s="14"/>
    </row>
    <row r="616" spans="17:17" ht="12.5">
      <c r="Q616" s="14"/>
    </row>
    <row r="617" spans="17:17" ht="12.5">
      <c r="Q617" s="14"/>
    </row>
    <row r="618" spans="17:17" ht="12.5">
      <c r="Q618" s="14"/>
    </row>
    <row r="619" spans="17:17" ht="12.5">
      <c r="Q619" s="14"/>
    </row>
    <row r="620" spans="17:17" ht="12.5">
      <c r="Q620" s="14"/>
    </row>
    <row r="621" spans="17:17" ht="12.5">
      <c r="Q621" s="14"/>
    </row>
    <row r="622" spans="17:17" ht="12.5">
      <c r="Q622" s="14"/>
    </row>
    <row r="623" spans="17:17" ht="12.5">
      <c r="Q623" s="14"/>
    </row>
    <row r="624" spans="17:17" ht="12.5">
      <c r="Q624" s="14"/>
    </row>
    <row r="625" spans="17:17" ht="12.5">
      <c r="Q625" s="14"/>
    </row>
    <row r="626" spans="17:17" ht="12.5">
      <c r="Q626" s="14"/>
    </row>
    <row r="627" spans="17:17" ht="12.5">
      <c r="Q627" s="14"/>
    </row>
    <row r="628" spans="17:17" ht="12.5">
      <c r="Q628" s="14"/>
    </row>
    <row r="629" spans="17:17" ht="12.5">
      <c r="Q629" s="14"/>
    </row>
    <row r="630" spans="17:17" ht="12.5">
      <c r="Q630" s="14"/>
    </row>
    <row r="631" spans="17:17" ht="12.5">
      <c r="Q631" s="14"/>
    </row>
    <row r="632" spans="17:17" ht="12.5">
      <c r="Q632" s="14"/>
    </row>
    <row r="633" spans="17:17" ht="12.5">
      <c r="Q633" s="14"/>
    </row>
    <row r="634" spans="17:17" ht="12.5">
      <c r="Q634" s="14"/>
    </row>
    <row r="635" spans="17:17" ht="12.5">
      <c r="Q635" s="14"/>
    </row>
    <row r="636" spans="17:17" ht="12.5">
      <c r="Q636" s="14"/>
    </row>
    <row r="637" spans="17:17" ht="12.5">
      <c r="Q637" s="14"/>
    </row>
    <row r="638" spans="17:17" ht="12.5">
      <c r="Q638" s="14"/>
    </row>
    <row r="639" spans="17:17" ht="12.5">
      <c r="Q639" s="14"/>
    </row>
    <row r="640" spans="17:17" ht="12.5">
      <c r="Q640" s="14"/>
    </row>
    <row r="641" spans="17:17" ht="12.5">
      <c r="Q641" s="14"/>
    </row>
    <row r="642" spans="17:17" ht="12.5">
      <c r="Q642" s="14"/>
    </row>
    <row r="643" spans="17:17" ht="12.5">
      <c r="Q643" s="14"/>
    </row>
    <row r="644" spans="17:17" ht="12.5">
      <c r="Q644" s="14"/>
    </row>
    <row r="645" spans="17:17" ht="12.5">
      <c r="Q645" s="14"/>
    </row>
    <row r="646" spans="17:17" ht="12.5">
      <c r="Q646" s="14"/>
    </row>
    <row r="647" spans="17:17" ht="12.5">
      <c r="Q647" s="14"/>
    </row>
    <row r="648" spans="17:17" ht="12.5">
      <c r="Q648" s="14"/>
    </row>
    <row r="649" spans="17:17" ht="12.5">
      <c r="Q649" s="14"/>
    </row>
    <row r="650" spans="17:17" ht="12.5">
      <c r="Q650" s="14"/>
    </row>
    <row r="651" spans="17:17" ht="12.5">
      <c r="Q651" s="14"/>
    </row>
    <row r="652" spans="17:17" ht="12.5">
      <c r="Q652" s="14"/>
    </row>
    <row r="653" spans="17:17" ht="12.5">
      <c r="Q653" s="14"/>
    </row>
    <row r="654" spans="17:17" ht="12.5">
      <c r="Q654" s="14"/>
    </row>
    <row r="655" spans="17:17" ht="12.5">
      <c r="Q655" s="14"/>
    </row>
    <row r="656" spans="17:17" ht="12.5">
      <c r="Q656" s="14"/>
    </row>
    <row r="657" spans="17:17" ht="12.5">
      <c r="Q657" s="14"/>
    </row>
    <row r="658" spans="17:17" ht="12.5">
      <c r="Q658" s="14"/>
    </row>
    <row r="659" spans="17:17" ht="12.5">
      <c r="Q659" s="14"/>
    </row>
    <row r="660" spans="17:17" ht="12.5">
      <c r="Q660" s="14"/>
    </row>
    <row r="661" spans="17:17" ht="12.5">
      <c r="Q661" s="14"/>
    </row>
    <row r="662" spans="17:17" ht="12.5">
      <c r="Q662" s="14"/>
    </row>
    <row r="663" spans="17:17" ht="12.5">
      <c r="Q663" s="14"/>
    </row>
    <row r="664" spans="17:17" ht="12.5">
      <c r="Q664" s="14"/>
    </row>
    <row r="665" spans="17:17" ht="12.5">
      <c r="Q665" s="14"/>
    </row>
    <row r="666" spans="17:17" ht="12.5">
      <c r="Q666" s="14"/>
    </row>
    <row r="667" spans="17:17" ht="12.5">
      <c r="Q667" s="14"/>
    </row>
    <row r="668" spans="17:17" ht="12.5">
      <c r="Q668" s="14"/>
    </row>
    <row r="669" spans="17:17" ht="12.5">
      <c r="Q669" s="14"/>
    </row>
    <row r="670" spans="17:17" ht="12.5">
      <c r="Q670" s="14"/>
    </row>
    <row r="671" spans="17:17" ht="12.5">
      <c r="Q671" s="14"/>
    </row>
    <row r="672" spans="17:17" ht="12.5">
      <c r="Q672" s="14"/>
    </row>
    <row r="673" spans="17:17" ht="12.5">
      <c r="Q673" s="14"/>
    </row>
    <row r="674" spans="17:17" ht="12.5">
      <c r="Q674" s="14"/>
    </row>
    <row r="675" spans="17:17" ht="12.5">
      <c r="Q675" s="14"/>
    </row>
    <row r="676" spans="17:17" ht="12.5">
      <c r="Q676" s="14"/>
    </row>
    <row r="677" spans="17:17" ht="12.5">
      <c r="Q677" s="14"/>
    </row>
    <row r="678" spans="17:17" ht="12.5">
      <c r="Q678" s="14"/>
    </row>
    <row r="679" spans="17:17" ht="12.5">
      <c r="Q679" s="14"/>
    </row>
    <row r="680" spans="17:17" ht="12.5">
      <c r="Q680" s="14"/>
    </row>
    <row r="681" spans="17:17" ht="12.5">
      <c r="Q681" s="14"/>
    </row>
    <row r="682" spans="17:17" ht="12.5">
      <c r="Q682" s="14"/>
    </row>
    <row r="683" spans="17:17" ht="12.5">
      <c r="Q683" s="14"/>
    </row>
    <row r="684" spans="17:17" ht="12.5">
      <c r="Q684" s="14"/>
    </row>
    <row r="685" spans="17:17" ht="12.5">
      <c r="Q685" s="14"/>
    </row>
    <row r="686" spans="17:17" ht="12.5">
      <c r="Q686" s="14"/>
    </row>
    <row r="687" spans="17:17" ht="12.5">
      <c r="Q687" s="14"/>
    </row>
    <row r="688" spans="17:17" ht="12.5">
      <c r="Q688" s="14"/>
    </row>
    <row r="689" spans="17:17" ht="12.5">
      <c r="Q689" s="14"/>
    </row>
    <row r="690" spans="17:17" ht="12.5">
      <c r="Q690" s="14"/>
    </row>
    <row r="691" spans="17:17" ht="12.5">
      <c r="Q691" s="14"/>
    </row>
    <row r="692" spans="17:17" ht="12.5">
      <c r="Q692" s="14"/>
    </row>
    <row r="693" spans="17:17" ht="12.5">
      <c r="Q693" s="14"/>
    </row>
    <row r="694" spans="17:17" ht="12.5">
      <c r="Q694" s="14"/>
    </row>
    <row r="695" spans="17:17" ht="12.5">
      <c r="Q695" s="14"/>
    </row>
    <row r="696" spans="17:17" ht="12.5">
      <c r="Q696" s="14"/>
    </row>
    <row r="697" spans="17:17" ht="12.5">
      <c r="Q697" s="14"/>
    </row>
    <row r="698" spans="17:17" ht="12.5">
      <c r="Q698" s="14"/>
    </row>
    <row r="699" spans="17:17" ht="12.5">
      <c r="Q699" s="14"/>
    </row>
    <row r="700" spans="17:17" ht="12.5">
      <c r="Q700" s="14"/>
    </row>
    <row r="701" spans="17:17" ht="12.5">
      <c r="Q701" s="14"/>
    </row>
    <row r="702" spans="17:17" ht="12.5">
      <c r="Q702" s="14"/>
    </row>
    <row r="703" spans="17:17" ht="12.5">
      <c r="Q703" s="14"/>
    </row>
    <row r="704" spans="17:17" ht="12.5">
      <c r="Q704" s="14"/>
    </row>
    <row r="705" spans="17:17" ht="12.5">
      <c r="Q705" s="14"/>
    </row>
    <row r="706" spans="17:17" ht="12.5">
      <c r="Q706" s="14"/>
    </row>
    <row r="707" spans="17:17" ht="12.5">
      <c r="Q707" s="14"/>
    </row>
    <row r="708" spans="17:17" ht="12.5">
      <c r="Q708" s="14"/>
    </row>
    <row r="709" spans="17:17" ht="12.5">
      <c r="Q709" s="14"/>
    </row>
    <row r="710" spans="17:17" ht="12.5">
      <c r="Q710" s="14"/>
    </row>
    <row r="711" spans="17:17" ht="12.5">
      <c r="Q711" s="14"/>
    </row>
    <row r="712" spans="17:17" ht="12.5">
      <c r="Q712" s="14"/>
    </row>
    <row r="713" spans="17:17" ht="12.5">
      <c r="Q713" s="14"/>
    </row>
    <row r="714" spans="17:17" ht="12.5">
      <c r="Q714" s="14"/>
    </row>
    <row r="715" spans="17:17" ht="12.5">
      <c r="Q715" s="14"/>
    </row>
    <row r="716" spans="17:17" ht="12.5">
      <c r="Q716" s="14"/>
    </row>
    <row r="717" spans="17:17" ht="12.5">
      <c r="Q717" s="14"/>
    </row>
    <row r="718" spans="17:17" ht="12.5">
      <c r="Q718" s="14"/>
    </row>
    <row r="719" spans="17:17" ht="12.5">
      <c r="Q719" s="14"/>
    </row>
    <row r="720" spans="17:17" ht="12.5">
      <c r="Q720" s="14"/>
    </row>
    <row r="721" spans="17:17" ht="12.5">
      <c r="Q721" s="14"/>
    </row>
    <row r="722" spans="17:17" ht="12.5">
      <c r="Q722" s="14"/>
    </row>
    <row r="723" spans="17:17" ht="12.5">
      <c r="Q723" s="14"/>
    </row>
    <row r="724" spans="17:17" ht="12.5">
      <c r="Q724" s="14"/>
    </row>
    <row r="725" spans="17:17" ht="12.5">
      <c r="Q725" s="14"/>
    </row>
    <row r="726" spans="17:17" ht="12.5">
      <c r="Q726" s="14"/>
    </row>
    <row r="727" spans="17:17" ht="12.5">
      <c r="Q727" s="14"/>
    </row>
    <row r="728" spans="17:17" ht="12.5">
      <c r="Q728" s="14"/>
    </row>
    <row r="729" spans="17:17" ht="12.5">
      <c r="Q729" s="14"/>
    </row>
    <row r="730" spans="17:17" ht="12.5">
      <c r="Q730" s="14"/>
    </row>
    <row r="731" spans="17:17" ht="12.5">
      <c r="Q731" s="14"/>
    </row>
    <row r="732" spans="17:17" ht="12.5">
      <c r="Q732" s="14"/>
    </row>
    <row r="733" spans="17:17" ht="12.5">
      <c r="Q733" s="14"/>
    </row>
    <row r="734" spans="17:17" ht="12.5">
      <c r="Q734" s="14"/>
    </row>
    <row r="735" spans="17:17" ht="12.5">
      <c r="Q735" s="14"/>
    </row>
    <row r="736" spans="17:17" ht="12.5">
      <c r="Q736" s="14"/>
    </row>
    <row r="737" spans="17:17" ht="12.5">
      <c r="Q737" s="14"/>
    </row>
    <row r="738" spans="17:17" ht="12.5">
      <c r="Q738" s="14"/>
    </row>
    <row r="739" spans="17:17" ht="12.5">
      <c r="Q739" s="14"/>
    </row>
    <row r="740" spans="17:17" ht="12.5">
      <c r="Q740" s="14"/>
    </row>
    <row r="741" spans="17:17" ht="12.5">
      <c r="Q741" s="14"/>
    </row>
    <row r="742" spans="17:17" ht="12.5">
      <c r="Q742" s="14"/>
    </row>
    <row r="743" spans="17:17" ht="12.5">
      <c r="Q743" s="14"/>
    </row>
    <row r="744" spans="17:17" ht="12.5">
      <c r="Q744" s="14"/>
    </row>
    <row r="745" spans="17:17" ht="12.5">
      <c r="Q745" s="14"/>
    </row>
    <row r="746" spans="17:17" ht="12.5">
      <c r="Q746" s="14"/>
    </row>
    <row r="747" spans="17:17" ht="12.5">
      <c r="Q747" s="14"/>
    </row>
    <row r="748" spans="17:17" ht="12.5">
      <c r="Q748" s="14"/>
    </row>
    <row r="749" spans="17:17" ht="12.5">
      <c r="Q749" s="14"/>
    </row>
    <row r="750" spans="17:17" ht="12.5">
      <c r="Q750" s="14"/>
    </row>
    <row r="751" spans="17:17" ht="12.5">
      <c r="Q751" s="14"/>
    </row>
    <row r="752" spans="17:17" ht="12.5">
      <c r="Q752" s="14"/>
    </row>
    <row r="753" spans="17:17" ht="12.5">
      <c r="Q753" s="14"/>
    </row>
    <row r="754" spans="17:17" ht="12.5">
      <c r="Q754" s="14"/>
    </row>
    <row r="755" spans="17:17" ht="12.5">
      <c r="Q755" s="14"/>
    </row>
    <row r="756" spans="17:17" ht="12.5">
      <c r="Q756" s="14"/>
    </row>
    <row r="757" spans="17:17" ht="12.5">
      <c r="Q757" s="14"/>
    </row>
    <row r="758" spans="17:17" ht="12.5">
      <c r="Q758" s="14"/>
    </row>
    <row r="759" spans="17:17" ht="12.5">
      <c r="Q759" s="14"/>
    </row>
    <row r="760" spans="17:17" ht="12.5">
      <c r="Q760" s="14"/>
    </row>
    <row r="761" spans="17:17" ht="12.5">
      <c r="Q761" s="14"/>
    </row>
    <row r="762" spans="17:17" ht="12.5">
      <c r="Q762" s="14"/>
    </row>
    <row r="763" spans="17:17" ht="12.5">
      <c r="Q763" s="14"/>
    </row>
    <row r="764" spans="17:17" ht="12.5">
      <c r="Q764" s="14"/>
    </row>
    <row r="765" spans="17:17" ht="12.5">
      <c r="Q765" s="14"/>
    </row>
    <row r="766" spans="17:17" ht="12.5">
      <c r="Q766" s="14"/>
    </row>
    <row r="767" spans="17:17" ht="12.5">
      <c r="Q767" s="14"/>
    </row>
    <row r="768" spans="17:17" ht="12.5">
      <c r="Q768" s="14"/>
    </row>
    <row r="769" spans="17:17" ht="12.5">
      <c r="Q769" s="14"/>
    </row>
    <row r="770" spans="17:17" ht="12.5">
      <c r="Q770" s="14"/>
    </row>
    <row r="771" spans="17:17" ht="12.5">
      <c r="Q771" s="14"/>
    </row>
    <row r="772" spans="17:17" ht="12.5">
      <c r="Q772" s="14"/>
    </row>
    <row r="773" spans="17:17" ht="12.5">
      <c r="Q773" s="14"/>
    </row>
    <row r="774" spans="17:17" ht="12.5">
      <c r="Q774" s="14"/>
    </row>
    <row r="775" spans="17:17" ht="12.5">
      <c r="Q775" s="14"/>
    </row>
    <row r="776" spans="17:17" ht="12.5">
      <c r="Q776" s="14"/>
    </row>
    <row r="777" spans="17:17" ht="12.5">
      <c r="Q777" s="14"/>
    </row>
    <row r="778" spans="17:17" ht="12.5">
      <c r="Q778" s="14"/>
    </row>
    <row r="779" spans="17:17" ht="12.5">
      <c r="Q779" s="14"/>
    </row>
    <row r="780" spans="17:17" ht="12.5">
      <c r="Q780" s="14"/>
    </row>
    <row r="781" spans="17:17" ht="12.5">
      <c r="Q781" s="14"/>
    </row>
    <row r="782" spans="17:17" ht="12.5">
      <c r="Q782" s="14"/>
    </row>
    <row r="783" spans="17:17" ht="12.5">
      <c r="Q783" s="14"/>
    </row>
    <row r="784" spans="17:17" ht="12.5">
      <c r="Q784" s="14"/>
    </row>
    <row r="785" spans="17:17" ht="12.5">
      <c r="Q785" s="14"/>
    </row>
    <row r="786" spans="17:17" ht="12.5">
      <c r="Q786" s="14"/>
    </row>
    <row r="787" spans="17:17" ht="12.5">
      <c r="Q787" s="14"/>
    </row>
    <row r="788" spans="17:17" ht="12.5">
      <c r="Q788" s="14"/>
    </row>
    <row r="789" spans="17:17" ht="12.5">
      <c r="Q789" s="14"/>
    </row>
    <row r="790" spans="17:17" ht="12.5">
      <c r="Q790" s="14"/>
    </row>
    <row r="791" spans="17:17" ht="12.5">
      <c r="Q791" s="14"/>
    </row>
    <row r="792" spans="17:17" ht="12.5">
      <c r="Q792" s="14"/>
    </row>
    <row r="793" spans="17:17" ht="12.5">
      <c r="Q793" s="14"/>
    </row>
    <row r="794" spans="17:17" ht="12.5">
      <c r="Q794" s="14"/>
    </row>
    <row r="795" spans="17:17" ht="12.5">
      <c r="Q795" s="14"/>
    </row>
    <row r="796" spans="17:17" ht="12.5">
      <c r="Q796" s="14"/>
    </row>
    <row r="797" spans="17:17" ht="12.5">
      <c r="Q797" s="14"/>
    </row>
    <row r="798" spans="17:17" ht="12.5">
      <c r="Q798" s="14"/>
    </row>
    <row r="799" spans="17:17" ht="12.5">
      <c r="Q799" s="14"/>
    </row>
    <row r="800" spans="17:17" ht="12.5">
      <c r="Q800" s="14"/>
    </row>
    <row r="801" spans="17:17" ht="12.5">
      <c r="Q801" s="14"/>
    </row>
    <row r="802" spans="17:17" ht="12.5">
      <c r="Q802" s="14"/>
    </row>
    <row r="803" spans="17:17" ht="12.5">
      <c r="Q803" s="14"/>
    </row>
    <row r="804" spans="17:17" ht="12.5">
      <c r="Q804" s="14"/>
    </row>
    <row r="805" spans="17:17" ht="12.5">
      <c r="Q805" s="14"/>
    </row>
    <row r="806" spans="17:17" ht="12.5">
      <c r="Q806" s="14"/>
    </row>
    <row r="807" spans="17:17" ht="12.5">
      <c r="Q807" s="14"/>
    </row>
    <row r="808" spans="17:17" ht="12.5">
      <c r="Q808" s="14"/>
    </row>
    <row r="809" spans="17:17" ht="12.5">
      <c r="Q809" s="14"/>
    </row>
    <row r="810" spans="17:17" ht="12.5">
      <c r="Q810" s="14"/>
    </row>
    <row r="811" spans="17:17" ht="12.5">
      <c r="Q811" s="14"/>
    </row>
    <row r="812" spans="17:17" ht="12.5">
      <c r="Q812" s="14"/>
    </row>
    <row r="813" spans="17:17" ht="12.5">
      <c r="Q813" s="14"/>
    </row>
    <row r="814" spans="17:17" ht="12.5">
      <c r="Q814" s="14"/>
    </row>
    <row r="815" spans="17:17" ht="12.5">
      <c r="Q815" s="14"/>
    </row>
    <row r="816" spans="17:17" ht="12.5">
      <c r="Q816" s="14"/>
    </row>
    <row r="817" spans="17:17" ht="12.5">
      <c r="Q817" s="14"/>
    </row>
    <row r="818" spans="17:17" ht="12.5">
      <c r="Q818" s="14"/>
    </row>
    <row r="819" spans="17:17" ht="12.5">
      <c r="Q819" s="14"/>
    </row>
    <row r="820" spans="17:17" ht="12.5">
      <c r="Q820" s="14"/>
    </row>
    <row r="821" spans="17:17" ht="12.5">
      <c r="Q821" s="14"/>
    </row>
    <row r="822" spans="17:17" ht="12.5">
      <c r="Q822" s="14"/>
    </row>
    <row r="823" spans="17:17" ht="12.5">
      <c r="Q823" s="14"/>
    </row>
    <row r="824" spans="17:17" ht="12.5">
      <c r="Q824" s="14"/>
    </row>
    <row r="825" spans="17:17" ht="12.5">
      <c r="Q825" s="14"/>
    </row>
    <row r="826" spans="17:17" ht="12.5">
      <c r="Q826" s="14"/>
    </row>
    <row r="827" spans="17:17" ht="12.5">
      <c r="Q827" s="14"/>
    </row>
    <row r="828" spans="17:17" ht="12.5">
      <c r="Q828" s="14"/>
    </row>
    <row r="829" spans="17:17" ht="12.5">
      <c r="Q829" s="14"/>
    </row>
    <row r="830" spans="17:17" ht="12.5">
      <c r="Q830" s="14"/>
    </row>
    <row r="831" spans="17:17" ht="12.5">
      <c r="Q831" s="14"/>
    </row>
    <row r="832" spans="17:17" ht="12.5">
      <c r="Q832" s="14"/>
    </row>
    <row r="833" spans="17:17" ht="12.5">
      <c r="Q833" s="14"/>
    </row>
    <row r="834" spans="17:17" ht="12.5">
      <c r="Q834" s="14"/>
    </row>
    <row r="835" spans="17:17" ht="12.5">
      <c r="Q835" s="14"/>
    </row>
    <row r="836" spans="17:17" ht="12.5">
      <c r="Q836" s="14"/>
    </row>
    <row r="837" spans="17:17" ht="12.5">
      <c r="Q837" s="14"/>
    </row>
    <row r="838" spans="17:17" ht="12.5">
      <c r="Q838" s="14"/>
    </row>
    <row r="839" spans="17:17" ht="12.5">
      <c r="Q839" s="14"/>
    </row>
    <row r="840" spans="17:17" ht="12.5">
      <c r="Q840" s="14"/>
    </row>
    <row r="841" spans="17:17" ht="12.5">
      <c r="Q841" s="14"/>
    </row>
    <row r="842" spans="17:17" ht="12.5">
      <c r="Q842" s="14"/>
    </row>
    <row r="843" spans="17:17" ht="12.5">
      <c r="Q843" s="14"/>
    </row>
    <row r="844" spans="17:17" ht="12.5">
      <c r="Q844" s="14"/>
    </row>
    <row r="845" spans="17:17" ht="12.5">
      <c r="Q845" s="14"/>
    </row>
    <row r="846" spans="17:17" ht="12.5">
      <c r="Q846" s="14"/>
    </row>
    <row r="847" spans="17:17" ht="12.5">
      <c r="Q847" s="14"/>
    </row>
    <row r="848" spans="17:17" ht="12.5">
      <c r="Q848" s="14"/>
    </row>
    <row r="849" spans="17:17" ht="12.5">
      <c r="Q849" s="14"/>
    </row>
    <row r="850" spans="17:17" ht="12.5">
      <c r="Q850" s="14"/>
    </row>
    <row r="851" spans="17:17" ht="12.5">
      <c r="Q851" s="14"/>
    </row>
    <row r="852" spans="17:17" ht="12.5">
      <c r="Q852" s="14"/>
    </row>
    <row r="853" spans="17:17" ht="12.5">
      <c r="Q853" s="14"/>
    </row>
    <row r="854" spans="17:17" ht="12.5">
      <c r="Q854" s="14"/>
    </row>
    <row r="855" spans="17:17" ht="12.5">
      <c r="Q855" s="14"/>
    </row>
    <row r="856" spans="17:17" ht="12.5">
      <c r="Q856" s="14"/>
    </row>
    <row r="857" spans="17:17" ht="12.5">
      <c r="Q857" s="14"/>
    </row>
    <row r="858" spans="17:17" ht="12.5">
      <c r="Q858" s="14"/>
    </row>
    <row r="859" spans="17:17" ht="12.5">
      <c r="Q859" s="14"/>
    </row>
    <row r="860" spans="17:17" ht="12.5">
      <c r="Q860" s="14"/>
    </row>
    <row r="861" spans="17:17" ht="12.5">
      <c r="Q861" s="14"/>
    </row>
    <row r="862" spans="17:17" ht="12.5">
      <c r="Q862" s="14"/>
    </row>
    <row r="863" spans="17:17" ht="12.5">
      <c r="Q863" s="14"/>
    </row>
    <row r="864" spans="17:17" ht="12.5">
      <c r="Q864" s="14"/>
    </row>
    <row r="865" spans="17:17" ht="12.5">
      <c r="Q865" s="14"/>
    </row>
    <row r="866" spans="17:17" ht="12.5">
      <c r="Q866" s="14"/>
    </row>
    <row r="867" spans="17:17" ht="12.5">
      <c r="Q867" s="14"/>
    </row>
    <row r="868" spans="17:17" ht="12.5">
      <c r="Q868" s="14"/>
    </row>
    <row r="869" spans="17:17" ht="12.5">
      <c r="Q869" s="14"/>
    </row>
    <row r="870" spans="17:17" ht="12.5">
      <c r="Q870" s="14"/>
    </row>
    <row r="871" spans="17:17" ht="12.5">
      <c r="Q871" s="14"/>
    </row>
    <row r="872" spans="17:17" ht="12.5">
      <c r="Q872" s="14"/>
    </row>
    <row r="873" spans="17:17" ht="12.5">
      <c r="Q873" s="14"/>
    </row>
    <row r="874" spans="17:17" ht="12.5">
      <c r="Q874" s="14"/>
    </row>
    <row r="875" spans="17:17" ht="12.5">
      <c r="Q875" s="14"/>
    </row>
    <row r="876" spans="17:17" ht="12.5">
      <c r="Q876" s="14"/>
    </row>
    <row r="877" spans="17:17" ht="12.5">
      <c r="Q877" s="14"/>
    </row>
    <row r="878" spans="17:17" ht="12.5">
      <c r="Q878" s="14"/>
    </row>
    <row r="879" spans="17:17" ht="12.5">
      <c r="Q879" s="14"/>
    </row>
    <row r="880" spans="17:17" ht="12.5">
      <c r="Q880" s="14"/>
    </row>
    <row r="881" spans="17:17" ht="12.5">
      <c r="Q881" s="14"/>
    </row>
    <row r="882" spans="17:17" ht="12.5">
      <c r="Q882" s="14"/>
    </row>
    <row r="883" spans="17:17" ht="12.5">
      <c r="Q883" s="14"/>
    </row>
    <row r="884" spans="17:17" ht="12.5">
      <c r="Q884" s="14"/>
    </row>
    <row r="885" spans="17:17" ht="12.5">
      <c r="Q885" s="14"/>
    </row>
    <row r="886" spans="17:17" ht="12.5">
      <c r="Q886" s="14"/>
    </row>
    <row r="887" spans="17:17" ht="12.5">
      <c r="Q887" s="14"/>
    </row>
    <row r="888" spans="17:17" ht="12.5">
      <c r="Q888" s="14"/>
    </row>
    <row r="889" spans="17:17" ht="12.5">
      <c r="Q889" s="14"/>
    </row>
    <row r="890" spans="17:17" ht="12.5">
      <c r="Q890" s="14"/>
    </row>
    <row r="891" spans="17:17" ht="12.5">
      <c r="Q891" s="14"/>
    </row>
    <row r="892" spans="17:17" ht="12.5">
      <c r="Q892" s="14"/>
    </row>
    <row r="893" spans="17:17" ht="12.5">
      <c r="Q893" s="14"/>
    </row>
    <row r="894" spans="17:17" ht="12.5">
      <c r="Q894" s="14"/>
    </row>
    <row r="895" spans="17:17" ht="12.5">
      <c r="Q895" s="14"/>
    </row>
    <row r="896" spans="17:17" ht="12.5">
      <c r="Q896" s="14"/>
    </row>
    <row r="897" spans="17:17" ht="12.5">
      <c r="Q897" s="14"/>
    </row>
    <row r="898" spans="17:17" ht="12.5">
      <c r="Q898" s="14"/>
    </row>
    <row r="899" spans="17:17" ht="12.5">
      <c r="Q899" s="14"/>
    </row>
    <row r="900" spans="17:17" ht="12.5">
      <c r="Q900" s="14"/>
    </row>
    <row r="901" spans="17:17" ht="12.5">
      <c r="Q901" s="14"/>
    </row>
    <row r="902" spans="17:17" ht="12.5">
      <c r="Q902" s="14"/>
    </row>
    <row r="903" spans="17:17" ht="12.5">
      <c r="Q903" s="14"/>
    </row>
    <row r="904" spans="17:17" ht="12.5">
      <c r="Q904" s="14"/>
    </row>
    <row r="905" spans="17:17" ht="12.5">
      <c r="Q905" s="14"/>
    </row>
    <row r="906" spans="17:17" ht="12.5">
      <c r="Q906" s="14"/>
    </row>
    <row r="907" spans="17:17" ht="12.5">
      <c r="Q907" s="14"/>
    </row>
    <row r="908" spans="17:17" ht="12.5">
      <c r="Q908" s="14"/>
    </row>
    <row r="909" spans="17:17" ht="12.5">
      <c r="Q909" s="14"/>
    </row>
    <row r="910" spans="17:17" ht="12.5">
      <c r="Q910" s="14"/>
    </row>
    <row r="911" spans="17:17" ht="12.5">
      <c r="Q911" s="14"/>
    </row>
    <row r="912" spans="17:17" ht="12.5">
      <c r="Q912" s="14"/>
    </row>
    <row r="913" spans="17:17" ht="12.5">
      <c r="Q913" s="14"/>
    </row>
    <row r="914" spans="17:17" ht="12.5">
      <c r="Q914" s="14"/>
    </row>
    <row r="915" spans="17:17" ht="12.5">
      <c r="Q915" s="14"/>
    </row>
    <row r="916" spans="17:17" ht="12.5">
      <c r="Q916" s="14"/>
    </row>
    <row r="917" spans="17:17" ht="12.5">
      <c r="Q917" s="14"/>
    </row>
    <row r="918" spans="17:17" ht="12.5">
      <c r="Q918" s="14"/>
    </row>
    <row r="919" spans="17:17" ht="12.5">
      <c r="Q919" s="14"/>
    </row>
    <row r="920" spans="17:17" ht="12.5">
      <c r="Q920" s="14"/>
    </row>
    <row r="921" spans="17:17" ht="12.5">
      <c r="Q921" s="14"/>
    </row>
    <row r="922" spans="17:17" ht="12.5">
      <c r="Q922" s="14"/>
    </row>
    <row r="923" spans="17:17" ht="12.5">
      <c r="Q923" s="14"/>
    </row>
    <row r="924" spans="17:17" ht="12.5">
      <c r="Q924" s="14"/>
    </row>
    <row r="925" spans="17:17" ht="12.5">
      <c r="Q925" s="14"/>
    </row>
    <row r="926" spans="17:17" ht="12.5">
      <c r="Q926" s="14"/>
    </row>
    <row r="927" spans="17:17" ht="12.5">
      <c r="Q927" s="14"/>
    </row>
    <row r="928" spans="17:17" ht="12.5">
      <c r="Q928" s="14"/>
    </row>
    <row r="929" spans="17:17" ht="12.5">
      <c r="Q929" s="14"/>
    </row>
    <row r="930" spans="17:17" ht="12.5">
      <c r="Q930" s="14"/>
    </row>
    <row r="931" spans="17:17" ht="12.5">
      <c r="Q931" s="14"/>
    </row>
    <row r="932" spans="17:17" ht="12.5">
      <c r="Q932" s="14"/>
    </row>
    <row r="933" spans="17:17" ht="12.5">
      <c r="Q933" s="14"/>
    </row>
    <row r="934" spans="17:17" ht="12.5">
      <c r="Q934" s="14"/>
    </row>
    <row r="935" spans="17:17" ht="12.5">
      <c r="Q935" s="14"/>
    </row>
    <row r="936" spans="17:17" ht="12.5">
      <c r="Q936" s="14"/>
    </row>
    <row r="937" spans="17:17" ht="12.5">
      <c r="Q937" s="14"/>
    </row>
    <row r="938" spans="17:17" ht="12.5">
      <c r="Q938" s="14"/>
    </row>
    <row r="939" spans="17:17" ht="12.5">
      <c r="Q939" s="14"/>
    </row>
    <row r="940" spans="17:17" ht="12.5">
      <c r="Q940" s="14"/>
    </row>
    <row r="941" spans="17:17" ht="12.5">
      <c r="Q941" s="14"/>
    </row>
    <row r="942" spans="17:17" ht="12.5">
      <c r="Q942" s="14"/>
    </row>
    <row r="943" spans="17:17" ht="12.5">
      <c r="Q943" s="14"/>
    </row>
    <row r="944" spans="17:17" ht="12.5">
      <c r="Q944" s="14"/>
    </row>
    <row r="945" spans="17:17" ht="12.5">
      <c r="Q945" s="14"/>
    </row>
    <row r="946" spans="17:17" ht="12.5">
      <c r="Q946" s="14"/>
    </row>
    <row r="947" spans="17:17" ht="12.5">
      <c r="Q947" s="14"/>
    </row>
    <row r="948" spans="17:17" ht="12.5">
      <c r="Q948" s="14"/>
    </row>
    <row r="949" spans="17:17" ht="12.5">
      <c r="Q949" s="14"/>
    </row>
    <row r="950" spans="17:17" ht="12.5">
      <c r="Q950" s="14"/>
    </row>
    <row r="951" spans="17:17" ht="12.5">
      <c r="Q951" s="14"/>
    </row>
    <row r="952" spans="17:17" ht="12.5">
      <c r="Q952" s="14"/>
    </row>
    <row r="953" spans="17:17" ht="12.5">
      <c r="Q953" s="14"/>
    </row>
    <row r="954" spans="17:17" ht="12.5">
      <c r="Q954" s="14"/>
    </row>
    <row r="955" spans="17:17" ht="12.5">
      <c r="Q955" s="14"/>
    </row>
    <row r="956" spans="17:17" ht="12.5">
      <c r="Q956" s="14"/>
    </row>
    <row r="957" spans="17:17" ht="12.5">
      <c r="Q957" s="14"/>
    </row>
    <row r="958" spans="17:17" ht="12.5">
      <c r="Q958" s="14"/>
    </row>
    <row r="959" spans="17:17" ht="12.5">
      <c r="Q959" s="14"/>
    </row>
    <row r="960" spans="17:17" ht="12.5">
      <c r="Q960" s="14"/>
    </row>
    <row r="961" spans="17:17" ht="12.5">
      <c r="Q961" s="14"/>
    </row>
    <row r="962" spans="17:17" ht="12.5">
      <c r="Q962" s="14"/>
    </row>
    <row r="963" spans="17:17" ht="12.5">
      <c r="Q963" s="14"/>
    </row>
    <row r="964" spans="17:17" ht="12.5">
      <c r="Q964" s="14"/>
    </row>
    <row r="965" spans="17:17" ht="12.5">
      <c r="Q965" s="14"/>
    </row>
    <row r="966" spans="17:17" ht="12.5">
      <c r="Q966" s="14"/>
    </row>
    <row r="967" spans="17:17" ht="12.5">
      <c r="Q967" s="14"/>
    </row>
    <row r="968" spans="17:17" ht="12.5">
      <c r="Q968" s="14"/>
    </row>
    <row r="969" spans="17:17" ht="12.5">
      <c r="Q969" s="14"/>
    </row>
    <row r="970" spans="17:17" ht="12.5">
      <c r="Q970" s="14"/>
    </row>
    <row r="971" spans="17:17" ht="12.5">
      <c r="Q971" s="14"/>
    </row>
    <row r="972" spans="17:17" ht="12.5">
      <c r="Q972" s="14"/>
    </row>
    <row r="973" spans="17:17" ht="12.5">
      <c r="Q973" s="14"/>
    </row>
    <row r="974" spans="17:17" ht="12.5">
      <c r="Q974" s="14"/>
    </row>
    <row r="975" spans="17:17" ht="12.5">
      <c r="Q975" s="14"/>
    </row>
    <row r="976" spans="17:17" ht="12.5">
      <c r="Q976" s="14"/>
    </row>
    <row r="977" spans="17:17" ht="12.5">
      <c r="Q977" s="14"/>
    </row>
    <row r="978" spans="17:17" ht="12.5">
      <c r="Q978" s="14"/>
    </row>
    <row r="979" spans="17:17" ht="12.5">
      <c r="Q979" s="14"/>
    </row>
    <row r="980" spans="17:17" ht="12.5">
      <c r="Q980" s="14"/>
    </row>
    <row r="981" spans="17:17" ht="12.5">
      <c r="Q981" s="14"/>
    </row>
    <row r="982" spans="17:17" ht="12.5">
      <c r="Q982" s="14"/>
    </row>
    <row r="983" spans="17:17" ht="12.5">
      <c r="Q983" s="14"/>
    </row>
    <row r="984" spans="17:17" ht="12.5">
      <c r="Q984" s="14"/>
    </row>
    <row r="985" spans="17:17" ht="12.5">
      <c r="Q985" s="14"/>
    </row>
    <row r="986" spans="17:17" ht="12.5">
      <c r="Q986" s="14"/>
    </row>
    <row r="987" spans="17:17" ht="12.5">
      <c r="Q987" s="14"/>
    </row>
    <row r="988" spans="17:17" ht="12.5">
      <c r="Q988" s="14"/>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1A47F-BB60-48A7-972C-85C9476186CD}">
  <dimension ref="B2:BJ70"/>
  <sheetViews>
    <sheetView showGridLines="0" zoomScale="50" zoomScaleNormal="50" workbookViewId="0">
      <selection activeCell="A4" sqref="A4"/>
    </sheetView>
  </sheetViews>
  <sheetFormatPr defaultColWidth="9" defaultRowHeight="14"/>
  <cols>
    <col min="1" max="1" width="2.54296875" style="94" customWidth="1"/>
    <col min="2" max="2" width="38.1796875" style="94" bestFit="1" customWidth="1"/>
    <col min="3" max="3" width="14" style="94" bestFit="1" customWidth="1"/>
    <col min="4" max="4" width="11.81640625" style="94" bestFit="1" customWidth="1"/>
    <col min="5" max="5" width="26.81640625" style="94" bestFit="1" customWidth="1"/>
    <col min="6" max="6" width="22.453125" style="94" bestFit="1" customWidth="1"/>
    <col min="7" max="7" width="16.7265625" style="94" bestFit="1" customWidth="1"/>
    <col min="8" max="8" width="28.26953125" style="94" bestFit="1" customWidth="1"/>
    <col min="9" max="9" width="19" style="94" bestFit="1" customWidth="1"/>
    <col min="10" max="10" width="17.453125" style="94" bestFit="1" customWidth="1"/>
    <col min="11" max="11" width="24.26953125" style="94" bestFit="1" customWidth="1"/>
    <col min="12" max="12" width="15.7265625" style="94" bestFit="1" customWidth="1"/>
    <col min="13" max="13" width="34" style="94" bestFit="1" customWidth="1"/>
    <col min="14" max="14" width="27" style="94" bestFit="1" customWidth="1"/>
    <col min="15" max="15" width="21.81640625" style="94" bestFit="1" customWidth="1"/>
    <col min="16" max="16" width="30.26953125" style="94" bestFit="1" customWidth="1"/>
    <col min="17" max="17" width="29" style="94" bestFit="1" customWidth="1"/>
    <col min="18" max="18" width="20" style="94" bestFit="1" customWidth="1"/>
    <col min="19" max="19" width="29.26953125" style="94" bestFit="1" customWidth="1"/>
    <col min="20" max="20" width="8.1796875" style="94" bestFit="1" customWidth="1"/>
    <col min="21" max="21" width="12.453125" style="94" bestFit="1" customWidth="1"/>
    <col min="22" max="22" width="25.81640625" style="94" bestFit="1" customWidth="1"/>
    <col min="23" max="23" width="27" style="94" bestFit="1" customWidth="1"/>
    <col min="24" max="24" width="32.26953125" style="94" bestFit="1" customWidth="1"/>
    <col min="25" max="25" width="13.7265625" style="94" bestFit="1" customWidth="1"/>
    <col min="26" max="26" width="41" style="94" bestFit="1" customWidth="1"/>
    <col min="27" max="27" width="22.7265625" style="94" bestFit="1" customWidth="1"/>
    <col min="28" max="28" width="21.453125" style="94" bestFit="1" customWidth="1"/>
    <col min="29" max="29" width="23" style="94" bestFit="1" customWidth="1"/>
    <col min="30" max="30" width="25" style="94" bestFit="1" customWidth="1"/>
    <col min="31" max="31" width="19.7265625" style="94" bestFit="1" customWidth="1"/>
    <col min="32" max="32" width="22.1796875" style="94" bestFit="1" customWidth="1"/>
    <col min="33" max="33" width="29.26953125" style="94" bestFit="1" customWidth="1"/>
    <col min="34" max="34" width="11.1796875" style="94" bestFit="1" customWidth="1"/>
    <col min="35" max="35" width="13.453125" style="94" bestFit="1" customWidth="1"/>
    <col min="36" max="36" width="32.1796875" style="94" bestFit="1" customWidth="1"/>
    <col min="37" max="37" width="24.26953125" style="94" bestFit="1" customWidth="1"/>
    <col min="38" max="38" width="32.7265625" style="94" bestFit="1" customWidth="1"/>
    <col min="39" max="39" width="19.26953125" style="94" bestFit="1" customWidth="1"/>
    <col min="40" max="40" width="12.81640625" style="94" bestFit="1" customWidth="1"/>
    <col min="41" max="41" width="25.453125" style="94" bestFit="1" customWidth="1"/>
    <col min="42" max="42" width="35" style="94" bestFit="1" customWidth="1"/>
    <col min="43" max="43" width="19.81640625" style="94" bestFit="1" customWidth="1"/>
    <col min="44" max="44" width="7.54296875" style="94" bestFit="1" customWidth="1"/>
    <col min="45" max="45" width="16.81640625" style="94" bestFit="1" customWidth="1"/>
    <col min="46" max="46" width="36.7265625" style="94" bestFit="1" customWidth="1"/>
    <col min="47" max="47" width="22" style="94" bestFit="1" customWidth="1"/>
    <col min="48" max="48" width="20.453125" style="94" bestFit="1" customWidth="1"/>
    <col min="49" max="49" width="14.1796875" style="94" bestFit="1" customWidth="1"/>
    <col min="50" max="50" width="18.81640625" style="94" bestFit="1" customWidth="1"/>
    <col min="51" max="51" width="30.54296875" style="94" bestFit="1" customWidth="1"/>
    <col min="52" max="52" width="23.7265625" style="94" bestFit="1" customWidth="1"/>
    <col min="53" max="53" width="19.81640625" style="94" bestFit="1" customWidth="1"/>
    <col min="54" max="54" width="28" style="94" bestFit="1" customWidth="1"/>
    <col min="55" max="55" width="22" style="94" bestFit="1" customWidth="1"/>
    <col min="56" max="56" width="24.81640625" style="94" bestFit="1" customWidth="1"/>
    <col min="57" max="57" width="14" style="94" bestFit="1" customWidth="1"/>
    <col min="58" max="58" width="26.453125" style="94" bestFit="1" customWidth="1"/>
    <col min="59" max="59" width="7.7265625" style="94" bestFit="1" customWidth="1"/>
    <col min="60" max="60" width="20.7265625" style="94" bestFit="1" customWidth="1"/>
    <col min="61" max="61" width="13.54296875" style="94" bestFit="1" customWidth="1"/>
    <col min="62" max="62" width="19.81640625" style="94" bestFit="1" customWidth="1"/>
    <col min="63" max="16384" width="9" style="94"/>
  </cols>
  <sheetData>
    <row r="2" spans="2:62">
      <c r="B2" s="93" t="s">
        <v>976</v>
      </c>
    </row>
    <row r="3" spans="2:62" ht="14.5" thickBot="1"/>
    <row r="4" spans="2:62">
      <c r="B4" s="378" t="s">
        <v>977</v>
      </c>
      <c r="C4" s="379" t="s">
        <v>123</v>
      </c>
      <c r="D4" s="379" t="s">
        <v>124</v>
      </c>
      <c r="E4" s="379" t="s">
        <v>125</v>
      </c>
      <c r="F4" s="380" t="s">
        <v>126</v>
      </c>
      <c r="G4" s="380" t="s">
        <v>127</v>
      </c>
      <c r="H4" s="380" t="s">
        <v>128</v>
      </c>
      <c r="I4" s="380" t="s">
        <v>129</v>
      </c>
      <c r="J4" s="380" t="s">
        <v>130</v>
      </c>
      <c r="K4" s="380" t="s">
        <v>131</v>
      </c>
      <c r="L4" s="380" t="s">
        <v>132</v>
      </c>
      <c r="M4" s="380" t="s">
        <v>133</v>
      </c>
      <c r="N4" s="380" t="s">
        <v>134</v>
      </c>
      <c r="O4" s="380" t="s">
        <v>135</v>
      </c>
      <c r="P4" s="380" t="s">
        <v>136</v>
      </c>
      <c r="Q4" s="380" t="s">
        <v>137</v>
      </c>
      <c r="R4" s="380" t="s">
        <v>138</v>
      </c>
      <c r="S4" s="380" t="s">
        <v>139</v>
      </c>
      <c r="T4" s="380" t="s">
        <v>140</v>
      </c>
      <c r="U4" s="380" t="s">
        <v>141</v>
      </c>
      <c r="V4" s="380" t="s">
        <v>142</v>
      </c>
      <c r="W4" s="380" t="s">
        <v>143</v>
      </c>
      <c r="X4" s="380" t="s">
        <v>145</v>
      </c>
      <c r="Y4" s="380" t="s">
        <v>146</v>
      </c>
      <c r="Z4" s="380" t="s">
        <v>147</v>
      </c>
      <c r="AA4" s="380" t="s">
        <v>148</v>
      </c>
      <c r="AB4" s="380" t="s">
        <v>149</v>
      </c>
      <c r="AC4" s="380" t="s">
        <v>150</v>
      </c>
      <c r="AD4" s="380" t="s">
        <v>151</v>
      </c>
      <c r="AE4" s="380" t="s">
        <v>152</v>
      </c>
      <c r="AF4" s="380" t="s">
        <v>153</v>
      </c>
      <c r="AG4" s="380" t="s">
        <v>154</v>
      </c>
      <c r="AH4" s="380" t="s">
        <v>155</v>
      </c>
      <c r="AI4" s="380" t="s">
        <v>156</v>
      </c>
      <c r="AJ4" s="380" t="s">
        <v>157</v>
      </c>
      <c r="AK4" s="380" t="s">
        <v>158</v>
      </c>
      <c r="AL4" s="380" t="s">
        <v>159</v>
      </c>
      <c r="AM4" s="380" t="s">
        <v>161</v>
      </c>
      <c r="AN4" s="380" t="s">
        <v>162</v>
      </c>
      <c r="AO4" s="380" t="s">
        <v>163</v>
      </c>
      <c r="AP4" s="380" t="s">
        <v>164</v>
      </c>
      <c r="AQ4" s="380" t="s">
        <v>165</v>
      </c>
      <c r="AR4" s="380" t="s">
        <v>167</v>
      </c>
      <c r="AS4" s="380" t="s">
        <v>168</v>
      </c>
      <c r="AT4" s="380" t="s">
        <v>169</v>
      </c>
      <c r="AU4" s="380" t="s">
        <v>170</v>
      </c>
      <c r="AV4" s="381" t="s">
        <v>923</v>
      </c>
      <c r="AW4" s="381" t="s">
        <v>924</v>
      </c>
      <c r="AX4" s="381" t="s">
        <v>925</v>
      </c>
      <c r="AY4" s="381" t="s">
        <v>926</v>
      </c>
      <c r="AZ4" s="381" t="s">
        <v>927</v>
      </c>
      <c r="BA4" s="381" t="s">
        <v>928</v>
      </c>
      <c r="BB4" s="381" t="s">
        <v>929</v>
      </c>
      <c r="BC4" s="381" t="s">
        <v>930</v>
      </c>
      <c r="BD4" s="381" t="s">
        <v>931</v>
      </c>
      <c r="BE4" s="381" t="s">
        <v>932</v>
      </c>
      <c r="BF4" s="381" t="s">
        <v>933</v>
      </c>
      <c r="BG4" s="381" t="s">
        <v>934</v>
      </c>
      <c r="BH4" s="381" t="s">
        <v>935</v>
      </c>
      <c r="BI4" s="381" t="s">
        <v>936</v>
      </c>
      <c r="BJ4" s="382" t="s">
        <v>937</v>
      </c>
    </row>
    <row r="5" spans="2:62">
      <c r="B5" s="383" t="s">
        <v>978</v>
      </c>
      <c r="C5" s="207">
        <f>AVERAGE(Return!C5:C64)*12</f>
        <v>0.20468616037153869</v>
      </c>
      <c r="D5" s="207">
        <f>AVERAGE(Return!D5:D64)*12</f>
        <v>0.38027495912904496</v>
      </c>
      <c r="E5" s="207">
        <f>AVERAGE(Return!E5:E64)*12</f>
        <v>0.10494070908862108</v>
      </c>
      <c r="F5" s="207">
        <f>AVERAGE(Return!F5:F64)*12</f>
        <v>0.24390360732010449</v>
      </c>
      <c r="G5" s="207">
        <f>AVERAGE(Return!G5:G64)*12</f>
        <v>0.33355029028553956</v>
      </c>
      <c r="H5" s="207">
        <f>AVERAGE(Return!H5:H64)*12</f>
        <v>0.12388652105329537</v>
      </c>
      <c r="I5" s="207">
        <f>AVERAGE(Return!I5:I64)*12</f>
        <v>0.1321402243378911</v>
      </c>
      <c r="J5" s="207">
        <f>AVERAGE(Return!J5:J64)*12</f>
        <v>0.16200875339097173</v>
      </c>
      <c r="K5" s="207">
        <f>AVERAGE(Return!K5:K64)*12</f>
        <v>0.2833871111025042</v>
      </c>
      <c r="L5" s="207">
        <f>AVERAGE(Return!L5:L64)*12</f>
        <v>-1.0435170681886961E-2</v>
      </c>
      <c r="M5" s="207">
        <f>AVERAGE(Return!M5:M64)*12</f>
        <v>0.17198391529494844</v>
      </c>
      <c r="N5" s="207">
        <f>AVERAGE(Return!N5:N64)*12</f>
        <v>0.21366528302968874</v>
      </c>
      <c r="O5" s="207">
        <f>AVERAGE(Return!O5:O64)*12</f>
        <v>0.11131596863387355</v>
      </c>
      <c r="P5" s="207">
        <f>AVERAGE(Return!P5:P64)*12</f>
        <v>0.32214515680897537</v>
      </c>
      <c r="Q5" s="207">
        <f>AVERAGE(Return!Q5:Q64)*12</f>
        <v>0.25749569951901918</v>
      </c>
      <c r="R5" s="207">
        <f>AVERAGE(Return!R5:R64)*12</f>
        <v>0.20894871609621712</v>
      </c>
      <c r="S5" s="207">
        <f>AVERAGE(Return!S5:S64)*12</f>
        <v>0.20687244928354304</v>
      </c>
      <c r="T5" s="207">
        <f>AVERAGE(Return!T5:T64)*12</f>
        <v>0.31398280388375099</v>
      </c>
      <c r="U5" s="207">
        <f>AVERAGE(Return!U5:U64)*12</f>
        <v>0.33803513498013182</v>
      </c>
      <c r="V5" s="207">
        <f>AVERAGE(Return!V5:V64)*12</f>
        <v>0</v>
      </c>
      <c r="W5" s="207">
        <f>AVERAGE(Return!W5:W64)*12</f>
        <v>1.0059319017891468</v>
      </c>
      <c r="X5" s="207">
        <f>AVERAGE(Return!X5:X64)*12</f>
        <v>0.35569451931125146</v>
      </c>
      <c r="Y5" s="207">
        <f>AVERAGE(Return!Y5:Y64)*12</f>
        <v>0.25325933696187536</v>
      </c>
      <c r="Z5" s="207">
        <f>AVERAGE(Return!Z5:Z64)*12</f>
        <v>0.18231405898018538</v>
      </c>
      <c r="AA5" s="207">
        <f>AVERAGE(Return!AA5:AA64)*12</f>
        <v>0.41394819870405219</v>
      </c>
      <c r="AB5" s="207">
        <f>AVERAGE(Return!AB5:AB64)*12</f>
        <v>0.11296281778317935</v>
      </c>
      <c r="AC5" s="207">
        <f>AVERAGE(Return!AC5:AC64)*12</f>
        <v>0.22788341818461672</v>
      </c>
      <c r="AD5" s="207">
        <f>AVERAGE(Return!AD5:AD64)*12</f>
        <v>0.18423012838043776</v>
      </c>
      <c r="AE5" s="207">
        <f>AVERAGE(Return!AE5:AE64)*12</f>
        <v>0.10443859170000275</v>
      </c>
      <c r="AF5" s="207">
        <f>AVERAGE(Return!AF5:AF64)*12</f>
        <v>0.19630164020026258</v>
      </c>
      <c r="AG5" s="207">
        <f>AVERAGE(Return!AG5:AG64)*12</f>
        <v>0.13278390410721419</v>
      </c>
      <c r="AH5" s="207">
        <f>AVERAGE(Return!AH5:AH64)*12</f>
        <v>0.19783512771373279</v>
      </c>
      <c r="AI5" s="207">
        <f>AVERAGE(Return!AI5:AI64)*12</f>
        <v>0.50017905895791692</v>
      </c>
      <c r="AJ5" s="207">
        <f>AVERAGE(Return!AJ5:AJ64)*12</f>
        <v>0.26534087648607818</v>
      </c>
      <c r="AK5" s="207">
        <f>AVERAGE(Return!AK5:AK64)*12</f>
        <v>-3.9468461853402727E-2</v>
      </c>
      <c r="AL5" s="207">
        <f>AVERAGE(Return!AL5:AL64)*12</f>
        <v>9.5069639825155733E-2</v>
      </c>
      <c r="AM5" s="207">
        <f>AVERAGE(Return!AM5:AM64)*12</f>
        <v>7.1834801715598987E-2</v>
      </c>
      <c r="AN5" s="207">
        <f>AVERAGE(Return!AN5:AN64)*12</f>
        <v>4.4519091698428876E-3</v>
      </c>
      <c r="AO5" s="207">
        <f>AVERAGE(Return!AO5:AO64)*12</f>
        <v>-1.4506316035358013E-2</v>
      </c>
      <c r="AP5" s="207">
        <f>AVERAGE(Return!AP5:AP64)*12</f>
        <v>0.20017046382892639</v>
      </c>
      <c r="AQ5" s="207">
        <f>AVERAGE(Return!AQ5:AQ64)*12</f>
        <v>0.29857205792955321</v>
      </c>
      <c r="AR5" s="207">
        <f>AVERAGE(Return!AR5:AR64)*12</f>
        <v>0.19561085127143341</v>
      </c>
      <c r="AS5" s="207">
        <f>AVERAGE(Return!AS5:AS64)*12</f>
        <v>0.17472162053362206</v>
      </c>
      <c r="AT5" s="207">
        <f>AVERAGE(Return!AT5:AT64)*12</f>
        <v>0.25333484814048257</v>
      </c>
      <c r="AU5" s="207">
        <f>AVERAGE(Return!AU5:AU64)*12</f>
        <v>0.20020684663376448</v>
      </c>
      <c r="AV5" s="207">
        <f>AVERAGE(Return!AV5:AV64)*12</f>
        <v>0.1336349934393109</v>
      </c>
      <c r="AW5" s="207">
        <f>AVERAGE(Return!AW5:AW64)*12</f>
        <v>0.19681040927319621</v>
      </c>
      <c r="AX5" s="207">
        <f>AVERAGE(Return!AX5:AX64)*12</f>
        <v>0.50040371755633206</v>
      </c>
      <c r="AY5" s="207">
        <f>AVERAGE(Return!AY5:AY64)*12</f>
        <v>0.2507427436556523</v>
      </c>
      <c r="AZ5" s="207">
        <f>AVERAGE(Return!AZ5:AZ64)*12</f>
        <v>-1.7188686801576973E-2</v>
      </c>
      <c r="BA5" s="207">
        <f>AVERAGE(Return!BA5:BA64)*12</f>
        <v>0.40327055407345813</v>
      </c>
      <c r="BB5" s="207">
        <f>AVERAGE(Return!BB5:BB64)*12</f>
        <v>0.18688448892669665</v>
      </c>
      <c r="BC5" s="207">
        <f>AVERAGE(Return!BC5:BC64)*12</f>
        <v>0.26902197433130554</v>
      </c>
      <c r="BD5" s="207">
        <f>AVERAGE(Return!BD5:BD64)*12</f>
        <v>0.11900968560968561</v>
      </c>
      <c r="BE5" s="207">
        <f>AVERAGE(Return!BE5:BE64)*12</f>
        <v>0</v>
      </c>
      <c r="BF5" s="207">
        <f>AVERAGE(Return!BF5:BF64)*12</f>
        <v>0.13363208036125246</v>
      </c>
      <c r="BG5" s="207">
        <f>AVERAGE(Return!BG5:BG64)*12</f>
        <v>0.13956828553711442</v>
      </c>
      <c r="BH5" s="207">
        <f>AVERAGE(Return!BH5:BH64)*12</f>
        <v>7.8343929459517569E-2</v>
      </c>
      <c r="BI5" s="207">
        <f>AVERAGE(Return!BI5:BI64)*12</f>
        <v>0.12215910273508611</v>
      </c>
      <c r="BJ5" s="384">
        <f>AVERAGE(Return!BJ5:BJ64)*12</f>
        <v>0.23204780892181254</v>
      </c>
    </row>
    <row r="6" spans="2:62">
      <c r="B6" s="383" t="s">
        <v>979</v>
      </c>
      <c r="C6" s="207">
        <f>SQRT(_xlfn.VAR.S(Return!C5:C64)*12)</f>
        <v>0.37182358861331571</v>
      </c>
      <c r="D6" s="207">
        <f>SQRT(_xlfn.VAR.S(Return!D5:D64)*12)</f>
        <v>0.60349468846097776</v>
      </c>
      <c r="E6" s="207">
        <f>SQRT(_xlfn.VAR.S(Return!E5:E64)*12)</f>
        <v>0.30034568059708538</v>
      </c>
      <c r="F6" s="207">
        <f>SQRT(_xlfn.VAR.S(Return!F5:F64)*12)</f>
        <v>0.39926026359951022</v>
      </c>
      <c r="G6" s="207">
        <f>SQRT(_xlfn.VAR.S(Return!G5:G64)*12)</f>
        <v>0.47380023326190435</v>
      </c>
      <c r="H6" s="207">
        <f>SQRT(_xlfn.VAR.S(Return!H5:H64)*12)</f>
        <v>0.27406641647678748</v>
      </c>
      <c r="I6" s="207">
        <f>SQRT(_xlfn.VAR.S(Return!I5:I64)*12)</f>
        <v>0.24775582878931862</v>
      </c>
      <c r="J6" s="207">
        <f>SQRT(_xlfn.VAR.S(Return!J5:J64)*12)</f>
        <v>0.36244521861843437</v>
      </c>
      <c r="K6" s="207">
        <f>SQRT(_xlfn.VAR.S(Return!K5:K64)*12)</f>
        <v>0.44461220135401724</v>
      </c>
      <c r="L6" s="207">
        <f>SQRT(_xlfn.VAR.S(Return!L5:L64)*12)</f>
        <v>0.34353492011501746</v>
      </c>
      <c r="M6" s="207">
        <f>SQRT(_xlfn.VAR.S(Return!M5:M64)*12)</f>
        <v>0.28619645262403748</v>
      </c>
      <c r="N6" s="207">
        <f>SQRT(_xlfn.VAR.S(Return!N5:N64)*12)</f>
        <v>0.26013738800207248</v>
      </c>
      <c r="O6" s="207">
        <f>SQRT(_xlfn.VAR.S(Return!O5:O64)*12)</f>
        <v>0.4039084024348597</v>
      </c>
      <c r="P6" s="207">
        <f>SQRT(_xlfn.VAR.S(Return!P5:P64)*12)</f>
        <v>0.37306381327796806</v>
      </c>
      <c r="Q6" s="207">
        <f>SQRT(_xlfn.VAR.S(Return!Q5:Q64)*12)</f>
        <v>0.42890901242693308</v>
      </c>
      <c r="R6" s="207">
        <f>SQRT(_xlfn.VAR.S(Return!R5:R64)*12)</f>
        <v>0.28943224316850358</v>
      </c>
      <c r="S6" s="207">
        <f>SQRT(_xlfn.VAR.S(Return!S5:S64)*12)</f>
        <v>0.31102295256460233</v>
      </c>
      <c r="T6" s="207">
        <f>SQRT(_xlfn.VAR.S(Return!T5:T64)*12)</f>
        <v>0.41633003961341497</v>
      </c>
      <c r="U6" s="207">
        <f>SQRT(_xlfn.VAR.S(Return!U5:U64)*12)</f>
        <v>0.58871467519266352</v>
      </c>
      <c r="V6" s="207">
        <f>SQRT(_xlfn.VAR.S(Return!V5:V64)*12)</f>
        <v>0</v>
      </c>
      <c r="W6" s="207">
        <f>SQRT(_xlfn.VAR.S(Return!W5:W64)*12)</f>
        <v>0.8454112005575033</v>
      </c>
      <c r="X6" s="207">
        <f>SQRT(_xlfn.VAR.S(Return!X5:X64)*12)</f>
        <v>0.40340371841421296</v>
      </c>
      <c r="Y6" s="207">
        <f>SQRT(_xlfn.VAR.S(Return!Y5:Y64)*12)</f>
        <v>0.24946016611298133</v>
      </c>
      <c r="Z6" s="207">
        <f>SQRT(_xlfn.VAR.S(Return!Z5:Z64)*12)</f>
        <v>0.35929152366827216</v>
      </c>
      <c r="AA6" s="207">
        <f>SQRT(_xlfn.VAR.S(Return!AA5:AA64)*12)</f>
        <v>1.0834333162843792</v>
      </c>
      <c r="AB6" s="207">
        <f>SQRT(_xlfn.VAR.S(Return!AB5:AB64)*12)</f>
        <v>0.28816132341612677</v>
      </c>
      <c r="AC6" s="207">
        <f>SQRT(_xlfn.VAR.S(Return!AC5:AC64)*12)</f>
        <v>0.34068494296310381</v>
      </c>
      <c r="AD6" s="207">
        <f>SQRT(_xlfn.VAR.S(Return!AD5:AD64)*12)</f>
        <v>0.26786544469017265</v>
      </c>
      <c r="AE6" s="207">
        <f>SQRT(_xlfn.VAR.S(Return!AE5:AE64)*12)</f>
        <v>0.24769833074020831</v>
      </c>
      <c r="AF6" s="207">
        <f>SQRT(_xlfn.VAR.S(Return!AF5:AF64)*12)</f>
        <v>0.38528970706963539</v>
      </c>
      <c r="AG6" s="207">
        <f>SQRT(_xlfn.VAR.S(Return!AG5:AG64)*12)</f>
        <v>0.21508055411169699</v>
      </c>
      <c r="AH6" s="207">
        <f>SQRT(_xlfn.VAR.S(Return!AH5:AH64)*12)</f>
        <v>0.27648483638080718</v>
      </c>
      <c r="AI6" s="207">
        <f>SQRT(_xlfn.VAR.S(Return!AI5:AI64)*12)</f>
        <v>0.49300141283348159</v>
      </c>
      <c r="AJ6" s="207">
        <f>SQRT(_xlfn.VAR.S(Return!AJ5:AJ64)*12)</f>
        <v>0.39090694649468649</v>
      </c>
      <c r="AK6" s="207">
        <f>SQRT(_xlfn.VAR.S(Return!AK5:AK64)*12)</f>
        <v>0.18212260430423388</v>
      </c>
      <c r="AL6" s="207">
        <f>SQRT(_xlfn.VAR.S(Return!AL5:AL64)*12)</f>
        <v>0.63238385471361502</v>
      </c>
      <c r="AM6" s="207">
        <f>SQRT(_xlfn.VAR.S(Return!AM5:AM64)*12)</f>
        <v>0.36560117848767876</v>
      </c>
      <c r="AN6" s="207">
        <f>SQRT(_xlfn.VAR.S(Return!AN5:AN64)*12)</f>
        <v>9.5506631713756104E-2</v>
      </c>
      <c r="AO6" s="207">
        <f>SQRT(_xlfn.VAR.S(Return!AO5:AO64)*12)</f>
        <v>0.33682172057698972</v>
      </c>
      <c r="AP6" s="207">
        <f>SQRT(_xlfn.VAR.S(Return!AP5:AP64)*12)</f>
        <v>0.53369895156349112</v>
      </c>
      <c r="AQ6" s="207">
        <f>SQRT(_xlfn.VAR.S(Return!AQ5:AQ64)*12)</f>
        <v>0.40690698934066688</v>
      </c>
      <c r="AR6" s="207">
        <f>SQRT(_xlfn.VAR.S(Return!AR5:AR64)*12)</f>
        <v>0.45017915854713336</v>
      </c>
      <c r="AS6" s="207">
        <f>SQRT(_xlfn.VAR.S(Return!AS5:AS64)*12)</f>
        <v>0.44044294064986916</v>
      </c>
      <c r="AT6" s="207">
        <f>SQRT(_xlfn.VAR.S(Return!AT5:AT64)*12)</f>
        <v>0.3562959459393773</v>
      </c>
      <c r="AU6" s="207">
        <f>SQRT(_xlfn.VAR.S(Return!AU5:AU64)*12)</f>
        <v>0.47441341844754797</v>
      </c>
      <c r="AV6" s="207">
        <f>SQRT(_xlfn.VAR.S(Return!AV5:AV64)*12)</f>
        <v>0.21797754059465221</v>
      </c>
      <c r="AW6" s="207">
        <f>SQRT(_xlfn.VAR.S(Return!AW5:AW64)*12)</f>
        <v>0.17087442090233534</v>
      </c>
      <c r="AX6" s="207">
        <f>SQRT(_xlfn.VAR.S(Return!AX5:AX64)*12)</f>
        <v>0.34128578041844143</v>
      </c>
      <c r="AY6" s="207">
        <f>SQRT(_xlfn.VAR.S(Return!AY5:AY64)*12)</f>
        <v>0.25760813249159192</v>
      </c>
      <c r="AZ6" s="207">
        <f>SQRT(_xlfn.VAR.S(Return!AZ5:AZ64)*12)</f>
        <v>0.34511992987711693</v>
      </c>
      <c r="BA6" s="207">
        <f>SQRT(_xlfn.VAR.S(Return!BA5:BA64)*12)</f>
        <v>0.33689205625725172</v>
      </c>
      <c r="BB6" s="207">
        <f>SQRT(_xlfn.VAR.S(Return!BB5:BB64)*12)</f>
        <v>0.32092826033379551</v>
      </c>
      <c r="BC6" s="207">
        <f>SQRT(_xlfn.VAR.S(Return!BC5:BC64)*12)</f>
        <v>0.30995209442714622</v>
      </c>
      <c r="BD6" s="207">
        <f>SQRT(_xlfn.VAR.S(Return!BD5:BD64)*12)</f>
        <v>0.18534921868068419</v>
      </c>
      <c r="BE6" s="207">
        <f>SQRT(_xlfn.VAR.S(Return!BE5:BE64)*12)</f>
        <v>0</v>
      </c>
      <c r="BF6" s="207">
        <f>SQRT(_xlfn.VAR.S(Return!BF5:BF64)*12)</f>
        <v>0.27202861125150329</v>
      </c>
      <c r="BG6" s="207">
        <f>SQRT(_xlfn.VAR.S(Return!BG5:BG64)*12)</f>
        <v>0.38861720761570412</v>
      </c>
      <c r="BH6" s="207">
        <f>SQRT(_xlfn.VAR.S(Return!BH5:BH64)*12)</f>
        <v>0.3048694762028395</v>
      </c>
      <c r="BI6" s="207">
        <f>SQRT(_xlfn.VAR.S(Return!BI5:BI64)*12)</f>
        <v>0.37151022112192189</v>
      </c>
      <c r="BJ6" s="384">
        <f>SQRT(_xlfn.VAR.S(Return!BJ5:BJ64)*12)</f>
        <v>0.61144572140024178</v>
      </c>
    </row>
    <row r="7" spans="2:62">
      <c r="B7" s="383" t="s">
        <v>980</v>
      </c>
      <c r="C7" s="207">
        <f>_xlfn.STDEV.S(Return!C5:C64)</f>
        <v>0.10733622448847525</v>
      </c>
      <c r="D7" s="207">
        <f>_xlfn.STDEV.S(Return!D5:D64)</f>
        <v>0.17421391041872744</v>
      </c>
      <c r="E7" s="207">
        <f>_xlfn.STDEV.S(Return!E5:E64)</f>
        <v>8.6702329771334297E-2</v>
      </c>
      <c r="F7" s="207">
        <f>_xlfn.STDEV.S(Return!F5:F64)</f>
        <v>0.11525651033294908</v>
      </c>
      <c r="G7" s="207">
        <f>_xlfn.STDEV.S(Return!G5:G64)</f>
        <v>0.13677434610793399</v>
      </c>
      <c r="H7" s="207">
        <f>_xlfn.STDEV.S(Return!H5:H64)</f>
        <v>7.911615966435466E-2</v>
      </c>
      <c r="I7" s="207">
        <f>_xlfn.STDEV.S(Return!I5:I64)</f>
        <v>7.152094722240597E-2</v>
      </c>
      <c r="J7" s="207">
        <f>_xlfn.STDEV.S(Return!J5:J64)</f>
        <v>0.10462892226792292</v>
      </c>
      <c r="K7" s="207">
        <f>_xlfn.STDEV.S(Return!K5:K64)</f>
        <v>0.12834848706836696</v>
      </c>
      <c r="L7" s="207">
        <f>_xlfn.STDEV.S(Return!L5:L64)</f>
        <v>9.9169989302220971E-2</v>
      </c>
      <c r="M7" s="207">
        <f>_xlfn.STDEV.S(Return!M5:M64)</f>
        <v>8.2617799481802007E-2</v>
      </c>
      <c r="N7" s="207">
        <f>_xlfn.STDEV.S(Return!N5:N64)</f>
        <v>7.5095195494641331E-2</v>
      </c>
      <c r="O7" s="207">
        <f>_xlfn.STDEV.S(Return!O5:O64)</f>
        <v>0.11659831243685898</v>
      </c>
      <c r="P7" s="207">
        <f>_xlfn.STDEV.S(Return!P5:P64)</f>
        <v>0.10769424651047158</v>
      </c>
      <c r="Q7" s="207">
        <f>_xlfn.STDEV.S(Return!Q5:Q64)</f>
        <v>0.12381536689127318</v>
      </c>
      <c r="R7" s="207">
        <f>_xlfn.STDEV.S(Return!R5:R64)</f>
        <v>8.3551891752746382E-2</v>
      </c>
      <c r="S7" s="207">
        <f>_xlfn.STDEV.S(Return!S5:S64)</f>
        <v>8.9784592693662693E-2</v>
      </c>
      <c r="T7" s="207">
        <f>_xlfn.STDEV.S(Return!T5:T64)</f>
        <v>0.12018413022126635</v>
      </c>
      <c r="U7" s="207">
        <f>_xlfn.STDEV.S(Return!U5:U64)</f>
        <v>0.16994728809918369</v>
      </c>
      <c r="V7" s="207">
        <f>_xlfn.STDEV.S(Return!V5:V64)</f>
        <v>0</v>
      </c>
      <c r="W7" s="207">
        <f>_xlfn.STDEV.S(Return!W5:W64)</f>
        <v>0.24404919210889961</v>
      </c>
      <c r="X7" s="207">
        <f>_xlfn.STDEV.S(Return!X5:X64)</f>
        <v>0.11645262270927094</v>
      </c>
      <c r="Y7" s="207">
        <f>_xlfn.STDEV.S(Return!Y5:Y64)</f>
        <v>7.2012947028709265E-2</v>
      </c>
      <c r="Z7" s="207">
        <f>_xlfn.STDEV.S(Return!Z5:Z64)</f>
        <v>0.10371852895371386</v>
      </c>
      <c r="AA7" s="207">
        <f>_xlfn.STDEV.S(Return!AA5:AA64)</f>
        <v>0.31276025840289762</v>
      </c>
      <c r="AB7" s="207">
        <f>_xlfn.STDEV.S(Return!AB5:AB64)</f>
        <v>8.3185008822169809E-2</v>
      </c>
      <c r="AC7" s="207">
        <f>_xlfn.STDEV.S(Return!AC5:AC64)</f>
        <v>9.8347271764300151E-2</v>
      </c>
      <c r="AD7" s="207">
        <f>_xlfn.STDEV.S(Return!AD5:AD64)</f>
        <v>7.7326093299234996E-2</v>
      </c>
      <c r="AE7" s="207">
        <f>_xlfn.STDEV.S(Return!AE5:AE64)</f>
        <v>7.1504348965340109E-2</v>
      </c>
      <c r="AF7" s="207">
        <f>_xlfn.STDEV.S(Return!AF5:AF64)</f>
        <v>0.11122355804632303</v>
      </c>
      <c r="AG7" s="207">
        <f>_xlfn.STDEV.S(Return!AG5:AG64)</f>
        <v>6.2088407906921064E-2</v>
      </c>
      <c r="AH7" s="207">
        <f>_xlfn.STDEV.S(Return!AH5:AH64)</f>
        <v>7.9814297355654332E-2</v>
      </c>
      <c r="AI7" s="207">
        <f>_xlfn.STDEV.S(Return!AI5:AI64)</f>
        <v>0.14231724920513822</v>
      </c>
      <c r="AJ7" s="207">
        <f>_xlfn.STDEV.S(Return!AJ5:AJ64)</f>
        <v>0.11284511539340095</v>
      </c>
      <c r="AK7" s="207">
        <f>_xlfn.STDEV.S(Return!AK5:AK64)</f>
        <v>5.2574267310282564E-2</v>
      </c>
      <c r="AL7" s="207">
        <f>_xlfn.STDEV.S(Return!AL5:AL64)</f>
        <v>0.1825534943750394</v>
      </c>
      <c r="AM7" s="207">
        <f>_xlfn.STDEV.S(Return!AM5:AM64)</f>
        <v>0.10553996940795286</v>
      </c>
      <c r="AN7" s="207">
        <f>_xlfn.STDEV.S(Return!AN5:AN64)</f>
        <v>2.7570389764665765E-2</v>
      </c>
      <c r="AO7" s="207">
        <f>_xlfn.STDEV.S(Return!AO5:AO64)</f>
        <v>9.7232055522018968E-2</v>
      </c>
      <c r="AP7" s="207">
        <f>_xlfn.STDEV.S(Return!AP5:AP64)</f>
        <v>0.15406561667570132</v>
      </c>
      <c r="AQ7" s="207">
        <f>_xlfn.STDEV.S(Return!AQ5:AQ64)</f>
        <v>0.11746392991548711</v>
      </c>
      <c r="AR7" s="207">
        <f>_xlfn.STDEV.S(Return!AR5:AR64)</f>
        <v>0.12995552918537334</v>
      </c>
      <c r="AS7" s="207">
        <f>_xlfn.STDEV.S(Return!AS5:AS64)</f>
        <v>0.12714492517343617</v>
      </c>
      <c r="AT7" s="207">
        <f>_xlfn.STDEV.S(Return!AT5:AT64)</f>
        <v>0.10285378014963591</v>
      </c>
      <c r="AU7" s="207">
        <f>_xlfn.STDEV.S(Return!AU5:AU64)</f>
        <v>0.13695135742393119</v>
      </c>
      <c r="AV7" s="207">
        <f>_xlfn.STDEV.S(Return!AV5:AV64)</f>
        <v>6.292469586980752E-2</v>
      </c>
      <c r="AW7" s="207">
        <f>_xlfn.STDEV.S(Return!AW5:AW64)</f>
        <v>4.9327196452792363E-2</v>
      </c>
      <c r="AX7" s="207">
        <f>_xlfn.STDEV.S(Return!AX5:AX64)</f>
        <v>9.8520718597589332E-2</v>
      </c>
      <c r="AY7" s="207">
        <f>_xlfn.STDEV.S(Return!AY5:AY64)</f>
        <v>7.4365062319728698E-2</v>
      </c>
      <c r="AZ7" s="207">
        <f>_xlfn.STDEV.S(Return!AZ5:AZ64)</f>
        <v>9.9627542208629113E-2</v>
      </c>
      <c r="BA7" s="207">
        <f>_xlfn.STDEV.S(Return!BA5:BA64)</f>
        <v>9.725235968398542E-2</v>
      </c>
      <c r="BB7" s="207">
        <f>_xlfn.STDEV.S(Return!BB5:BB64)</f>
        <v>9.264400874713756E-2</v>
      </c>
      <c r="BC7" s="207">
        <f>_xlfn.STDEV.S(Return!BC5:BC64)</f>
        <v>8.9475462576700582E-2</v>
      </c>
      <c r="BD7" s="207">
        <f>_xlfn.STDEV.S(Return!BD5:BD64)</f>
        <v>5.3505710649689911E-2</v>
      </c>
      <c r="BE7" s="207">
        <f>_xlfn.STDEV.S(Return!BE5:BE64)</f>
        <v>0</v>
      </c>
      <c r="BF7" s="207">
        <f>_xlfn.STDEV.S(Return!BF5:BF64)</f>
        <v>7.8527895966667732E-2</v>
      </c>
      <c r="BG7" s="207">
        <f>_xlfn.STDEV.S(Return!BG5:BG64)</f>
        <v>0.11218412471432374</v>
      </c>
      <c r="BH7" s="207">
        <f>_xlfn.STDEV.S(Return!BH5:BH64)</f>
        <v>8.8008237076704798E-2</v>
      </c>
      <c r="BI7" s="207">
        <f>_xlfn.STDEV.S(Return!BI5:BI64)</f>
        <v>0.10724576308571949</v>
      </c>
      <c r="BJ7" s="384">
        <f>_xlfn.STDEV.S(Return!BJ5:BJ64)</f>
        <v>0.17650917592263726</v>
      </c>
    </row>
    <row r="8" spans="2:62" ht="14.5" thickBot="1">
      <c r="B8" s="385" t="s">
        <v>981</v>
      </c>
      <c r="C8" s="386">
        <f>AVERAGE(Return!C5:C64)</f>
        <v>1.7057180030961558E-2</v>
      </c>
      <c r="D8" s="386">
        <f>AVERAGE(Return!D5:D64)</f>
        <v>3.1689579927420414E-2</v>
      </c>
      <c r="E8" s="386">
        <f>AVERAGE(Return!E5:E64)</f>
        <v>8.7450590907184236E-3</v>
      </c>
      <c r="F8" s="386">
        <f>AVERAGE(Return!F5:F64)</f>
        <v>2.0325300610008708E-2</v>
      </c>
      <c r="G8" s="386">
        <f>AVERAGE(Return!G5:G64)</f>
        <v>2.7795857523794962E-2</v>
      </c>
      <c r="H8" s="386">
        <f>AVERAGE(Return!H5:H64)</f>
        <v>1.0323876754441281E-2</v>
      </c>
      <c r="I8" s="386">
        <f>AVERAGE(Return!I5:I64)</f>
        <v>1.1011685361490926E-2</v>
      </c>
      <c r="J8" s="386">
        <f>AVERAGE(Return!J5:J64)</f>
        <v>1.3500729449247644E-2</v>
      </c>
      <c r="K8" s="386">
        <f>AVERAGE(Return!K5:K64)</f>
        <v>2.3615592591875349E-2</v>
      </c>
      <c r="L8" s="386">
        <f>AVERAGE(Return!L5:L64)</f>
        <v>-8.6959755682391342E-4</v>
      </c>
      <c r="M8" s="386">
        <f>AVERAGE(Return!M5:M64)</f>
        <v>1.4331992941245705E-2</v>
      </c>
      <c r="N8" s="386">
        <f>AVERAGE(Return!N5:N64)</f>
        <v>1.7805440252474061E-2</v>
      </c>
      <c r="O8" s="386">
        <f>AVERAGE(Return!O5:O64)</f>
        <v>9.2763307194894621E-3</v>
      </c>
      <c r="P8" s="386">
        <f>AVERAGE(Return!P5:P64)</f>
        <v>2.6845429734081279E-2</v>
      </c>
      <c r="Q8" s="386">
        <f>AVERAGE(Return!Q5:Q64)</f>
        <v>2.1457974959918268E-2</v>
      </c>
      <c r="R8" s="386">
        <f>AVERAGE(Return!R5:R64)</f>
        <v>1.7412393008018095E-2</v>
      </c>
      <c r="S8" s="386">
        <f>AVERAGE(Return!S5:S64)</f>
        <v>1.7239370773628585E-2</v>
      </c>
      <c r="T8" s="386">
        <f>AVERAGE(Return!T5:T64)</f>
        <v>2.6165233656979252E-2</v>
      </c>
      <c r="U8" s="386">
        <f>AVERAGE(Return!U5:U64)</f>
        <v>2.8169594581677653E-2</v>
      </c>
      <c r="V8" s="386">
        <f>AVERAGE(Return!V5:V64)</f>
        <v>0</v>
      </c>
      <c r="W8" s="386">
        <f>AVERAGE(Return!W5:W64)</f>
        <v>8.3827658482428902E-2</v>
      </c>
      <c r="X8" s="386">
        <f>AVERAGE(Return!X5:X64)</f>
        <v>2.9641209942604288E-2</v>
      </c>
      <c r="Y8" s="386">
        <f>AVERAGE(Return!Y5:Y64)</f>
        <v>2.1104944746822948E-2</v>
      </c>
      <c r="Z8" s="386">
        <f>AVERAGE(Return!Z5:Z64)</f>
        <v>1.5192838248348781E-2</v>
      </c>
      <c r="AA8" s="386">
        <f>AVERAGE(Return!AA5:AA64)</f>
        <v>3.4495683225337685E-2</v>
      </c>
      <c r="AB8" s="386">
        <f>AVERAGE(Return!AB5:AB64)</f>
        <v>9.4135681485982784E-3</v>
      </c>
      <c r="AC8" s="386">
        <f>AVERAGE(Return!AC5:AC64)</f>
        <v>1.8990284848718061E-2</v>
      </c>
      <c r="AD8" s="386">
        <f>AVERAGE(Return!AD5:AD64)</f>
        <v>1.5352510698369813E-2</v>
      </c>
      <c r="AE8" s="386">
        <f>AVERAGE(Return!AE5:AE64)</f>
        <v>8.7032159750002284E-3</v>
      </c>
      <c r="AF8" s="386">
        <f>AVERAGE(Return!AF5:AF64)</f>
        <v>1.635847001668855E-2</v>
      </c>
      <c r="AG8" s="386">
        <f>AVERAGE(Return!AG5:AG64)</f>
        <v>1.106532534226785E-2</v>
      </c>
      <c r="AH8" s="386">
        <f>AVERAGE(Return!AH5:AH64)</f>
        <v>1.6486260642811067E-2</v>
      </c>
      <c r="AI8" s="386">
        <f>AVERAGE(Return!AI5:AI64)</f>
        <v>4.1681588246493075E-2</v>
      </c>
      <c r="AJ8" s="386">
        <f>AVERAGE(Return!AJ5:AJ64)</f>
        <v>2.2111739707173179E-2</v>
      </c>
      <c r="AK8" s="386">
        <f>AVERAGE(Return!AK5:AK64)</f>
        <v>-3.2890384877835607E-3</v>
      </c>
      <c r="AL8" s="386">
        <f>AVERAGE(Return!AL5:AL64)</f>
        <v>7.9224699854296438E-3</v>
      </c>
      <c r="AM8" s="386">
        <f>AVERAGE(Return!AM5:AM64)</f>
        <v>5.9862334762999158E-3</v>
      </c>
      <c r="AN8" s="386">
        <f>AVERAGE(Return!AN5:AN64)</f>
        <v>3.7099243082024065E-4</v>
      </c>
      <c r="AO8" s="386">
        <f>AVERAGE(Return!AO5:AO64)</f>
        <v>-1.2088596696131677E-3</v>
      </c>
      <c r="AP8" s="386">
        <f>AVERAGE(Return!AP5:AP64)</f>
        <v>1.6680871985743865E-2</v>
      </c>
      <c r="AQ8" s="386">
        <f>AVERAGE(Return!AQ5:AQ64)</f>
        <v>2.488100482746277E-2</v>
      </c>
      <c r="AR8" s="386">
        <f>AVERAGE(Return!AR5:AR64)</f>
        <v>1.6300904272619449E-2</v>
      </c>
      <c r="AS8" s="386">
        <f>AVERAGE(Return!AS5:AS64)</f>
        <v>1.4560135044468505E-2</v>
      </c>
      <c r="AT8" s="386">
        <f>AVERAGE(Return!AT5:AT64)</f>
        <v>2.1111237345040213E-2</v>
      </c>
      <c r="AU8" s="386">
        <f>AVERAGE(Return!AU5:AU64)</f>
        <v>1.6683903886147041E-2</v>
      </c>
      <c r="AV8" s="386">
        <f>AVERAGE(Return!AV5:AV64)</f>
        <v>1.1136249453275909E-2</v>
      </c>
      <c r="AW8" s="386">
        <f>AVERAGE(Return!AW5:AW64)</f>
        <v>1.6400867439433017E-2</v>
      </c>
      <c r="AX8" s="386">
        <f>AVERAGE(Return!AX5:AX64)</f>
        <v>4.1700309796361003E-2</v>
      </c>
      <c r="AY8" s="386">
        <f>AVERAGE(Return!AY5:AY64)</f>
        <v>2.0895228637971025E-2</v>
      </c>
      <c r="AZ8" s="386">
        <f>AVERAGE(Return!AZ5:AZ64)</f>
        <v>-1.4323905667980811E-3</v>
      </c>
      <c r="BA8" s="386">
        <f>AVERAGE(Return!BA5:BA64)</f>
        <v>3.3605879506121511E-2</v>
      </c>
      <c r="BB8" s="386">
        <f>AVERAGE(Return!BB5:BB64)</f>
        <v>1.5573707410558054E-2</v>
      </c>
      <c r="BC8" s="386">
        <f>AVERAGE(Return!BC5:BC64)</f>
        <v>2.2418497860942129E-2</v>
      </c>
      <c r="BD8" s="386">
        <f>AVERAGE(Return!BD5:BD64)</f>
        <v>9.9174738008071337E-3</v>
      </c>
      <c r="BE8" s="386">
        <f>AVERAGE(Return!BE5:BE64)</f>
        <v>0</v>
      </c>
      <c r="BF8" s="386">
        <f>AVERAGE(Return!BF5:BF64)</f>
        <v>1.1136006696771037E-2</v>
      </c>
      <c r="BG8" s="386">
        <f>AVERAGE(Return!BG5:BG64)</f>
        <v>1.1630690461426202E-2</v>
      </c>
      <c r="BH8" s="386">
        <f>AVERAGE(Return!BH5:BH64)</f>
        <v>6.5286607882931308E-3</v>
      </c>
      <c r="BI8" s="386">
        <f>AVERAGE(Return!BI5:BI64)</f>
        <v>1.0179925227923842E-2</v>
      </c>
      <c r="BJ8" s="387">
        <f>AVERAGE(Return!BJ5:BJ64)</f>
        <v>1.9337317410151045E-2</v>
      </c>
    </row>
    <row r="9" spans="2:62" ht="14.5" thickBot="1"/>
    <row r="10" spans="2:62">
      <c r="B10" s="370" t="s">
        <v>977</v>
      </c>
      <c r="C10" s="371" t="s">
        <v>978</v>
      </c>
      <c r="D10" s="371" t="s">
        <v>979</v>
      </c>
      <c r="E10" s="371" t="s">
        <v>980</v>
      </c>
      <c r="F10" s="372" t="s">
        <v>981</v>
      </c>
    </row>
    <row r="11" spans="2:62">
      <c r="B11" s="373" t="str" cm="1">
        <f t="array" ref="B11:B70">TRANSPOSE(C4:BJ4)</f>
        <v>Mahindra and Mahindra</v>
      </c>
      <c r="C11" s="208" cm="1">
        <f t="array" ref="C11:C70">TRANSPOSE(C5:BJ5)</f>
        <v>0.20468616037153869</v>
      </c>
      <c r="D11" s="208" cm="1">
        <f t="array" ref="D11:D70">TRANSPOSE(C6:BJ6)</f>
        <v>0.37182358861331571</v>
      </c>
      <c r="E11" s="208" cm="1">
        <f t="array" ref="E11:E70">TRANSPOSE(C7:BJ7)</f>
        <v>0.10733622448847525</v>
      </c>
      <c r="F11" s="374" cm="1">
        <f t="array" ref="F11:F70">TRANSPOSE(C8:BJ8)</f>
        <v>1.7057180030961558E-2</v>
      </c>
    </row>
    <row r="12" spans="2:62">
      <c r="B12" s="373" t="str">
        <v>Tata Motors</v>
      </c>
      <c r="C12" s="208">
        <v>0.38027495912904496</v>
      </c>
      <c r="D12" s="208">
        <v>0.60349468846097776</v>
      </c>
      <c r="E12" s="208">
        <v>0.17421391041872744</v>
      </c>
      <c r="F12" s="374">
        <v>3.1689579927420414E-2</v>
      </c>
    </row>
    <row r="13" spans="2:62">
      <c r="B13" s="373" t="str">
        <v>Maruti Suzuki</v>
      </c>
      <c r="C13" s="208">
        <v>0.10494070908862108</v>
      </c>
      <c r="D13" s="208">
        <v>0.30034568059708538</v>
      </c>
      <c r="E13" s="208">
        <v>8.6702329771334297E-2</v>
      </c>
      <c r="F13" s="374">
        <v>8.7450590907184236E-3</v>
      </c>
    </row>
    <row r="14" spans="2:62">
      <c r="B14" s="373" t="str">
        <v>K E C International Ltd</v>
      </c>
      <c r="C14" s="208">
        <v>0.24390360732010449</v>
      </c>
      <c r="D14" s="208">
        <v>0.39926026359951022</v>
      </c>
      <c r="E14" s="208">
        <v>0.11525651033294908</v>
      </c>
      <c r="F14" s="374">
        <v>2.0325300610008708E-2</v>
      </c>
    </row>
    <row r="15" spans="2:62">
      <c r="B15" s="373" t="str">
        <v>Force Motors Ltd</v>
      </c>
      <c r="C15" s="208">
        <v>0.33355029028553956</v>
      </c>
      <c r="D15" s="208">
        <v>0.47380023326190435</v>
      </c>
      <c r="E15" s="208">
        <v>0.13677434610793399</v>
      </c>
      <c r="F15" s="374">
        <v>2.7795857523794962E-2</v>
      </c>
    </row>
    <row r="16" spans="2:62">
      <c r="B16" s="373" t="str">
        <v>Kotak Mahindra Bank Limited</v>
      </c>
      <c r="C16" s="208">
        <v>0.12388652105329537</v>
      </c>
      <c r="D16" s="208">
        <v>0.27406641647678748</v>
      </c>
      <c r="E16" s="208">
        <v>7.911615966435466E-2</v>
      </c>
      <c r="F16" s="374">
        <v>1.0323876754441281E-2</v>
      </c>
    </row>
    <row r="17" spans="2:6">
      <c r="B17" s="373" t="str">
        <v>HDFC Bank Limited</v>
      </c>
      <c r="C17" s="208">
        <v>0.1321402243378911</v>
      </c>
      <c r="D17" s="208">
        <v>0.24775582878931862</v>
      </c>
      <c r="E17" s="208">
        <v>7.152094722240597E-2</v>
      </c>
      <c r="F17" s="374">
        <v>1.1011685361490926E-2</v>
      </c>
    </row>
    <row r="18" spans="2:6">
      <c r="B18" s="373" t="str">
        <v>Axis Bank Limited</v>
      </c>
      <c r="C18" s="208">
        <v>0.16200875339097173</v>
      </c>
      <c r="D18" s="208">
        <v>0.36244521861843437</v>
      </c>
      <c r="E18" s="208">
        <v>0.10462892226792292</v>
      </c>
      <c r="F18" s="374">
        <v>1.3500729449247644E-2</v>
      </c>
    </row>
    <row r="19" spans="2:6">
      <c r="B19" s="373" t="str">
        <v>IDFC FIRST Bank Limited</v>
      </c>
      <c r="C19" s="208">
        <v>0.2833871111025042</v>
      </c>
      <c r="D19" s="208">
        <v>0.44461220135401724</v>
      </c>
      <c r="E19" s="208">
        <v>0.12834848706836696</v>
      </c>
      <c r="F19" s="374">
        <v>2.3615592591875349E-2</v>
      </c>
    </row>
    <row r="20" spans="2:6">
      <c r="B20" s="373" t="str">
        <v>City Union Bank</v>
      </c>
      <c r="C20" s="208">
        <v>-1.0435170681886961E-2</v>
      </c>
      <c r="D20" s="208">
        <v>0.34353492011501746</v>
      </c>
      <c r="E20" s="208">
        <v>9.9169989302220971E-2</v>
      </c>
      <c r="F20" s="374">
        <v>-8.6959755682391342E-4</v>
      </c>
    </row>
    <row r="21" spans="2:6">
      <c r="B21" s="373" t="str">
        <v>Sun Pharmaceuticals Industries Ltd</v>
      </c>
      <c r="C21" s="208">
        <v>0.17198391529494844</v>
      </c>
      <c r="D21" s="208">
        <v>0.28619645262403748</v>
      </c>
      <c r="E21" s="208">
        <v>8.2617799481802007E-2</v>
      </c>
      <c r="F21" s="374">
        <v>1.4331992941245705E-2</v>
      </c>
    </row>
    <row r="22" spans="2:6">
      <c r="B22" s="373" t="str">
        <v>Dr Reddy's Laboratories Ltd</v>
      </c>
      <c r="C22" s="208">
        <v>0.21366528302968874</v>
      </c>
      <c r="D22" s="208">
        <v>0.26013738800207248</v>
      </c>
      <c r="E22" s="208">
        <v>7.5095195494641331E-2</v>
      </c>
      <c r="F22" s="374">
        <v>1.7805440252474061E-2</v>
      </c>
    </row>
    <row r="23" spans="2:6">
      <c r="B23" s="373" t="str">
        <v>Aurobindo Pharma Ltd</v>
      </c>
      <c r="C23" s="208">
        <v>0.11131596863387355</v>
      </c>
      <c r="D23" s="208">
        <v>0.4039084024348597</v>
      </c>
      <c r="E23" s="208">
        <v>0.11659831243685898</v>
      </c>
      <c r="F23" s="374">
        <v>9.2763307194894621E-3</v>
      </c>
    </row>
    <row r="24" spans="2:6">
      <c r="B24" s="373" t="str">
        <v>Suven Pharmaceuticals Limited</v>
      </c>
      <c r="C24" s="208">
        <v>0.32214515680897537</v>
      </c>
      <c r="D24" s="208">
        <v>0.37306381327796806</v>
      </c>
      <c r="E24" s="208">
        <v>0.10769424651047158</v>
      </c>
      <c r="F24" s="374">
        <v>2.6845429734081279E-2</v>
      </c>
    </row>
    <row r="25" spans="2:6">
      <c r="B25" s="373" t="str">
        <v>Unichem Laboratories Limited</v>
      </c>
      <c r="C25" s="208">
        <v>0.25749569951901918</v>
      </c>
      <c r="D25" s="208">
        <v>0.42890901242693308</v>
      </c>
      <c r="E25" s="208">
        <v>0.12381536689127318</v>
      </c>
      <c r="F25" s="374">
        <v>2.1457974959918268E-2</v>
      </c>
    </row>
    <row r="26" spans="2:6">
      <c r="B26" s="373" t="str">
        <v>Larsen &amp; Toubro Ltd</v>
      </c>
      <c r="C26" s="208">
        <v>0.20894871609621712</v>
      </c>
      <c r="D26" s="208">
        <v>0.28943224316850358</v>
      </c>
      <c r="E26" s="208">
        <v>8.3551891752746382E-2</v>
      </c>
      <c r="F26" s="374">
        <v>1.7412393008018095E-2</v>
      </c>
    </row>
    <row r="27" spans="2:6">
      <c r="B27" s="373" t="str">
        <v>Macrotech Developers Limited</v>
      </c>
      <c r="C27" s="208">
        <v>0.20687244928354304</v>
      </c>
      <c r="D27" s="208">
        <v>0.31102295256460233</v>
      </c>
      <c r="E27" s="208">
        <v>8.9784592693662693E-2</v>
      </c>
      <c r="F27" s="374">
        <v>1.7239370773628585E-2</v>
      </c>
    </row>
    <row r="28" spans="2:6">
      <c r="B28" s="373" t="str">
        <v>DLF Ltd</v>
      </c>
      <c r="C28" s="208">
        <v>0.31398280388375099</v>
      </c>
      <c r="D28" s="208">
        <v>0.41633003961341497</v>
      </c>
      <c r="E28" s="208">
        <v>0.12018413022126635</v>
      </c>
      <c r="F28" s="374">
        <v>2.6165233656979252E-2</v>
      </c>
    </row>
    <row r="29" spans="2:6">
      <c r="B29" s="373" t="str">
        <v>NCC Limited</v>
      </c>
      <c r="C29" s="208">
        <v>0.33803513498013182</v>
      </c>
      <c r="D29" s="208">
        <v>0.58871467519266352</v>
      </c>
      <c r="E29" s="208">
        <v>0.16994728809918369</v>
      </c>
      <c r="F29" s="374">
        <v>2.8169594581677653E-2</v>
      </c>
    </row>
    <row r="30" spans="2:6">
      <c r="B30" s="373" t="str">
        <v>JMC Projects India Limited</v>
      </c>
      <c r="C30" s="208">
        <v>0</v>
      </c>
      <c r="D30" s="208">
        <v>0</v>
      </c>
      <c r="E30" s="208">
        <v>0</v>
      </c>
      <c r="F30" s="374">
        <v>0</v>
      </c>
    </row>
    <row r="31" spans="2:6">
      <c r="B31" s="373" t="str">
        <v>Adani Green Energy Limited</v>
      </c>
      <c r="C31" s="208">
        <v>1.0059319017891468</v>
      </c>
      <c r="D31" s="208">
        <v>0.8454112005575033</v>
      </c>
      <c r="E31" s="208">
        <v>0.24404919210889961</v>
      </c>
      <c r="F31" s="374">
        <v>8.3827658482428902E-2</v>
      </c>
    </row>
    <row r="32" spans="2:6">
      <c r="B32" s="373" t="str">
        <v>The Tata Power Company Limited</v>
      </c>
      <c r="C32" s="208">
        <v>0.35569451931125146</v>
      </c>
      <c r="D32" s="208">
        <v>0.40340371841421296</v>
      </c>
      <c r="E32" s="208">
        <v>0.11645262270927094</v>
      </c>
      <c r="F32" s="374">
        <v>2.9641209942604288E-2</v>
      </c>
    </row>
    <row r="33" spans="2:6">
      <c r="B33" s="373" t="str">
        <v>NHPC Limited</v>
      </c>
      <c r="C33" s="208">
        <v>0.25325933696187536</v>
      </c>
      <c r="D33" s="208">
        <v>0.24946016611298133</v>
      </c>
      <c r="E33" s="208">
        <v>7.2012947028709265E-2</v>
      </c>
      <c r="F33" s="374">
        <v>2.1104944746822948E-2</v>
      </c>
    </row>
    <row r="34" spans="2:6">
      <c r="B34" s="373" t="str">
        <v>Gujarat Industries Power Company Limited</v>
      </c>
      <c r="C34" s="208">
        <v>0.18231405898018538</v>
      </c>
      <c r="D34" s="208">
        <v>0.35929152366827216</v>
      </c>
      <c r="E34" s="208">
        <v>0.10371852895371386</v>
      </c>
      <c r="F34" s="374">
        <v>1.5192838248348781E-2</v>
      </c>
    </row>
    <row r="35" spans="2:6">
      <c r="B35" s="373" t="str">
        <v>Reliance Power Limited</v>
      </c>
      <c r="C35" s="208">
        <v>0.41394819870405219</v>
      </c>
      <c r="D35" s="208">
        <v>1.0834333162843792</v>
      </c>
      <c r="E35" s="208">
        <v>0.31276025840289762</v>
      </c>
      <c r="F35" s="374">
        <v>3.4495683225337685E-2</v>
      </c>
    </row>
    <row r="36" spans="2:6">
      <c r="B36" s="373" t="str">
        <v>Shree Cement Limited</v>
      </c>
      <c r="C36" s="208">
        <v>0.11296281778317935</v>
      </c>
      <c r="D36" s="208">
        <v>0.28816132341612677</v>
      </c>
      <c r="E36" s="208">
        <v>8.3185008822169809E-2</v>
      </c>
      <c r="F36" s="374">
        <v>9.4135681485982784E-3</v>
      </c>
    </row>
    <row r="37" spans="2:6">
      <c r="B37" s="373" t="str">
        <v>Ambuja Cement Limited</v>
      </c>
      <c r="C37" s="208">
        <v>0.22788341818461672</v>
      </c>
      <c r="D37" s="208">
        <v>0.34068494296310381</v>
      </c>
      <c r="E37" s="208">
        <v>9.8347271764300151E-2</v>
      </c>
      <c r="F37" s="374">
        <v>1.8990284848718061E-2</v>
      </c>
    </row>
    <row r="38" spans="2:6">
      <c r="B38" s="373" t="str">
        <v>UltraTech Cement Limited</v>
      </c>
      <c r="C38" s="208">
        <v>0.18423012838043776</v>
      </c>
      <c r="D38" s="208">
        <v>0.26786544469017265</v>
      </c>
      <c r="E38" s="208">
        <v>7.7326093299234996E-2</v>
      </c>
      <c r="F38" s="374">
        <v>1.5352510698369813E-2</v>
      </c>
    </row>
    <row r="39" spans="2:6">
      <c r="B39" s="373" t="str">
        <v>Star Cement Limited</v>
      </c>
      <c r="C39" s="208">
        <v>0.10443859170000275</v>
      </c>
      <c r="D39" s="208">
        <v>0.24769833074020831</v>
      </c>
      <c r="E39" s="208">
        <v>7.1504348965340109E-2</v>
      </c>
      <c r="F39" s="374">
        <v>8.7032159750002284E-3</v>
      </c>
    </row>
    <row r="40" spans="2:6">
      <c r="B40" s="373" t="str">
        <v>NCL Industries Limited</v>
      </c>
      <c r="C40" s="208">
        <v>0.19630164020026258</v>
      </c>
      <c r="D40" s="208">
        <v>0.38528970706963539</v>
      </c>
      <c r="E40" s="208">
        <v>0.11122355804632303</v>
      </c>
      <c r="F40" s="374">
        <v>1.635847001668855E-2</v>
      </c>
    </row>
    <row r="41" spans="2:6">
      <c r="B41" s="373" t="str">
        <v>Tata Consultancy Services Ltd</v>
      </c>
      <c r="C41" s="208">
        <v>0.13278390410721419</v>
      </c>
      <c r="D41" s="208">
        <v>0.21508055411169699</v>
      </c>
      <c r="E41" s="208">
        <v>6.2088407906921064E-2</v>
      </c>
      <c r="F41" s="374">
        <v>1.106532534226785E-2</v>
      </c>
    </row>
    <row r="42" spans="2:6">
      <c r="B42" s="373" t="str">
        <v>Infosys Ltd</v>
      </c>
      <c r="C42" s="208">
        <v>0.19783512771373279</v>
      </c>
      <c r="D42" s="208">
        <v>0.27648483638080718</v>
      </c>
      <c r="E42" s="208">
        <v>7.9814297355654332E-2</v>
      </c>
      <c r="F42" s="374">
        <v>1.6486260642811067E-2</v>
      </c>
    </row>
    <row r="43" spans="2:6">
      <c r="B43" s="373" t="str">
        <v>Tata Elxsi Ltd</v>
      </c>
      <c r="C43" s="208">
        <v>0.50017905895791692</v>
      </c>
      <c r="D43" s="208">
        <v>0.49300141283348159</v>
      </c>
      <c r="E43" s="208">
        <v>0.14231724920513822</v>
      </c>
      <c r="F43" s="374">
        <v>4.1681588246493075E-2</v>
      </c>
    </row>
    <row r="44" spans="2:6">
      <c r="B44" s="373" t="str">
        <v>Happiest Minds Technologies Ltd</v>
      </c>
      <c r="C44" s="208">
        <v>0.26534087648607818</v>
      </c>
      <c r="D44" s="208">
        <v>0.39090694649468649</v>
      </c>
      <c r="E44" s="208">
        <v>0.11284511539340095</v>
      </c>
      <c r="F44" s="374">
        <v>2.2111739707173179E-2</v>
      </c>
    </row>
    <row r="45" spans="2:6">
      <c r="B45" s="373" t="str">
        <v>Latent View Analytics Ltd</v>
      </c>
      <c r="C45" s="208">
        <v>-3.9468461853402727E-2</v>
      </c>
      <c r="D45" s="208">
        <v>0.18212260430423388</v>
      </c>
      <c r="E45" s="208">
        <v>5.2574267310282564E-2</v>
      </c>
      <c r="F45" s="374">
        <v>-3.2890384877835607E-3</v>
      </c>
    </row>
    <row r="46" spans="2:6">
      <c r="B46" s="373" t="str">
        <v>Zee Entertainment Enterprises Ltd</v>
      </c>
      <c r="C46" s="208">
        <v>9.5069639825155733E-2</v>
      </c>
      <c r="D46" s="208">
        <v>0.63238385471361502</v>
      </c>
      <c r="E46" s="208">
        <v>0.1825534943750394</v>
      </c>
      <c r="F46" s="374">
        <v>7.9224699854296438E-3</v>
      </c>
    </row>
    <row r="47" spans="2:6">
      <c r="B47" s="373" t="str">
        <v>Sun TV Network Ltd</v>
      </c>
      <c r="C47" s="208">
        <v>7.1834801715598987E-2</v>
      </c>
      <c r="D47" s="208">
        <v>0.36560117848767876</v>
      </c>
      <c r="E47" s="208">
        <v>0.10553996940795286</v>
      </c>
      <c r="F47" s="374">
        <v>5.9862334762999158E-3</v>
      </c>
    </row>
    <row r="48" spans="2:6">
      <c r="B48" s="373" t="str">
        <v>PVR Inox Ltd</v>
      </c>
      <c r="C48" s="208">
        <v>4.4519091698428876E-3</v>
      </c>
      <c r="D48" s="208">
        <v>9.5506631713756104E-2</v>
      </c>
      <c r="E48" s="208">
        <v>2.7570389764665765E-2</v>
      </c>
      <c r="F48" s="374">
        <v>3.7099243082024065E-4</v>
      </c>
    </row>
    <row r="49" spans="2:6">
      <c r="B49" s="373" t="str">
        <v>TV Today Network Limited</v>
      </c>
      <c r="C49" s="208">
        <v>-1.4506316035358013E-2</v>
      </c>
      <c r="D49" s="208">
        <v>0.33682172057698972</v>
      </c>
      <c r="E49" s="208">
        <v>9.7232055522018968E-2</v>
      </c>
      <c r="F49" s="374">
        <v>-1.2088596696131677E-3</v>
      </c>
    </row>
    <row r="50" spans="2:6">
      <c r="B50" s="373" t="str">
        <v>Network 18 Media &amp; Investments Ltd</v>
      </c>
      <c r="C50" s="208">
        <v>0.20017046382892639</v>
      </c>
      <c r="D50" s="208">
        <v>0.53369895156349112</v>
      </c>
      <c r="E50" s="208">
        <v>0.15406561667570132</v>
      </c>
      <c r="F50" s="374">
        <v>1.6680871985743865E-2</v>
      </c>
    </row>
    <row r="51" spans="2:6">
      <c r="B51" s="373" t="str">
        <v>Indian Hotels Co Ltd</v>
      </c>
      <c r="C51" s="208">
        <v>0.29857205792955321</v>
      </c>
      <c r="D51" s="208">
        <v>0.40690698934066688</v>
      </c>
      <c r="E51" s="208">
        <v>0.11746392991548711</v>
      </c>
      <c r="F51" s="374">
        <v>2.488100482746277E-2</v>
      </c>
    </row>
    <row r="52" spans="2:6">
      <c r="B52" s="373" t="str">
        <v>EIH Ltd</v>
      </c>
      <c r="C52" s="208">
        <v>0.19561085127143341</v>
      </c>
      <c r="D52" s="208">
        <v>0.45017915854713336</v>
      </c>
      <c r="E52" s="208">
        <v>0.12995552918537334</v>
      </c>
      <c r="F52" s="374">
        <v>1.6300904272619449E-2</v>
      </c>
    </row>
    <row r="53" spans="2:6">
      <c r="B53" s="373" t="str">
        <v>Chalet Hotels Ltd</v>
      </c>
      <c r="C53" s="208">
        <v>0.17472162053362206</v>
      </c>
      <c r="D53" s="208">
        <v>0.44044294064986916</v>
      </c>
      <c r="E53" s="208">
        <v>0.12714492517343617</v>
      </c>
      <c r="F53" s="374">
        <v>1.4560135044468505E-2</v>
      </c>
    </row>
    <row r="54" spans="2:6">
      <c r="B54" s="373" t="str">
        <v>Mahindra Holidays &amp; Resorts India Ltd</v>
      </c>
      <c r="C54" s="208">
        <v>0.25333484814048257</v>
      </c>
      <c r="D54" s="208">
        <v>0.3562959459393773</v>
      </c>
      <c r="E54" s="208">
        <v>0.10285378014963591</v>
      </c>
      <c r="F54" s="374">
        <v>2.1111237345040213E-2</v>
      </c>
    </row>
    <row r="55" spans="2:6">
      <c r="B55" s="373" t="str">
        <v>Lemon Tree Hotels Ltd</v>
      </c>
      <c r="C55" s="208">
        <v>0.20020684663376448</v>
      </c>
      <c r="D55" s="208">
        <v>0.47441341844754797</v>
      </c>
      <c r="E55" s="208">
        <v>0.13695135742393119</v>
      </c>
      <c r="F55" s="374">
        <v>1.6683903886147041E-2</v>
      </c>
    </row>
    <row r="56" spans="2:6">
      <c r="B56" s="373" t="str">
        <v>Hindustan Unilever Ltd</v>
      </c>
      <c r="C56" s="208">
        <v>0.1336349934393109</v>
      </c>
      <c r="D56" s="208">
        <v>0.21797754059465221</v>
      </c>
      <c r="E56" s="208">
        <v>6.292469586980752E-2</v>
      </c>
      <c r="F56" s="374">
        <v>1.1136249453275909E-2</v>
      </c>
    </row>
    <row r="57" spans="2:6">
      <c r="B57" s="373" t="str">
        <v>Nestle India Ltd</v>
      </c>
      <c r="C57" s="208">
        <v>0.19681040927319621</v>
      </c>
      <c r="D57" s="208">
        <v>0.17087442090233534</v>
      </c>
      <c r="E57" s="208">
        <v>4.9327196452792363E-2</v>
      </c>
      <c r="F57" s="374">
        <v>1.6400867439433017E-2</v>
      </c>
    </row>
    <row r="58" spans="2:6">
      <c r="B58" s="373" t="str">
        <v>Varun Beverages Ltd</v>
      </c>
      <c r="C58" s="208">
        <v>0.50040371755633206</v>
      </c>
      <c r="D58" s="208">
        <v>0.34128578041844143</v>
      </c>
      <c r="E58" s="208">
        <v>9.8520718597589332E-2</v>
      </c>
      <c r="F58" s="374">
        <v>4.1700309796361003E-2</v>
      </c>
    </row>
    <row r="59" spans="2:6">
      <c r="B59" s="373" t="str">
        <v>Mrs. Bectors Food Specialities Ltd</v>
      </c>
      <c r="C59" s="208">
        <v>0.2507427436556523</v>
      </c>
      <c r="D59" s="208">
        <v>0.25760813249159192</v>
      </c>
      <c r="E59" s="208">
        <v>7.4365062319728698E-2</v>
      </c>
      <c r="F59" s="374">
        <v>2.0895228637971025E-2</v>
      </c>
    </row>
    <row r="60" spans="2:6">
      <c r="B60" s="373" t="str">
        <v>Bajaj Consumers Care Ltd</v>
      </c>
      <c r="C60" s="208">
        <v>-1.7188686801576973E-2</v>
      </c>
      <c r="D60" s="208">
        <v>0.34511992987711693</v>
      </c>
      <c r="E60" s="208">
        <v>9.9627542208629113E-2</v>
      </c>
      <c r="F60" s="374">
        <v>-1.4323905667980811E-3</v>
      </c>
    </row>
    <row r="61" spans="2:6">
      <c r="B61" s="373" t="str">
        <v>Bharat Electronics Ltd</v>
      </c>
      <c r="C61" s="208">
        <v>0.40327055407345813</v>
      </c>
      <c r="D61" s="208">
        <v>0.33689205625725172</v>
      </c>
      <c r="E61" s="208">
        <v>9.725235968398542E-2</v>
      </c>
      <c r="F61" s="374">
        <v>3.3605879506121511E-2</v>
      </c>
    </row>
    <row r="62" spans="2:6">
      <c r="B62" s="373" t="str">
        <v>Honeywell Automation India Ltd</v>
      </c>
      <c r="C62" s="208">
        <v>0.18688448892669665</v>
      </c>
      <c r="D62" s="208">
        <v>0.32092826033379551</v>
      </c>
      <c r="E62" s="208">
        <v>9.264400874713756E-2</v>
      </c>
      <c r="F62" s="374">
        <v>1.5573707410558054E-2</v>
      </c>
    </row>
    <row r="63" spans="2:6">
      <c r="B63" s="373" t="str">
        <v>Data Patterns (India) Ltd</v>
      </c>
      <c r="C63" s="208">
        <v>0.26902197433130554</v>
      </c>
      <c r="D63" s="208">
        <v>0.30995209442714622</v>
      </c>
      <c r="E63" s="208">
        <v>8.9475462576700582E-2</v>
      </c>
      <c r="F63" s="374">
        <v>2.2418497860942129E-2</v>
      </c>
    </row>
    <row r="64" spans="2:6">
      <c r="B64" s="373" t="str">
        <v>Syrma SGS Technology Ltd</v>
      </c>
      <c r="C64" s="208">
        <v>0.11900968560968561</v>
      </c>
      <c r="D64" s="208">
        <v>0.18534921868068419</v>
      </c>
      <c r="E64" s="208">
        <v>5.3505710649689911E-2</v>
      </c>
      <c r="F64" s="374">
        <v>9.9174738008071337E-3</v>
      </c>
    </row>
    <row r="65" spans="2:6">
      <c r="B65" s="373" t="str">
        <v>Cyient DLM Ltd</v>
      </c>
      <c r="C65" s="208">
        <v>0</v>
      </c>
      <c r="D65" s="208">
        <v>0</v>
      </c>
      <c r="E65" s="208">
        <v>0</v>
      </c>
      <c r="F65" s="374">
        <v>0</v>
      </c>
    </row>
    <row r="66" spans="2:6">
      <c r="B66" s="373" t="str">
        <v>Sumitomo Chemical India Ltd</v>
      </c>
      <c r="C66" s="208">
        <v>0.13363208036125246</v>
      </c>
      <c r="D66" s="208">
        <v>0.27202861125150329</v>
      </c>
      <c r="E66" s="208">
        <v>7.8527895966667732E-2</v>
      </c>
      <c r="F66" s="374">
        <v>1.1136006696771037E-2</v>
      </c>
    </row>
    <row r="67" spans="2:6">
      <c r="B67" s="373" t="str">
        <v>UPL Ltd</v>
      </c>
      <c r="C67" s="208">
        <v>0.13956828553711442</v>
      </c>
      <c r="D67" s="208">
        <v>0.38861720761570412</v>
      </c>
      <c r="E67" s="208">
        <v>0.11218412471432374</v>
      </c>
      <c r="F67" s="374">
        <v>1.1630690461426202E-2</v>
      </c>
    </row>
    <row r="68" spans="2:6">
      <c r="B68" s="373" t="str">
        <v>Bayer CropScience Ltd</v>
      </c>
      <c r="C68" s="208">
        <v>7.8343929459517569E-2</v>
      </c>
      <c r="D68" s="208">
        <v>0.3048694762028395</v>
      </c>
      <c r="E68" s="208">
        <v>8.8008237076704798E-2</v>
      </c>
      <c r="F68" s="374">
        <v>6.5286607882931308E-3</v>
      </c>
    </row>
    <row r="69" spans="2:6">
      <c r="B69" s="373" t="str">
        <v>Rallis India Ltd</v>
      </c>
      <c r="C69" s="208">
        <v>0.12215910273508611</v>
      </c>
      <c r="D69" s="208">
        <v>0.37151022112192189</v>
      </c>
      <c r="E69" s="208">
        <v>0.10724576308571949</v>
      </c>
      <c r="F69" s="374">
        <v>1.0179925227923842E-2</v>
      </c>
    </row>
    <row r="70" spans="2:6" ht="14.5" thickBot="1">
      <c r="B70" s="375" t="str">
        <v>Sharda Cropchem Ltd</v>
      </c>
      <c r="C70" s="376">
        <v>0.23204780892181254</v>
      </c>
      <c r="D70" s="376">
        <v>0.61144572140024178</v>
      </c>
      <c r="E70" s="376">
        <v>0.17650917592263726</v>
      </c>
      <c r="F70" s="377">
        <v>1.9337317410151045E-2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B951E-5458-48AC-87EA-FB7A8D9B6034}">
  <dimension ref="B2:BJ64"/>
  <sheetViews>
    <sheetView showGridLines="0" zoomScale="50" zoomScaleNormal="50" workbookViewId="0"/>
  </sheetViews>
  <sheetFormatPr defaultColWidth="9" defaultRowHeight="14"/>
  <cols>
    <col min="1" max="1" width="2.54296875" style="94" customWidth="1"/>
    <col min="2" max="2" width="10.54296875" style="94" bestFit="1" customWidth="1"/>
    <col min="3" max="3" width="22.81640625" style="94" bestFit="1" customWidth="1"/>
    <col min="4" max="4" width="11.81640625" style="94" bestFit="1" customWidth="1"/>
    <col min="5" max="5" width="13.453125" style="94" bestFit="1" customWidth="1"/>
    <col min="6" max="6" width="21.81640625" style="94" bestFit="1" customWidth="1"/>
    <col min="7" max="7" width="16.7265625" style="94" bestFit="1" customWidth="1"/>
    <col min="8" max="8" width="28.26953125" style="94" bestFit="1" customWidth="1"/>
    <col min="9" max="9" width="19" style="94" bestFit="1" customWidth="1"/>
    <col min="10" max="10" width="17.453125" style="94" bestFit="1" customWidth="1"/>
    <col min="11" max="11" width="24.26953125" style="94" bestFit="1" customWidth="1"/>
    <col min="12" max="12" width="15.7265625" style="94" bestFit="1" customWidth="1"/>
    <col min="13" max="13" width="34" style="94" bestFit="1" customWidth="1"/>
    <col min="14" max="14" width="27" style="94" bestFit="1" customWidth="1"/>
    <col min="15" max="15" width="21.81640625" style="94" bestFit="1" customWidth="1"/>
    <col min="16" max="16" width="30.26953125" style="94" bestFit="1" customWidth="1"/>
    <col min="17" max="17" width="29" style="94" bestFit="1" customWidth="1"/>
    <col min="18" max="18" width="20" style="94" bestFit="1" customWidth="1"/>
    <col min="19" max="19" width="29.26953125" style="94" bestFit="1" customWidth="1"/>
    <col min="20" max="20" width="11.453125" style="94" bestFit="1" customWidth="1"/>
    <col min="21" max="21" width="12.453125" style="94" bestFit="1" customWidth="1"/>
    <col min="22" max="22" width="25.81640625" style="94" bestFit="1" customWidth="1"/>
    <col min="23" max="23" width="27" style="94" bestFit="1" customWidth="1"/>
    <col min="24" max="24" width="32.26953125" style="94" bestFit="1" customWidth="1"/>
    <col min="25" max="25" width="13.7265625" style="94" bestFit="1" customWidth="1"/>
    <col min="26" max="26" width="41" style="94" bestFit="1" customWidth="1"/>
    <col min="27" max="27" width="22.7265625" style="94" bestFit="1" customWidth="1"/>
    <col min="28" max="28" width="21.453125" style="94" bestFit="1" customWidth="1"/>
    <col min="29" max="29" width="23" style="94" bestFit="1" customWidth="1"/>
    <col min="30" max="30" width="25" style="94" bestFit="1" customWidth="1"/>
    <col min="31" max="31" width="19.7265625" style="94" bestFit="1" customWidth="1"/>
    <col min="32" max="32" width="22.1796875" style="94" bestFit="1" customWidth="1"/>
    <col min="33" max="33" width="29.26953125" style="94" bestFit="1" customWidth="1"/>
    <col min="34" max="34" width="12.453125" style="94" bestFit="1" customWidth="1"/>
    <col min="35" max="35" width="13.453125" style="94" bestFit="1" customWidth="1"/>
    <col min="36" max="36" width="32.1796875" style="94" bestFit="1" customWidth="1"/>
    <col min="37" max="37" width="24.26953125" style="94" bestFit="1" customWidth="1"/>
    <col min="38" max="38" width="32.7265625" style="94" bestFit="1" customWidth="1"/>
    <col min="39" max="39" width="19.26953125" style="94" bestFit="1" customWidth="1"/>
    <col min="40" max="40" width="12.81640625" style="94" bestFit="1" customWidth="1"/>
    <col min="41" max="41" width="25.453125" style="94" bestFit="1" customWidth="1"/>
    <col min="42" max="42" width="35" style="94" bestFit="1" customWidth="1"/>
    <col min="43" max="43" width="19.81640625" style="94" bestFit="1" customWidth="1"/>
    <col min="44" max="44" width="11.453125" style="94" bestFit="1" customWidth="1"/>
    <col min="45" max="45" width="16.81640625" style="94" bestFit="1" customWidth="1"/>
    <col min="46" max="46" width="36.7265625" style="94" bestFit="1" customWidth="1"/>
    <col min="47" max="47" width="22" style="94" bestFit="1" customWidth="1"/>
    <col min="48" max="48" width="22.26953125" style="94" bestFit="1" customWidth="1"/>
    <col min="49" max="49" width="15.26953125" style="94" bestFit="1" customWidth="1"/>
    <col min="50" max="50" width="20.1796875" style="94" bestFit="1" customWidth="1"/>
    <col min="51" max="51" width="32.81640625" style="94" bestFit="1" customWidth="1"/>
    <col min="52" max="52" width="25.1796875" style="94" bestFit="1" customWidth="1"/>
    <col min="53" max="53" width="21.54296875" style="94" bestFit="1" customWidth="1"/>
    <col min="54" max="54" width="30.54296875" style="94" bestFit="1" customWidth="1"/>
    <col min="55" max="55" width="23.453125" style="94" bestFit="1" customWidth="1"/>
    <col min="56" max="56" width="26.54296875" style="94" bestFit="1" customWidth="1"/>
    <col min="57" max="57" width="15.1796875" style="94" bestFit="1" customWidth="1"/>
    <col min="58" max="58" width="28.26953125" style="94" bestFit="1" customWidth="1"/>
    <col min="59" max="59" width="11.453125" style="94" bestFit="1" customWidth="1"/>
    <col min="60" max="60" width="22.1796875" style="94" bestFit="1" customWidth="1"/>
    <col min="61" max="61" width="14.54296875" style="94" bestFit="1" customWidth="1"/>
    <col min="62" max="62" width="21.1796875" style="94" bestFit="1" customWidth="1"/>
    <col min="63" max="16384" width="9" style="94"/>
  </cols>
  <sheetData>
    <row r="2" spans="2:62">
      <c r="B2" s="93" t="s">
        <v>985</v>
      </c>
    </row>
    <row r="4" spans="2:62">
      <c r="B4" s="212" t="s">
        <v>982</v>
      </c>
      <c r="C4" s="212" t="s">
        <v>123</v>
      </c>
      <c r="D4" s="212" t="s">
        <v>124</v>
      </c>
      <c r="E4" s="212" t="s">
        <v>125</v>
      </c>
      <c r="F4" s="212" t="s">
        <v>126</v>
      </c>
      <c r="G4" s="212" t="s">
        <v>127</v>
      </c>
      <c r="H4" s="212" t="s">
        <v>128</v>
      </c>
      <c r="I4" s="212" t="s">
        <v>129</v>
      </c>
      <c r="J4" s="212" t="s">
        <v>130</v>
      </c>
      <c r="K4" s="212" t="s">
        <v>131</v>
      </c>
      <c r="L4" s="212" t="s">
        <v>132</v>
      </c>
      <c r="M4" s="212" t="s">
        <v>133</v>
      </c>
      <c r="N4" s="212" t="s">
        <v>134</v>
      </c>
      <c r="O4" s="212" t="s">
        <v>135</v>
      </c>
      <c r="P4" s="212" t="s">
        <v>136</v>
      </c>
      <c r="Q4" s="212" t="s">
        <v>137</v>
      </c>
      <c r="R4" s="212" t="s">
        <v>138</v>
      </c>
      <c r="S4" s="212" t="s">
        <v>139</v>
      </c>
      <c r="T4" s="212" t="s">
        <v>140</v>
      </c>
      <c r="U4" s="212" t="s">
        <v>141</v>
      </c>
      <c r="V4" s="212" t="s">
        <v>142</v>
      </c>
      <c r="W4" s="212" t="s">
        <v>143</v>
      </c>
      <c r="X4" s="212" t="s">
        <v>145</v>
      </c>
      <c r="Y4" s="212" t="s">
        <v>146</v>
      </c>
      <c r="Z4" s="212" t="s">
        <v>147</v>
      </c>
      <c r="AA4" s="212" t="s">
        <v>148</v>
      </c>
      <c r="AB4" s="212" t="s">
        <v>149</v>
      </c>
      <c r="AC4" s="212" t="s">
        <v>150</v>
      </c>
      <c r="AD4" s="212" t="s">
        <v>151</v>
      </c>
      <c r="AE4" s="212" t="s">
        <v>152</v>
      </c>
      <c r="AF4" s="212" t="s">
        <v>153</v>
      </c>
      <c r="AG4" s="212" t="s">
        <v>154</v>
      </c>
      <c r="AH4" s="212" t="s">
        <v>155</v>
      </c>
      <c r="AI4" s="212" t="s">
        <v>156</v>
      </c>
      <c r="AJ4" s="212" t="s">
        <v>157</v>
      </c>
      <c r="AK4" s="212" t="s">
        <v>158</v>
      </c>
      <c r="AL4" s="212" t="s">
        <v>159</v>
      </c>
      <c r="AM4" s="212" t="s">
        <v>161</v>
      </c>
      <c r="AN4" s="212" t="s">
        <v>162</v>
      </c>
      <c r="AO4" s="212" t="s">
        <v>163</v>
      </c>
      <c r="AP4" s="212" t="s">
        <v>164</v>
      </c>
      <c r="AQ4" s="212" t="s">
        <v>165</v>
      </c>
      <c r="AR4" s="212" t="s">
        <v>167</v>
      </c>
      <c r="AS4" s="212" t="s">
        <v>168</v>
      </c>
      <c r="AT4" s="212" t="s">
        <v>169</v>
      </c>
      <c r="AU4" s="212" t="s">
        <v>170</v>
      </c>
      <c r="AV4" s="212" t="s">
        <v>923</v>
      </c>
      <c r="AW4" s="212" t="s">
        <v>924</v>
      </c>
      <c r="AX4" s="212" t="s">
        <v>925</v>
      </c>
      <c r="AY4" s="212" t="s">
        <v>926</v>
      </c>
      <c r="AZ4" s="212" t="s">
        <v>927</v>
      </c>
      <c r="BA4" s="212" t="s">
        <v>928</v>
      </c>
      <c r="BB4" s="212" t="s">
        <v>929</v>
      </c>
      <c r="BC4" s="212" t="s">
        <v>930</v>
      </c>
      <c r="BD4" s="212" t="s">
        <v>931</v>
      </c>
      <c r="BE4" s="212" t="s">
        <v>932</v>
      </c>
      <c r="BF4" s="212" t="s">
        <v>933</v>
      </c>
      <c r="BG4" s="212" t="s">
        <v>934</v>
      </c>
      <c r="BH4" s="212" t="s">
        <v>935</v>
      </c>
      <c r="BI4" s="212" t="s">
        <v>936</v>
      </c>
      <c r="BJ4" s="212" t="s">
        <v>937</v>
      </c>
    </row>
    <row r="5" spans="2:62">
      <c r="B5" s="209">
        <v>43344</v>
      </c>
      <c r="C5" s="210">
        <v>810.54650900000001</v>
      </c>
      <c r="D5" s="210">
        <v>223.00495900000001</v>
      </c>
      <c r="E5" s="211">
        <v>7023.9809569999998</v>
      </c>
      <c r="F5" s="211">
        <v>283.42172199999999</v>
      </c>
      <c r="G5" s="211"/>
      <c r="H5" s="211">
        <v>1138.7947999999999</v>
      </c>
      <c r="I5" s="211">
        <v>967.848206</v>
      </c>
      <c r="J5" s="211">
        <v>610.30285600000002</v>
      </c>
      <c r="K5" s="211">
        <v>36.299999</v>
      </c>
      <c r="L5" s="211">
        <v>173.68507399999999</v>
      </c>
      <c r="M5" s="211">
        <v>591.629456</v>
      </c>
      <c r="N5" s="211">
        <v>2420.405029</v>
      </c>
      <c r="O5" s="211">
        <v>718.48425299999997</v>
      </c>
      <c r="P5" s="211"/>
      <c r="Q5" s="211">
        <v>174.22041300000001</v>
      </c>
      <c r="R5" s="211">
        <v>1162.783813</v>
      </c>
      <c r="S5" s="211"/>
      <c r="T5" s="211">
        <v>154.97998000000001</v>
      </c>
      <c r="U5" s="211">
        <v>68.302124000000006</v>
      </c>
      <c r="V5" s="211"/>
      <c r="W5" s="211">
        <v>40.849997999999999</v>
      </c>
      <c r="X5" s="211">
        <v>59.570048999999997</v>
      </c>
      <c r="Y5" s="211">
        <v>16.811674</v>
      </c>
      <c r="Z5" s="211">
        <v>63.662269999999999</v>
      </c>
      <c r="AA5" s="211">
        <v>26.1</v>
      </c>
      <c r="AB5" s="211">
        <v>16590.447265999999</v>
      </c>
      <c r="AC5" s="211">
        <v>196.663284</v>
      </c>
      <c r="AD5" s="211">
        <v>3976.138672</v>
      </c>
      <c r="AE5" s="211">
        <v>108.947006</v>
      </c>
      <c r="AF5" s="211">
        <v>120.249405</v>
      </c>
      <c r="AG5" s="211">
        <v>1960.178101</v>
      </c>
      <c r="AH5" s="211">
        <v>631.38073699999995</v>
      </c>
      <c r="AI5" s="211">
        <v>1079.612061</v>
      </c>
      <c r="AJ5" s="211"/>
      <c r="AK5" s="211"/>
      <c r="AL5" s="211">
        <v>422.795929</v>
      </c>
      <c r="AM5" s="211">
        <v>528.68493699999999</v>
      </c>
      <c r="AN5" s="211"/>
      <c r="AO5" s="211">
        <v>287.43667599999998</v>
      </c>
      <c r="AP5" s="211">
        <v>43.349997999999999</v>
      </c>
      <c r="AQ5" s="211">
        <v>134.629166</v>
      </c>
      <c r="AR5" s="211">
        <v>145.49949599999999</v>
      </c>
      <c r="AS5" s="211"/>
      <c r="AT5" s="211">
        <v>142.96665999999999</v>
      </c>
      <c r="AU5" s="211">
        <v>72.599997999999999</v>
      </c>
      <c r="AV5" s="211">
        <v>1482.6099850000001</v>
      </c>
      <c r="AW5" s="211">
        <v>8949.3291019999997</v>
      </c>
      <c r="AX5" s="211">
        <v>106.34101099999999</v>
      </c>
      <c r="AY5" s="211"/>
      <c r="AZ5" s="211">
        <v>352.57302900000002</v>
      </c>
      <c r="BA5" s="211">
        <v>23.139465000000001</v>
      </c>
      <c r="BB5" s="211">
        <v>20577.923827999999</v>
      </c>
      <c r="BC5" s="211"/>
      <c r="BD5" s="211"/>
      <c r="BE5" s="211"/>
      <c r="BF5" s="211"/>
      <c r="BG5" s="211">
        <v>416.18139600000001</v>
      </c>
      <c r="BH5" s="211">
        <v>3960.9938959999999</v>
      </c>
      <c r="BI5" s="211">
        <v>163.91587799999999</v>
      </c>
      <c r="BJ5" s="211">
        <v>308.64086900000001</v>
      </c>
    </row>
    <row r="6" spans="2:62">
      <c r="B6" s="209">
        <v>43374</v>
      </c>
      <c r="C6" s="210">
        <v>721.10827600000005</v>
      </c>
      <c r="D6" s="210">
        <v>178.543533</v>
      </c>
      <c r="E6" s="211">
        <v>6324.6840819999998</v>
      </c>
      <c r="F6" s="211">
        <v>272.075287</v>
      </c>
      <c r="G6" s="211"/>
      <c r="H6" s="211">
        <v>1116.4001459999999</v>
      </c>
      <c r="I6" s="211">
        <v>922.35168499999997</v>
      </c>
      <c r="J6" s="211">
        <v>579.601135</v>
      </c>
      <c r="K6" s="211">
        <v>34.599997999999999</v>
      </c>
      <c r="L6" s="211">
        <v>166.21000699999999</v>
      </c>
      <c r="M6" s="211">
        <v>552.47204599999998</v>
      </c>
      <c r="N6" s="211">
        <v>2431.6909179999998</v>
      </c>
      <c r="O6" s="211">
        <v>763.94146699999999</v>
      </c>
      <c r="P6" s="211"/>
      <c r="Q6" s="211">
        <v>193.49911499999999</v>
      </c>
      <c r="R6" s="211">
        <v>1186.0009769999999</v>
      </c>
      <c r="S6" s="211"/>
      <c r="T6" s="211">
        <v>157.71185299999999</v>
      </c>
      <c r="U6" s="211">
        <v>70.173423999999997</v>
      </c>
      <c r="V6" s="211"/>
      <c r="W6" s="211">
        <v>39.650002000000001</v>
      </c>
      <c r="X6" s="211">
        <v>69.249618999999996</v>
      </c>
      <c r="Y6" s="211">
        <v>18.319462000000001</v>
      </c>
      <c r="Z6" s="211">
        <v>62.758769999999998</v>
      </c>
      <c r="AA6" s="211">
        <v>30.200001</v>
      </c>
      <c r="AB6" s="211">
        <v>13668.700194999999</v>
      </c>
      <c r="AC6" s="211">
        <v>173.438446</v>
      </c>
      <c r="AD6" s="211">
        <v>3427.1604000000002</v>
      </c>
      <c r="AE6" s="211">
        <v>100.098778</v>
      </c>
      <c r="AF6" s="211">
        <v>112.193657</v>
      </c>
      <c r="AG6" s="211">
        <v>1739.7626949999999</v>
      </c>
      <c r="AH6" s="211">
        <v>593.63018799999998</v>
      </c>
      <c r="AI6" s="211">
        <v>966.56097399999999</v>
      </c>
      <c r="AJ6" s="211"/>
      <c r="AK6" s="211"/>
      <c r="AL6" s="211">
        <v>434.84545900000001</v>
      </c>
      <c r="AM6" s="211">
        <v>560.10046399999999</v>
      </c>
      <c r="AN6" s="211"/>
      <c r="AO6" s="211">
        <v>288.212311</v>
      </c>
      <c r="AP6" s="211">
        <v>41.299999</v>
      </c>
      <c r="AQ6" s="211">
        <v>126.66353599999999</v>
      </c>
      <c r="AR6" s="211">
        <v>159.21843000000001</v>
      </c>
      <c r="AS6" s="211"/>
      <c r="AT6" s="211">
        <v>143</v>
      </c>
      <c r="AU6" s="211">
        <v>69.25</v>
      </c>
      <c r="AV6" s="211">
        <v>1494.869629</v>
      </c>
      <c r="AW6" s="211">
        <v>9362.859375</v>
      </c>
      <c r="AX6" s="211">
        <v>117.394661</v>
      </c>
      <c r="AY6" s="211"/>
      <c r="AZ6" s="211">
        <v>303.56173699999999</v>
      </c>
      <c r="BA6" s="211">
        <v>26.813541000000001</v>
      </c>
      <c r="BB6" s="211">
        <v>19608.242188</v>
      </c>
      <c r="BC6" s="211"/>
      <c r="BD6" s="211"/>
      <c r="BE6" s="211"/>
      <c r="BF6" s="211"/>
      <c r="BG6" s="211">
        <v>422.47766100000001</v>
      </c>
      <c r="BH6" s="211">
        <v>3547.2993160000001</v>
      </c>
      <c r="BI6" s="211">
        <v>153.384232</v>
      </c>
      <c r="BJ6" s="211">
        <v>299.64407299999999</v>
      </c>
    </row>
    <row r="7" spans="2:62">
      <c r="B7" s="209">
        <v>43405</v>
      </c>
      <c r="C7" s="210">
        <v>744.59759499999996</v>
      </c>
      <c r="D7" s="210">
        <v>171.415741</v>
      </c>
      <c r="E7" s="211">
        <v>7323.8022460000002</v>
      </c>
      <c r="F7" s="211">
        <v>281.02801499999998</v>
      </c>
      <c r="G7" s="211"/>
      <c r="H7" s="211">
        <v>1230.917725</v>
      </c>
      <c r="I7" s="211">
        <v>1026.9018550000001</v>
      </c>
      <c r="J7" s="211">
        <v>622.74285899999995</v>
      </c>
      <c r="K7" s="211">
        <v>38.450001</v>
      </c>
      <c r="L7" s="211">
        <v>170.362808</v>
      </c>
      <c r="M7" s="211">
        <v>469.01806599999998</v>
      </c>
      <c r="N7" s="211">
        <v>2603.6103520000001</v>
      </c>
      <c r="O7" s="211">
        <v>782.42358400000001</v>
      </c>
      <c r="P7" s="211"/>
      <c r="Q7" s="211">
        <v>181.25514200000001</v>
      </c>
      <c r="R7" s="211">
        <v>1309.3999020000001</v>
      </c>
      <c r="S7" s="211"/>
      <c r="T7" s="211">
        <v>170.49157700000001</v>
      </c>
      <c r="U7" s="211">
        <v>81.401168999999996</v>
      </c>
      <c r="V7" s="211"/>
      <c r="W7" s="211">
        <v>46.75</v>
      </c>
      <c r="X7" s="211">
        <v>68.842536999999993</v>
      </c>
      <c r="Y7" s="211">
        <v>19.523206999999999</v>
      </c>
      <c r="Z7" s="211">
        <v>71.699378999999993</v>
      </c>
      <c r="AA7" s="211">
        <v>29.15</v>
      </c>
      <c r="AB7" s="211">
        <v>16192.784180000001</v>
      </c>
      <c r="AC7" s="211">
        <v>191.296921</v>
      </c>
      <c r="AD7" s="211">
        <v>3917.0834960000002</v>
      </c>
      <c r="AE7" s="211">
        <v>97.874358999999998</v>
      </c>
      <c r="AF7" s="211">
        <v>114.1754</v>
      </c>
      <c r="AG7" s="211">
        <v>1770.5032960000001</v>
      </c>
      <c r="AH7" s="211">
        <v>583.52734399999997</v>
      </c>
      <c r="AI7" s="211">
        <v>956.38122599999997</v>
      </c>
      <c r="AJ7" s="211"/>
      <c r="AK7" s="211"/>
      <c r="AL7" s="211">
        <v>470.99423200000001</v>
      </c>
      <c r="AM7" s="211">
        <v>509.14709499999998</v>
      </c>
      <c r="AN7" s="211"/>
      <c r="AO7" s="211">
        <v>266.918091</v>
      </c>
      <c r="AP7" s="211">
        <v>38.650002000000001</v>
      </c>
      <c r="AQ7" s="211">
        <v>141.85725400000001</v>
      </c>
      <c r="AR7" s="211">
        <v>191.77018699999999</v>
      </c>
      <c r="AS7" s="211"/>
      <c r="AT7" s="211">
        <v>134.66667200000001</v>
      </c>
      <c r="AU7" s="211">
        <v>68.050003000000004</v>
      </c>
      <c r="AV7" s="211">
        <v>1626.0501710000001</v>
      </c>
      <c r="AW7" s="211">
        <v>9932.1308590000008</v>
      </c>
      <c r="AX7" s="211">
        <v>111.623169</v>
      </c>
      <c r="AY7" s="211"/>
      <c r="AZ7" s="211">
        <v>307.581909</v>
      </c>
      <c r="BA7" s="211">
        <v>23.989547999999999</v>
      </c>
      <c r="BB7" s="211">
        <v>21938.181640999999</v>
      </c>
      <c r="BC7" s="211"/>
      <c r="BD7" s="211"/>
      <c r="BE7" s="211"/>
      <c r="BF7" s="211"/>
      <c r="BG7" s="211">
        <v>474.75878899999998</v>
      </c>
      <c r="BH7" s="211">
        <v>3910.2077640000002</v>
      </c>
      <c r="BI7" s="211">
        <v>145.64300499999999</v>
      </c>
      <c r="BJ7" s="211">
        <v>276.569366</v>
      </c>
    </row>
    <row r="8" spans="2:62">
      <c r="B8" s="209">
        <v>43435</v>
      </c>
      <c r="C8" s="210">
        <v>756.78936799999997</v>
      </c>
      <c r="D8" s="210">
        <v>172.163422</v>
      </c>
      <c r="E8" s="211">
        <v>7136.3476559999999</v>
      </c>
      <c r="F8" s="211">
        <v>288.64013699999998</v>
      </c>
      <c r="G8" s="211"/>
      <c r="H8" s="211">
        <v>1253.4125979999999</v>
      </c>
      <c r="I8" s="211">
        <v>1023.645203</v>
      </c>
      <c r="J8" s="211">
        <v>616.92089799999997</v>
      </c>
      <c r="K8" s="211">
        <v>43.349997999999999</v>
      </c>
      <c r="L8" s="211">
        <v>190.58943199999999</v>
      </c>
      <c r="M8" s="211">
        <v>409.89089999999999</v>
      </c>
      <c r="N8" s="211">
        <v>2502.5151369999999</v>
      </c>
      <c r="O8" s="211">
        <v>708.50079300000004</v>
      </c>
      <c r="P8" s="211"/>
      <c r="Q8" s="211">
        <v>170.346878</v>
      </c>
      <c r="R8" s="211">
        <v>1314.015991</v>
      </c>
      <c r="S8" s="211"/>
      <c r="T8" s="211">
        <v>169.96502699999999</v>
      </c>
      <c r="U8" s="211">
        <v>82.477158000000003</v>
      </c>
      <c r="V8" s="211"/>
      <c r="W8" s="211">
        <v>41.849997999999999</v>
      </c>
      <c r="X8" s="211">
        <v>69.475776999999994</v>
      </c>
      <c r="Y8" s="211">
        <v>19.560822000000002</v>
      </c>
      <c r="Z8" s="211">
        <v>68.035911999999996</v>
      </c>
      <c r="AA8" s="211">
        <v>28.65</v>
      </c>
      <c r="AB8" s="211">
        <v>16928.15625</v>
      </c>
      <c r="AC8" s="211">
        <v>198.02685500000001</v>
      </c>
      <c r="AD8" s="211">
        <v>3908.5627439999998</v>
      </c>
      <c r="AE8" s="211">
        <v>102.273758</v>
      </c>
      <c r="AF8" s="211">
        <v>122.1474</v>
      </c>
      <c r="AG8" s="211">
        <v>1702.858643</v>
      </c>
      <c r="AH8" s="211">
        <v>576.09613000000002</v>
      </c>
      <c r="AI8" s="211">
        <v>952.97241199999996</v>
      </c>
      <c r="AJ8" s="211"/>
      <c r="AK8" s="211"/>
      <c r="AL8" s="211">
        <v>459.28207400000002</v>
      </c>
      <c r="AM8" s="211">
        <v>525.23840299999995</v>
      </c>
      <c r="AN8" s="211"/>
      <c r="AO8" s="211">
        <v>262.96951300000001</v>
      </c>
      <c r="AP8" s="211">
        <v>40.799999</v>
      </c>
      <c r="AQ8" s="211">
        <v>145.25003100000001</v>
      </c>
      <c r="AR8" s="211">
        <v>194.67132599999999</v>
      </c>
      <c r="AS8" s="211"/>
      <c r="AT8" s="211">
        <v>141.300003</v>
      </c>
      <c r="AU8" s="211">
        <v>73.599997999999999</v>
      </c>
      <c r="AV8" s="211">
        <v>1686.911255</v>
      </c>
      <c r="AW8" s="211">
        <v>10227.376953000001</v>
      </c>
      <c r="AX8" s="211">
        <v>112.896919</v>
      </c>
      <c r="AY8" s="211"/>
      <c r="AZ8" s="211">
        <v>315.75036599999999</v>
      </c>
      <c r="BA8" s="211">
        <v>25.343910000000001</v>
      </c>
      <c r="BB8" s="211">
        <v>21757.460938</v>
      </c>
      <c r="BC8" s="211"/>
      <c r="BD8" s="211"/>
      <c r="BE8" s="211"/>
      <c r="BF8" s="211"/>
      <c r="BG8" s="211">
        <v>475.04064899999997</v>
      </c>
      <c r="BH8" s="211">
        <v>3836.6899410000001</v>
      </c>
      <c r="BI8" s="211">
        <v>160.810394</v>
      </c>
      <c r="BJ8" s="211">
        <v>281.790344</v>
      </c>
    </row>
    <row r="9" spans="2:62">
      <c r="B9" s="209">
        <v>43466</v>
      </c>
      <c r="C9" s="210">
        <v>640.237122</v>
      </c>
      <c r="D9" s="210">
        <v>180.63700900000001</v>
      </c>
      <c r="E9" s="211">
        <v>6348.3427730000003</v>
      </c>
      <c r="F9" s="211">
        <v>234.54104599999999</v>
      </c>
      <c r="G9" s="211"/>
      <c r="H9" s="211">
        <v>1252.664307</v>
      </c>
      <c r="I9" s="211">
        <v>1003.502197</v>
      </c>
      <c r="J9" s="211">
        <v>719.22686799999997</v>
      </c>
      <c r="K9" s="211">
        <v>45.200001</v>
      </c>
      <c r="L9" s="211">
        <v>186.632034</v>
      </c>
      <c r="M9" s="211">
        <v>403.178406</v>
      </c>
      <c r="N9" s="211">
        <v>2602.27124</v>
      </c>
      <c r="O9" s="211">
        <v>761.52105700000004</v>
      </c>
      <c r="P9" s="211"/>
      <c r="Q9" s="211">
        <v>180.80990600000001</v>
      </c>
      <c r="R9" s="211">
        <v>1201.357544</v>
      </c>
      <c r="S9" s="211"/>
      <c r="T9" s="211">
        <v>157.80758700000001</v>
      </c>
      <c r="U9" s="211">
        <v>74.430610999999999</v>
      </c>
      <c r="V9" s="211"/>
      <c r="W9" s="211">
        <v>35.599997999999999</v>
      </c>
      <c r="X9" s="211">
        <v>64.500304999999997</v>
      </c>
      <c r="Y9" s="211">
        <v>18.808482999999999</v>
      </c>
      <c r="Z9" s="211">
        <v>64.459678999999994</v>
      </c>
      <c r="AA9" s="211">
        <v>26.5</v>
      </c>
      <c r="AB9" s="211">
        <v>15433.9375</v>
      </c>
      <c r="AC9" s="211">
        <v>184.654968</v>
      </c>
      <c r="AD9" s="211">
        <v>3446.6987300000001</v>
      </c>
      <c r="AE9" s="211">
        <v>91.448265000000006</v>
      </c>
      <c r="AF9" s="211">
        <v>107.86985</v>
      </c>
      <c r="AG9" s="211">
        <v>1811.7467039999999</v>
      </c>
      <c r="AH9" s="211">
        <v>655.30444299999999</v>
      </c>
      <c r="AI9" s="211">
        <v>816.246399</v>
      </c>
      <c r="AJ9" s="211"/>
      <c r="AK9" s="211"/>
      <c r="AL9" s="211">
        <v>366.50024400000001</v>
      </c>
      <c r="AM9" s="211">
        <v>458.130585</v>
      </c>
      <c r="AN9" s="211"/>
      <c r="AO9" s="211">
        <v>248.05650299999999</v>
      </c>
      <c r="AP9" s="211">
        <v>36.549999</v>
      </c>
      <c r="AQ9" s="211">
        <v>139.69375600000001</v>
      </c>
      <c r="AR9" s="211">
        <v>198.506744</v>
      </c>
      <c r="AS9" s="211"/>
      <c r="AT9" s="211">
        <v>137.199997</v>
      </c>
      <c r="AU9" s="211">
        <v>69.900002000000001</v>
      </c>
      <c r="AV9" s="211">
        <v>1634.6256100000001</v>
      </c>
      <c r="AW9" s="211">
        <v>10658.542969</v>
      </c>
      <c r="AX9" s="211">
        <v>118.12148999999999</v>
      </c>
      <c r="AY9" s="211"/>
      <c r="AZ9" s="211">
        <v>302.87744099999998</v>
      </c>
      <c r="BA9" s="211">
        <v>24.104816</v>
      </c>
      <c r="BB9" s="211">
        <v>21159.757813</v>
      </c>
      <c r="BC9" s="211"/>
      <c r="BD9" s="211"/>
      <c r="BE9" s="211"/>
      <c r="BF9" s="211"/>
      <c r="BG9" s="211">
        <v>492.73922700000003</v>
      </c>
      <c r="BH9" s="211">
        <v>3980.5900879999999</v>
      </c>
      <c r="BI9" s="211">
        <v>144.33779899999999</v>
      </c>
      <c r="BJ9" s="211">
        <v>294.46972699999998</v>
      </c>
    </row>
    <row r="10" spans="2:62">
      <c r="B10" s="209">
        <v>43497</v>
      </c>
      <c r="C10" s="210">
        <v>608.086365</v>
      </c>
      <c r="D10" s="210">
        <v>176.898651</v>
      </c>
      <c r="E10" s="211">
        <v>6528.580078</v>
      </c>
      <c r="F10" s="211">
        <v>252.781555</v>
      </c>
      <c r="G10" s="211"/>
      <c r="H10" s="211">
        <v>1210.119019</v>
      </c>
      <c r="I10" s="211">
        <v>1002.344421</v>
      </c>
      <c r="J10" s="211">
        <v>706.14007600000002</v>
      </c>
      <c r="K10" s="211">
        <v>44.75</v>
      </c>
      <c r="L10" s="211">
        <v>179.25470000000001</v>
      </c>
      <c r="M10" s="211">
        <v>423.83960000000002</v>
      </c>
      <c r="N10" s="211">
        <v>2517.0048830000001</v>
      </c>
      <c r="O10" s="211">
        <v>688.29791299999999</v>
      </c>
      <c r="P10" s="211"/>
      <c r="Q10" s="211">
        <v>170.92569</v>
      </c>
      <c r="R10" s="211">
        <v>1181.8420410000001</v>
      </c>
      <c r="S10" s="211"/>
      <c r="T10" s="211">
        <v>157.66400100000001</v>
      </c>
      <c r="U10" s="211">
        <v>80.091262999999998</v>
      </c>
      <c r="V10" s="211"/>
      <c r="W10" s="211">
        <v>33.049999</v>
      </c>
      <c r="X10" s="211">
        <v>59.208195000000003</v>
      </c>
      <c r="Y10" s="211">
        <v>17.266188</v>
      </c>
      <c r="Z10" s="211">
        <v>61.581223000000001</v>
      </c>
      <c r="AA10" s="211">
        <v>10.75</v>
      </c>
      <c r="AB10" s="211">
        <v>16323.460938</v>
      </c>
      <c r="AC10" s="211">
        <v>186.54638700000001</v>
      </c>
      <c r="AD10" s="211">
        <v>3747.508057</v>
      </c>
      <c r="AE10" s="211">
        <v>96.984589</v>
      </c>
      <c r="AF10" s="211">
        <v>111.067657</v>
      </c>
      <c r="AG10" s="211">
        <v>1788.000366</v>
      </c>
      <c r="AH10" s="211">
        <v>645.50103799999999</v>
      </c>
      <c r="AI10" s="211">
        <v>826.37951699999996</v>
      </c>
      <c r="AJ10" s="211"/>
      <c r="AK10" s="211"/>
      <c r="AL10" s="211">
        <v>449.88336199999998</v>
      </c>
      <c r="AM10" s="211">
        <v>525.67053199999998</v>
      </c>
      <c r="AN10" s="211"/>
      <c r="AO10" s="211">
        <v>221.68553199999999</v>
      </c>
      <c r="AP10" s="211">
        <v>31.950001</v>
      </c>
      <c r="AQ10" s="211">
        <v>136.39930699999999</v>
      </c>
      <c r="AR10" s="211">
        <v>182.47673</v>
      </c>
      <c r="AS10" s="211"/>
      <c r="AT10" s="211">
        <v>134.199997</v>
      </c>
      <c r="AU10" s="211">
        <v>76.050003000000004</v>
      </c>
      <c r="AV10" s="211">
        <v>1606.2576899999999</v>
      </c>
      <c r="AW10" s="211">
        <v>9863.0810550000006</v>
      </c>
      <c r="AX10" s="211">
        <v>116.45193500000001</v>
      </c>
      <c r="AY10" s="211"/>
      <c r="AZ10" s="211">
        <v>310.55746499999998</v>
      </c>
      <c r="BA10" s="211">
        <v>23.773427999999999</v>
      </c>
      <c r="BB10" s="211">
        <v>21369.707031000002</v>
      </c>
      <c r="BC10" s="211"/>
      <c r="BD10" s="211"/>
      <c r="BE10" s="211"/>
      <c r="BF10" s="211"/>
      <c r="BG10" s="211">
        <v>549.81298800000002</v>
      </c>
      <c r="BH10" s="211">
        <v>3951.8098140000002</v>
      </c>
      <c r="BI10" s="211">
        <v>135.65141299999999</v>
      </c>
      <c r="BJ10" s="211">
        <v>335.72439600000001</v>
      </c>
    </row>
    <row r="11" spans="2:62">
      <c r="B11" s="209">
        <v>43525</v>
      </c>
      <c r="C11" s="210">
        <v>634.44720500000005</v>
      </c>
      <c r="D11" s="210">
        <v>173.70860300000001</v>
      </c>
      <c r="E11" s="211">
        <v>6378.3583980000003</v>
      </c>
      <c r="F11" s="211">
        <v>287.01236</v>
      </c>
      <c r="G11" s="211"/>
      <c r="H11" s="211">
        <v>1331.220947</v>
      </c>
      <c r="I11" s="211">
        <v>1118.787231</v>
      </c>
      <c r="J11" s="211">
        <v>773.514771</v>
      </c>
      <c r="K11" s="211">
        <v>55.5</v>
      </c>
      <c r="L11" s="211">
        <v>200.16532900000001</v>
      </c>
      <c r="M11" s="211">
        <v>455.92630000000003</v>
      </c>
      <c r="N11" s="211">
        <v>2659.1313479999999</v>
      </c>
      <c r="O11" s="211">
        <v>759.35723900000005</v>
      </c>
      <c r="P11" s="211"/>
      <c r="Q11" s="211">
        <v>173.28543099999999</v>
      </c>
      <c r="R11" s="211">
        <v>1266.2558590000001</v>
      </c>
      <c r="S11" s="211"/>
      <c r="T11" s="211">
        <v>193.80131499999999</v>
      </c>
      <c r="U11" s="211">
        <v>105.587608</v>
      </c>
      <c r="V11" s="211"/>
      <c r="W11" s="211">
        <v>37.150002000000001</v>
      </c>
      <c r="X11" s="211">
        <v>66.761878999999993</v>
      </c>
      <c r="Y11" s="211">
        <v>19.15419</v>
      </c>
      <c r="Z11" s="211">
        <v>62.017353</v>
      </c>
      <c r="AA11" s="211">
        <v>11.35</v>
      </c>
      <c r="AB11" s="211">
        <v>18364.636718999998</v>
      </c>
      <c r="AC11" s="211">
        <v>208.472702</v>
      </c>
      <c r="AD11" s="211">
        <v>3915.810547</v>
      </c>
      <c r="AE11" s="211">
        <v>97.330612000000002</v>
      </c>
      <c r="AF11" s="211">
        <v>129.669006</v>
      </c>
      <c r="AG11" s="211">
        <v>1804.406982</v>
      </c>
      <c r="AH11" s="211">
        <v>653.896118</v>
      </c>
      <c r="AI11" s="211">
        <v>899.45874000000003</v>
      </c>
      <c r="AJ11" s="211"/>
      <c r="AK11" s="211"/>
      <c r="AL11" s="211">
        <v>429.44726600000001</v>
      </c>
      <c r="AM11" s="211">
        <v>545.17919900000004</v>
      </c>
      <c r="AN11" s="211"/>
      <c r="AO11" s="211">
        <v>224.047607</v>
      </c>
      <c r="AP11" s="211">
        <v>35.5</v>
      </c>
      <c r="AQ11" s="211">
        <v>152.33059700000001</v>
      </c>
      <c r="AR11" s="211">
        <v>202.53881799999999</v>
      </c>
      <c r="AS11" s="211">
        <v>337.54998799999998</v>
      </c>
      <c r="AT11" s="211">
        <v>159.633331</v>
      </c>
      <c r="AU11" s="211">
        <v>80.650002000000001</v>
      </c>
      <c r="AV11" s="211">
        <v>1582.293457</v>
      </c>
      <c r="AW11" s="211">
        <v>10160.835938</v>
      </c>
      <c r="AX11" s="211">
        <v>124.734978</v>
      </c>
      <c r="AY11" s="211"/>
      <c r="AZ11" s="211">
        <v>274.16751099999999</v>
      </c>
      <c r="BA11" s="211">
        <v>26.970268000000001</v>
      </c>
      <c r="BB11" s="211">
        <v>22089.822265999999</v>
      </c>
      <c r="BC11" s="211"/>
      <c r="BD11" s="211"/>
      <c r="BE11" s="211"/>
      <c r="BF11" s="211"/>
      <c r="BG11" s="211">
        <v>600.71582000000001</v>
      </c>
      <c r="BH11" s="211">
        <v>4003.6860350000002</v>
      </c>
      <c r="BI11" s="211">
        <v>147.53327899999999</v>
      </c>
      <c r="BJ11" s="211">
        <v>347.06030299999998</v>
      </c>
    </row>
    <row r="12" spans="2:62">
      <c r="B12" s="209">
        <v>43556</v>
      </c>
      <c r="C12" s="210">
        <v>607.52142300000003</v>
      </c>
      <c r="D12" s="210">
        <v>213.63417100000001</v>
      </c>
      <c r="E12" s="211">
        <v>6372.4804690000001</v>
      </c>
      <c r="F12" s="211">
        <v>273.703033</v>
      </c>
      <c r="G12" s="211"/>
      <c r="H12" s="211">
        <v>1383.142822</v>
      </c>
      <c r="I12" s="211">
        <v>1118.087769</v>
      </c>
      <c r="J12" s="211">
        <v>763.16467299999999</v>
      </c>
      <c r="K12" s="211">
        <v>49.950001</v>
      </c>
      <c r="L12" s="211">
        <v>198.16220100000001</v>
      </c>
      <c r="M12" s="211">
        <v>435.74117999999999</v>
      </c>
      <c r="N12" s="211">
        <v>2805.944336</v>
      </c>
      <c r="O12" s="211">
        <v>793.05267300000003</v>
      </c>
      <c r="P12" s="211"/>
      <c r="Q12" s="211">
        <v>170.97020000000001</v>
      </c>
      <c r="R12" s="211">
        <v>1232.6641850000001</v>
      </c>
      <c r="S12" s="211"/>
      <c r="T12" s="211">
        <v>165.37008700000001</v>
      </c>
      <c r="U12" s="211">
        <v>92.816047999999995</v>
      </c>
      <c r="V12" s="211"/>
      <c r="W12" s="211">
        <v>40.049999</v>
      </c>
      <c r="X12" s="211">
        <v>61.334091000000001</v>
      </c>
      <c r="Y12" s="211">
        <v>18.107299999999999</v>
      </c>
      <c r="Z12" s="211">
        <v>60.447296000000001</v>
      </c>
      <c r="AA12" s="211">
        <v>6.05</v>
      </c>
      <c r="AB12" s="211">
        <v>19468.271484000001</v>
      </c>
      <c r="AC12" s="211">
        <v>195.36009200000001</v>
      </c>
      <c r="AD12" s="211">
        <v>4521.4931640000004</v>
      </c>
      <c r="AE12" s="211">
        <v>103.558983</v>
      </c>
      <c r="AF12" s="211">
        <v>129.03848300000001</v>
      </c>
      <c r="AG12" s="211">
        <v>2037.61499</v>
      </c>
      <c r="AH12" s="211">
        <v>660.48913600000003</v>
      </c>
      <c r="AI12" s="211">
        <v>868.91961700000002</v>
      </c>
      <c r="AJ12" s="211"/>
      <c r="AK12" s="211"/>
      <c r="AL12" s="211">
        <v>417.01211499999999</v>
      </c>
      <c r="AM12" s="211">
        <v>500.45126299999998</v>
      </c>
      <c r="AN12" s="211"/>
      <c r="AO12" s="211">
        <v>216.85552999999999</v>
      </c>
      <c r="AP12" s="211">
        <v>33.200001</v>
      </c>
      <c r="AQ12" s="211">
        <v>151.78973400000001</v>
      </c>
      <c r="AR12" s="211">
        <v>185.722061</v>
      </c>
      <c r="AS12" s="211">
        <v>321.95001200000002</v>
      </c>
      <c r="AT12" s="211">
        <v>157.03334000000001</v>
      </c>
      <c r="AU12" s="211">
        <v>75</v>
      </c>
      <c r="AV12" s="211">
        <v>1629.480225</v>
      </c>
      <c r="AW12" s="211">
        <v>10109.245117</v>
      </c>
      <c r="AX12" s="211">
        <v>126.044724</v>
      </c>
      <c r="AY12" s="211"/>
      <c r="AZ12" s="211">
        <v>291.43060300000002</v>
      </c>
      <c r="BA12" s="211">
        <v>25.976579999999998</v>
      </c>
      <c r="BB12" s="211">
        <v>23788.921875</v>
      </c>
      <c r="BC12" s="211"/>
      <c r="BD12" s="211"/>
      <c r="BE12" s="211"/>
      <c r="BF12" s="211"/>
      <c r="BG12" s="211">
        <v>607.16876200000002</v>
      </c>
      <c r="BH12" s="211">
        <v>3738.9841310000002</v>
      </c>
      <c r="BI12" s="211">
        <v>133.131012</v>
      </c>
      <c r="BJ12" s="211">
        <v>339.55526700000001</v>
      </c>
    </row>
    <row r="13" spans="2:62">
      <c r="B13" s="209">
        <v>43586</v>
      </c>
      <c r="C13" s="210">
        <v>609.169128</v>
      </c>
      <c r="D13" s="210">
        <v>172.06373600000001</v>
      </c>
      <c r="E13" s="211">
        <v>6566.9599609999996</v>
      </c>
      <c r="F13" s="211">
        <v>306.49761999999998</v>
      </c>
      <c r="G13" s="211"/>
      <c r="H13" s="211">
        <v>1518.409668</v>
      </c>
      <c r="I13" s="211">
        <v>1170.14563</v>
      </c>
      <c r="J13" s="211">
        <v>804.415527</v>
      </c>
      <c r="K13" s="211">
        <v>45.400002000000001</v>
      </c>
      <c r="L13" s="211">
        <v>207.151794</v>
      </c>
      <c r="M13" s="211">
        <v>390.22943099999998</v>
      </c>
      <c r="N13" s="211">
        <v>2561.670654</v>
      </c>
      <c r="O13" s="211">
        <v>651.05749500000002</v>
      </c>
      <c r="P13" s="211"/>
      <c r="Q13" s="211">
        <v>169.58998099999999</v>
      </c>
      <c r="R13" s="211">
        <v>1423.7041019999999</v>
      </c>
      <c r="S13" s="211"/>
      <c r="T13" s="211">
        <v>183.031891</v>
      </c>
      <c r="U13" s="211">
        <v>91.459366000000003</v>
      </c>
      <c r="V13" s="211"/>
      <c r="W13" s="211">
        <v>43.299999</v>
      </c>
      <c r="X13" s="211">
        <v>62.238715999999997</v>
      </c>
      <c r="Y13" s="211">
        <v>19.425599999999999</v>
      </c>
      <c r="Z13" s="211">
        <v>66.683914000000001</v>
      </c>
      <c r="AA13" s="211">
        <v>7.45</v>
      </c>
      <c r="AB13" s="211">
        <v>21267.832031000002</v>
      </c>
      <c r="AC13" s="211">
        <v>204.30853300000001</v>
      </c>
      <c r="AD13" s="211">
        <v>4661.8359380000002</v>
      </c>
      <c r="AE13" s="211">
        <v>119.278198</v>
      </c>
      <c r="AF13" s="211">
        <v>137.82118199999999</v>
      </c>
      <c r="AG13" s="211">
        <v>1980.1011960000001</v>
      </c>
      <c r="AH13" s="211">
        <v>648.53381300000001</v>
      </c>
      <c r="AI13" s="211">
        <v>814.00500499999998</v>
      </c>
      <c r="AJ13" s="211"/>
      <c r="AK13" s="211"/>
      <c r="AL13" s="211">
        <v>344.57000699999998</v>
      </c>
      <c r="AM13" s="211">
        <v>478.57690400000001</v>
      </c>
      <c r="AN13" s="211"/>
      <c r="AO13" s="211">
        <v>204.41040000000001</v>
      </c>
      <c r="AP13" s="211">
        <v>31.799999</v>
      </c>
      <c r="AQ13" s="211">
        <v>154.543274</v>
      </c>
      <c r="AR13" s="211">
        <v>181.54245</v>
      </c>
      <c r="AS13" s="211">
        <v>349.14999399999999</v>
      </c>
      <c r="AT13" s="211">
        <v>151.39999399999999</v>
      </c>
      <c r="AU13" s="211">
        <v>75.150002000000001</v>
      </c>
      <c r="AV13" s="211">
        <v>1658.033447</v>
      </c>
      <c r="AW13" s="211">
        <v>10683.116211</v>
      </c>
      <c r="AX13" s="211">
        <v>134.28460699999999</v>
      </c>
      <c r="AY13" s="211"/>
      <c r="AZ13" s="211">
        <v>301.37124599999999</v>
      </c>
      <c r="BA13" s="211">
        <v>33.279240000000001</v>
      </c>
      <c r="BB13" s="211">
        <v>25455.921875</v>
      </c>
      <c r="BC13" s="211"/>
      <c r="BD13" s="211"/>
      <c r="BE13" s="211"/>
      <c r="BF13" s="211"/>
      <c r="BG13" s="211">
        <v>625.83831799999996</v>
      </c>
      <c r="BH13" s="211">
        <v>3485.0107419999999</v>
      </c>
      <c r="BI13" s="211">
        <v>136.37153599999999</v>
      </c>
      <c r="BJ13" s="211">
        <v>331.53430200000003</v>
      </c>
    </row>
    <row r="14" spans="2:62">
      <c r="B14" s="209">
        <v>43617</v>
      </c>
      <c r="C14" s="210">
        <v>616.98315400000001</v>
      </c>
      <c r="D14" s="210">
        <v>162.04495199999999</v>
      </c>
      <c r="E14" s="211">
        <v>6246.5385740000002</v>
      </c>
      <c r="F14" s="211">
        <v>307.93386800000002</v>
      </c>
      <c r="G14" s="211"/>
      <c r="H14" s="211">
        <v>1473.4704589999999</v>
      </c>
      <c r="I14" s="211">
        <v>1179.0230710000001</v>
      </c>
      <c r="J14" s="211">
        <v>804.66430700000001</v>
      </c>
      <c r="K14" s="211">
        <v>43.25</v>
      </c>
      <c r="L14" s="211">
        <v>213.063446</v>
      </c>
      <c r="M14" s="211">
        <v>381.75555400000002</v>
      </c>
      <c r="N14" s="211">
        <v>2439.342529</v>
      </c>
      <c r="O14" s="211">
        <v>588.75</v>
      </c>
      <c r="P14" s="211"/>
      <c r="Q14" s="211">
        <v>151.647018</v>
      </c>
      <c r="R14" s="211">
        <v>1419.727539</v>
      </c>
      <c r="S14" s="211"/>
      <c r="T14" s="211">
        <v>180.49511699999999</v>
      </c>
      <c r="U14" s="211">
        <v>91.178673000000003</v>
      </c>
      <c r="V14" s="211"/>
      <c r="W14" s="211">
        <v>44.400002000000001</v>
      </c>
      <c r="X14" s="211">
        <v>62.419643000000001</v>
      </c>
      <c r="Y14" s="211">
        <v>19.231732999999998</v>
      </c>
      <c r="Z14" s="211">
        <v>64.241607999999999</v>
      </c>
      <c r="AA14" s="211">
        <v>4.1500000000000004</v>
      </c>
      <c r="AB14" s="211">
        <v>21466.599609000001</v>
      </c>
      <c r="AC14" s="211">
        <v>188.582291</v>
      </c>
      <c r="AD14" s="211">
        <v>4461.8017579999996</v>
      </c>
      <c r="AE14" s="211">
        <v>120.81057</v>
      </c>
      <c r="AF14" s="211">
        <v>120.03053300000001</v>
      </c>
      <c r="AG14" s="211">
        <v>2007.731323</v>
      </c>
      <c r="AH14" s="211">
        <v>643.47912599999995</v>
      </c>
      <c r="AI14" s="211">
        <v>826.42627000000005</v>
      </c>
      <c r="AJ14" s="211"/>
      <c r="AK14" s="211"/>
      <c r="AL14" s="211">
        <v>326.44741800000003</v>
      </c>
      <c r="AM14" s="211">
        <v>440.01361100000003</v>
      </c>
      <c r="AN14" s="211"/>
      <c r="AO14" s="211">
        <v>198.48748800000001</v>
      </c>
      <c r="AP14" s="211">
        <v>27.200001</v>
      </c>
      <c r="AQ14" s="211">
        <v>154.93663000000001</v>
      </c>
      <c r="AR14" s="211">
        <v>179.919769</v>
      </c>
      <c r="AS14" s="211">
        <v>317.95001200000002</v>
      </c>
      <c r="AT14" s="211">
        <v>154.866669</v>
      </c>
      <c r="AU14" s="211">
        <v>66.849997999999999</v>
      </c>
      <c r="AV14" s="211">
        <v>1657.1990969999999</v>
      </c>
      <c r="AW14" s="211">
        <v>11118.055664</v>
      </c>
      <c r="AX14" s="211">
        <v>136.270782</v>
      </c>
      <c r="AY14" s="211"/>
      <c r="AZ14" s="211">
        <v>292.761932</v>
      </c>
      <c r="BA14" s="211">
        <v>33.532592999999999</v>
      </c>
      <c r="BB14" s="211">
        <v>24654.494140999999</v>
      </c>
      <c r="BC14" s="211"/>
      <c r="BD14" s="211"/>
      <c r="BE14" s="211"/>
      <c r="BF14" s="211"/>
      <c r="BG14" s="211">
        <v>591.93127400000003</v>
      </c>
      <c r="BH14" s="211">
        <v>3159.2929690000001</v>
      </c>
      <c r="BI14" s="211">
        <v>131.15069600000001</v>
      </c>
      <c r="BJ14" s="211">
        <v>294.99423200000001</v>
      </c>
    </row>
    <row r="15" spans="2:62">
      <c r="B15" s="209">
        <v>43647</v>
      </c>
      <c r="C15" s="210">
        <v>517.80078100000003</v>
      </c>
      <c r="D15" s="210">
        <v>135.178696</v>
      </c>
      <c r="E15" s="211">
        <v>5228.5419920000004</v>
      </c>
      <c r="F15" s="211">
        <v>295.72564699999998</v>
      </c>
      <c r="G15" s="211"/>
      <c r="H15" s="211">
        <v>1515.816284</v>
      </c>
      <c r="I15" s="211">
        <v>1093.093384</v>
      </c>
      <c r="J15" s="211">
        <v>670.86047399999995</v>
      </c>
      <c r="K15" s="211">
        <v>41.950001</v>
      </c>
      <c r="L15" s="211">
        <v>189.27029400000001</v>
      </c>
      <c r="M15" s="211">
        <v>406.32043499999997</v>
      </c>
      <c r="N15" s="211">
        <v>2462.4404300000001</v>
      </c>
      <c r="O15" s="211">
        <v>553.11810300000002</v>
      </c>
      <c r="P15" s="211"/>
      <c r="Q15" s="211">
        <v>149.42085299999999</v>
      </c>
      <c r="R15" s="211">
        <v>1268.0842290000001</v>
      </c>
      <c r="S15" s="211"/>
      <c r="T15" s="211">
        <v>170.539413</v>
      </c>
      <c r="U15" s="211">
        <v>68.442490000000006</v>
      </c>
      <c r="V15" s="211"/>
      <c r="W15" s="211">
        <v>46.799999</v>
      </c>
      <c r="X15" s="211">
        <v>56.947429999999997</v>
      </c>
      <c r="Y15" s="211">
        <v>17.176731</v>
      </c>
      <c r="Z15" s="211">
        <v>60.185616000000003</v>
      </c>
      <c r="AA15" s="211">
        <v>3.55</v>
      </c>
      <c r="AB15" s="211">
        <v>19836.941406000002</v>
      </c>
      <c r="AC15" s="211">
        <v>178.88073700000001</v>
      </c>
      <c r="AD15" s="211">
        <v>4257.1650390000004</v>
      </c>
      <c r="AE15" s="211">
        <v>100.74138600000001</v>
      </c>
      <c r="AF15" s="211">
        <v>96.294678000000005</v>
      </c>
      <c r="AG15" s="211">
        <v>2004.440552</v>
      </c>
      <c r="AH15" s="211">
        <v>707.52929700000004</v>
      </c>
      <c r="AI15" s="211">
        <v>594.76715100000001</v>
      </c>
      <c r="AJ15" s="211"/>
      <c r="AK15" s="211"/>
      <c r="AL15" s="211">
        <v>348.57043499999997</v>
      </c>
      <c r="AM15" s="211">
        <v>411.82101399999999</v>
      </c>
      <c r="AN15" s="211"/>
      <c r="AO15" s="211">
        <v>190.23773199999999</v>
      </c>
      <c r="AP15" s="211">
        <v>21.25</v>
      </c>
      <c r="AQ15" s="211">
        <v>141.380753</v>
      </c>
      <c r="AR15" s="211">
        <v>162.90631099999999</v>
      </c>
      <c r="AS15" s="211">
        <v>320.14999399999999</v>
      </c>
      <c r="AT15" s="211">
        <v>150.800003</v>
      </c>
      <c r="AU15" s="211">
        <v>59.799999</v>
      </c>
      <c r="AV15" s="211">
        <v>1612.2645259999999</v>
      </c>
      <c r="AW15" s="211">
        <v>10897.143555000001</v>
      </c>
      <c r="AX15" s="211">
        <v>137.933167</v>
      </c>
      <c r="AY15" s="211"/>
      <c r="AZ15" s="211">
        <v>230.499527</v>
      </c>
      <c r="BA15" s="211">
        <v>30.611537999999999</v>
      </c>
      <c r="BB15" s="211">
        <v>22902.576172000001</v>
      </c>
      <c r="BC15" s="211"/>
      <c r="BD15" s="211"/>
      <c r="BE15" s="211"/>
      <c r="BF15" s="211"/>
      <c r="BG15" s="211">
        <v>563.78539999999998</v>
      </c>
      <c r="BH15" s="211">
        <v>2789.8820799999999</v>
      </c>
      <c r="BI15" s="211">
        <v>148.60449199999999</v>
      </c>
      <c r="BJ15" s="211">
        <v>248.60380599999999</v>
      </c>
    </row>
    <row r="16" spans="2:62">
      <c r="B16" s="209">
        <v>43678</v>
      </c>
      <c r="C16" s="210">
        <v>504.78533900000002</v>
      </c>
      <c r="D16" s="210">
        <v>116.33741000000001</v>
      </c>
      <c r="E16" s="211">
        <v>5853.7548829999996</v>
      </c>
      <c r="F16" s="211">
        <v>236.45030199999999</v>
      </c>
      <c r="G16" s="211"/>
      <c r="H16" s="211">
        <v>1428.7022710000001</v>
      </c>
      <c r="I16" s="211">
        <v>1081.588013</v>
      </c>
      <c r="J16" s="211">
        <v>661.53002900000001</v>
      </c>
      <c r="K16" s="211">
        <v>43.549999</v>
      </c>
      <c r="L16" s="211">
        <v>198.40649400000001</v>
      </c>
      <c r="M16" s="211">
        <v>428.838257</v>
      </c>
      <c r="N16" s="211">
        <v>2464.8393550000001</v>
      </c>
      <c r="O16" s="211">
        <v>581.63330099999996</v>
      </c>
      <c r="P16" s="211"/>
      <c r="Q16" s="211">
        <v>161.39016699999999</v>
      </c>
      <c r="R16" s="211">
        <v>1229.8139650000001</v>
      </c>
      <c r="S16" s="211"/>
      <c r="T16" s="211">
        <v>162.774719</v>
      </c>
      <c r="U16" s="211">
        <v>51.366942999999999</v>
      </c>
      <c r="V16" s="211"/>
      <c r="W16" s="211">
        <v>46.400002000000001</v>
      </c>
      <c r="X16" s="211">
        <v>53.373528</v>
      </c>
      <c r="Y16" s="211">
        <v>18.029752999999999</v>
      </c>
      <c r="Z16" s="211">
        <v>59.313361999999998</v>
      </c>
      <c r="AA16" s="211">
        <v>3.25</v>
      </c>
      <c r="AB16" s="211">
        <v>18303.150390999999</v>
      </c>
      <c r="AC16" s="211">
        <v>179.27943400000001</v>
      </c>
      <c r="AD16" s="211">
        <v>3978.7685550000001</v>
      </c>
      <c r="AE16" s="211">
        <v>95.106194000000002</v>
      </c>
      <c r="AF16" s="211">
        <v>96.519874999999999</v>
      </c>
      <c r="AG16" s="211">
        <v>2058.21875</v>
      </c>
      <c r="AH16" s="211">
        <v>726.473389</v>
      </c>
      <c r="AI16" s="211">
        <v>609.16430700000001</v>
      </c>
      <c r="AJ16" s="211"/>
      <c r="AK16" s="211"/>
      <c r="AL16" s="211">
        <v>363.28164700000002</v>
      </c>
      <c r="AM16" s="211">
        <v>382.10330199999999</v>
      </c>
      <c r="AN16" s="211"/>
      <c r="AO16" s="211">
        <v>214.070358</v>
      </c>
      <c r="AP16" s="211">
        <v>22.65</v>
      </c>
      <c r="AQ16" s="211">
        <v>137.138351</v>
      </c>
      <c r="AR16" s="211">
        <v>158.23498499999999</v>
      </c>
      <c r="AS16" s="211">
        <v>293.10000600000001</v>
      </c>
      <c r="AT16" s="211">
        <v>144.39999399999999</v>
      </c>
      <c r="AU16" s="211">
        <v>54</v>
      </c>
      <c r="AV16" s="211">
        <v>1757.2294919999999</v>
      </c>
      <c r="AW16" s="211">
        <v>12016.455078000001</v>
      </c>
      <c r="AX16" s="211">
        <v>139.51994300000001</v>
      </c>
      <c r="AY16" s="211"/>
      <c r="AZ16" s="211">
        <v>224.81913800000001</v>
      </c>
      <c r="BA16" s="211">
        <v>30.671143000000001</v>
      </c>
      <c r="BB16" s="211">
        <v>24554.34375</v>
      </c>
      <c r="BC16" s="211"/>
      <c r="BD16" s="211"/>
      <c r="BE16" s="211"/>
      <c r="BF16" s="211"/>
      <c r="BG16" s="211">
        <v>533.42950399999995</v>
      </c>
      <c r="BH16" s="211">
        <v>2864.7145999999998</v>
      </c>
      <c r="BI16" s="211">
        <v>146.13552899999999</v>
      </c>
      <c r="BJ16" s="211">
        <v>258.82937600000002</v>
      </c>
    </row>
    <row r="17" spans="2:62">
      <c r="B17" s="209">
        <v>43709</v>
      </c>
      <c r="C17" s="210">
        <v>522.30200200000002</v>
      </c>
      <c r="D17" s="210">
        <v>117.085075</v>
      </c>
      <c r="E17" s="211">
        <v>6509.2456050000001</v>
      </c>
      <c r="F17" s="211">
        <v>263.918701</v>
      </c>
      <c r="G17" s="211">
        <v>1091.0314940000001</v>
      </c>
      <c r="H17" s="211">
        <v>1641.293457</v>
      </c>
      <c r="I17" s="211">
        <v>1194.41626</v>
      </c>
      <c r="J17" s="211">
        <v>682.55468800000006</v>
      </c>
      <c r="K17" s="211">
        <v>40.200001</v>
      </c>
      <c r="L17" s="211">
        <v>214.18963600000001</v>
      </c>
      <c r="M17" s="211">
        <v>373.21536300000002</v>
      </c>
      <c r="N17" s="211">
        <v>2604.344971</v>
      </c>
      <c r="O17" s="211">
        <v>570.30462599999998</v>
      </c>
      <c r="P17" s="211"/>
      <c r="Q17" s="211">
        <v>168.41725199999999</v>
      </c>
      <c r="R17" s="211">
        <v>1364.993774</v>
      </c>
      <c r="S17" s="211"/>
      <c r="T17" s="211">
        <v>150.62591599999999</v>
      </c>
      <c r="U17" s="211">
        <v>52.585602000000002</v>
      </c>
      <c r="V17" s="211"/>
      <c r="W17" s="211">
        <v>58.25</v>
      </c>
      <c r="X17" s="211">
        <v>58.781413999999998</v>
      </c>
      <c r="Y17" s="211">
        <v>17.293050999999998</v>
      </c>
      <c r="Z17" s="211">
        <v>62.347946</v>
      </c>
      <c r="AA17" s="211">
        <v>2.2000000000000002</v>
      </c>
      <c r="AB17" s="211">
        <v>18612.921875</v>
      </c>
      <c r="AC17" s="211">
        <v>180.696991</v>
      </c>
      <c r="AD17" s="211">
        <v>4262.5278319999998</v>
      </c>
      <c r="AE17" s="211">
        <v>93.128928999999999</v>
      </c>
      <c r="AF17" s="211">
        <v>96.204589999999996</v>
      </c>
      <c r="AG17" s="211">
        <v>1912.2048339999999</v>
      </c>
      <c r="AH17" s="211">
        <v>718.22717299999999</v>
      </c>
      <c r="AI17" s="211">
        <v>652.52124000000003</v>
      </c>
      <c r="AJ17" s="211"/>
      <c r="AK17" s="211"/>
      <c r="AL17" s="211">
        <v>258.51318400000002</v>
      </c>
      <c r="AM17" s="211">
        <v>414.28894000000003</v>
      </c>
      <c r="AN17" s="211"/>
      <c r="AO17" s="211">
        <v>219.217636</v>
      </c>
      <c r="AP17" s="211">
        <v>21.299999</v>
      </c>
      <c r="AQ17" s="211">
        <v>157.65976000000001</v>
      </c>
      <c r="AR17" s="211">
        <v>181.89108300000001</v>
      </c>
      <c r="AS17" s="211">
        <v>315.85000600000001</v>
      </c>
      <c r="AT17" s="211">
        <v>158.39999399999999</v>
      </c>
      <c r="AU17" s="211">
        <v>57.049999</v>
      </c>
      <c r="AV17" s="211">
        <v>1850.6513669999999</v>
      </c>
      <c r="AW17" s="211">
        <v>13163.357421999999</v>
      </c>
      <c r="AX17" s="211">
        <v>135.798126</v>
      </c>
      <c r="AY17" s="211"/>
      <c r="AZ17" s="211">
        <v>218.02928199999999</v>
      </c>
      <c r="BA17" s="211">
        <v>32.851460000000003</v>
      </c>
      <c r="BB17" s="211">
        <v>28422.193359000001</v>
      </c>
      <c r="BC17" s="211"/>
      <c r="BD17" s="211"/>
      <c r="BE17" s="211"/>
      <c r="BF17" s="211"/>
      <c r="BG17" s="211">
        <v>572.02551300000005</v>
      </c>
      <c r="BH17" s="211">
        <v>3063.6884770000001</v>
      </c>
      <c r="BI17" s="211">
        <v>164.95567299999999</v>
      </c>
      <c r="BJ17" s="211">
        <v>284.879547</v>
      </c>
    </row>
    <row r="18" spans="2:62">
      <c r="B18" s="209">
        <v>43739</v>
      </c>
      <c r="C18" s="210">
        <v>578.908997</v>
      </c>
      <c r="D18" s="210">
        <v>177.14788799999999</v>
      </c>
      <c r="E18" s="211">
        <v>7326.8999020000001</v>
      </c>
      <c r="F18" s="211">
        <v>261.74636800000002</v>
      </c>
      <c r="G18" s="211">
        <v>1076.8114009999999</v>
      </c>
      <c r="H18" s="211">
        <v>1571.4776609999999</v>
      </c>
      <c r="I18" s="211">
        <v>1197.2382809999999</v>
      </c>
      <c r="J18" s="211">
        <v>733.72137499999997</v>
      </c>
      <c r="K18" s="211">
        <v>44.650002000000001</v>
      </c>
      <c r="L18" s="211">
        <v>207.57733200000001</v>
      </c>
      <c r="M18" s="211">
        <v>415.33322099999998</v>
      </c>
      <c r="N18" s="211">
        <v>2682.3618160000001</v>
      </c>
      <c r="O18" s="211">
        <v>454.93661500000002</v>
      </c>
      <c r="P18" s="211"/>
      <c r="Q18" s="211">
        <v>175.53741500000001</v>
      </c>
      <c r="R18" s="211">
        <v>1363.8829350000001</v>
      </c>
      <c r="S18" s="211"/>
      <c r="T18" s="211">
        <v>177.44042999999999</v>
      </c>
      <c r="U18" s="211">
        <v>55.212494</v>
      </c>
      <c r="V18" s="211"/>
      <c r="W18" s="211">
        <v>89.699996999999996</v>
      </c>
      <c r="X18" s="211">
        <v>55.771801000000004</v>
      </c>
      <c r="Y18" s="211">
        <v>18.803991</v>
      </c>
      <c r="Z18" s="211">
        <v>65.392639000000003</v>
      </c>
      <c r="AA18" s="211">
        <v>3.35</v>
      </c>
      <c r="AB18" s="211">
        <v>19613.029297000001</v>
      </c>
      <c r="AC18" s="211">
        <v>179.23512299999999</v>
      </c>
      <c r="AD18" s="211">
        <v>4068.0690920000002</v>
      </c>
      <c r="AE18" s="211">
        <v>95.303925000000007</v>
      </c>
      <c r="AF18" s="211">
        <v>84.067490000000006</v>
      </c>
      <c r="AG18" s="211">
        <v>2067.3728030000002</v>
      </c>
      <c r="AH18" s="211">
        <v>611.203979</v>
      </c>
      <c r="AI18" s="211">
        <v>789.04730199999995</v>
      </c>
      <c r="AJ18" s="211"/>
      <c r="AK18" s="211"/>
      <c r="AL18" s="211">
        <v>253.74215699999999</v>
      </c>
      <c r="AM18" s="211">
        <v>462.18594400000001</v>
      </c>
      <c r="AN18" s="211"/>
      <c r="AO18" s="211">
        <v>228.88829000000001</v>
      </c>
      <c r="AP18" s="211">
        <v>23.65</v>
      </c>
      <c r="AQ18" s="211">
        <v>149.96423300000001</v>
      </c>
      <c r="AR18" s="211">
        <v>166.67132599999999</v>
      </c>
      <c r="AS18" s="211">
        <v>325.5</v>
      </c>
      <c r="AT18" s="211">
        <v>144.23333700000001</v>
      </c>
      <c r="AU18" s="211">
        <v>61.099997999999999</v>
      </c>
      <c r="AV18" s="211">
        <v>2031.2387699999999</v>
      </c>
      <c r="AW18" s="211">
        <v>14165.416992</v>
      </c>
      <c r="AX18" s="211">
        <v>134.93866</v>
      </c>
      <c r="AY18" s="211"/>
      <c r="AZ18" s="211">
        <v>223.13278199999999</v>
      </c>
      <c r="BA18" s="211">
        <v>35.839328999999999</v>
      </c>
      <c r="BB18" s="211">
        <v>27832.642577999999</v>
      </c>
      <c r="BC18" s="211"/>
      <c r="BD18" s="211"/>
      <c r="BE18" s="211"/>
      <c r="BF18" s="211"/>
      <c r="BG18" s="211">
        <v>564.92199700000003</v>
      </c>
      <c r="BH18" s="211">
        <v>3285.5170899999998</v>
      </c>
      <c r="BI18" s="211">
        <v>156.47726399999999</v>
      </c>
      <c r="BJ18" s="211">
        <v>261.87948599999999</v>
      </c>
    </row>
    <row r="19" spans="2:62">
      <c r="B19" s="209">
        <v>43770</v>
      </c>
      <c r="C19" s="210">
        <v>506.455872</v>
      </c>
      <c r="D19" s="210">
        <v>160.99821499999999</v>
      </c>
      <c r="E19" s="211">
        <v>7022.9936520000001</v>
      </c>
      <c r="F19" s="211">
        <v>272.125427</v>
      </c>
      <c r="G19" s="211">
        <v>1028.5988769999999</v>
      </c>
      <c r="H19" s="211">
        <v>1612.0996090000001</v>
      </c>
      <c r="I19" s="211">
        <v>1240.637939</v>
      </c>
      <c r="J19" s="211">
        <v>736.41168200000004</v>
      </c>
      <c r="K19" s="211">
        <v>46.849997999999999</v>
      </c>
      <c r="L19" s="211">
        <v>220.21421799999999</v>
      </c>
      <c r="M19" s="211">
        <v>431.097534</v>
      </c>
      <c r="N19" s="211">
        <v>2808.2785640000002</v>
      </c>
      <c r="O19" s="211">
        <v>435.61978099999999</v>
      </c>
      <c r="P19" s="211"/>
      <c r="Q19" s="211">
        <v>152.82736199999999</v>
      </c>
      <c r="R19" s="211">
        <v>1231.943481</v>
      </c>
      <c r="S19" s="211"/>
      <c r="T19" s="211">
        <v>212.676804</v>
      </c>
      <c r="U19" s="211">
        <v>56.788631000000002</v>
      </c>
      <c r="V19" s="211"/>
      <c r="W19" s="211">
        <v>137.10000600000001</v>
      </c>
      <c r="X19" s="211">
        <v>53.937823999999999</v>
      </c>
      <c r="Y19" s="211">
        <v>19.044041</v>
      </c>
      <c r="Z19" s="211">
        <v>61.848080000000003</v>
      </c>
      <c r="AA19" s="211">
        <v>3.65</v>
      </c>
      <c r="AB19" s="211">
        <v>20690.597656000002</v>
      </c>
      <c r="AC19" s="211">
        <v>181.317184</v>
      </c>
      <c r="AD19" s="211">
        <v>4181.8671880000002</v>
      </c>
      <c r="AE19" s="211">
        <v>91.052811000000005</v>
      </c>
      <c r="AF19" s="211">
        <v>80.384360999999998</v>
      </c>
      <c r="AG19" s="211">
        <v>1907.545044</v>
      </c>
      <c r="AH19" s="211">
        <v>635.21978799999999</v>
      </c>
      <c r="AI19" s="211">
        <v>777.48547399999995</v>
      </c>
      <c r="AJ19" s="211"/>
      <c r="AK19" s="211"/>
      <c r="AL19" s="211">
        <v>285.33819599999998</v>
      </c>
      <c r="AM19" s="211">
        <v>423.316193</v>
      </c>
      <c r="AN19" s="211"/>
      <c r="AO19" s="211">
        <v>213.63816800000001</v>
      </c>
      <c r="AP19" s="211">
        <v>29.049999</v>
      </c>
      <c r="AQ19" s="211">
        <v>147.39904799999999</v>
      </c>
      <c r="AR19" s="211">
        <v>159.708023</v>
      </c>
      <c r="AS19" s="211">
        <v>354.95001200000002</v>
      </c>
      <c r="AT19" s="211">
        <v>142.66667200000001</v>
      </c>
      <c r="AU19" s="211">
        <v>63.049999</v>
      </c>
      <c r="AV19" s="211">
        <v>1910.344971</v>
      </c>
      <c r="AW19" s="211">
        <v>13698.151367</v>
      </c>
      <c r="AX19" s="211">
        <v>157.361313</v>
      </c>
      <c r="AY19" s="211"/>
      <c r="AZ19" s="211">
        <v>218.42871099999999</v>
      </c>
      <c r="BA19" s="211">
        <v>31.274101000000002</v>
      </c>
      <c r="BB19" s="211">
        <v>27521.486327999999</v>
      </c>
      <c r="BC19" s="211"/>
      <c r="BD19" s="211"/>
      <c r="BE19" s="211"/>
      <c r="BF19" s="211"/>
      <c r="BG19" s="211">
        <v>542.94830300000001</v>
      </c>
      <c r="BH19" s="211">
        <v>3397.459961</v>
      </c>
      <c r="BI19" s="211">
        <v>172.54890399999999</v>
      </c>
      <c r="BJ19" s="211">
        <v>199.63294999999999</v>
      </c>
    </row>
    <row r="20" spans="2:62">
      <c r="B20" s="209">
        <v>43800</v>
      </c>
      <c r="C20" s="210">
        <v>507.41039999999998</v>
      </c>
      <c r="D20" s="210">
        <v>184.574738</v>
      </c>
      <c r="E20" s="211">
        <v>7141.96875</v>
      </c>
      <c r="F20" s="211">
        <v>291.62847900000003</v>
      </c>
      <c r="G20" s="211">
        <v>1063.9613039999999</v>
      </c>
      <c r="H20" s="211">
        <v>1681.1168210000001</v>
      </c>
      <c r="I20" s="211">
        <v>1237.8645019999999</v>
      </c>
      <c r="J20" s="211">
        <v>751.40801999999996</v>
      </c>
      <c r="K20" s="211">
        <v>45.150002000000001</v>
      </c>
      <c r="L20" s="211">
        <v>229.177536</v>
      </c>
      <c r="M20" s="211">
        <v>414.51867700000003</v>
      </c>
      <c r="N20" s="211">
        <v>2770.4023440000001</v>
      </c>
      <c r="O20" s="211">
        <v>443.59582499999999</v>
      </c>
      <c r="P20" s="211"/>
      <c r="Q20" s="211">
        <v>148.87171900000001</v>
      </c>
      <c r="R20" s="211">
        <v>1201.9907229999999</v>
      </c>
      <c r="S20" s="211"/>
      <c r="T20" s="211">
        <v>223.51876799999999</v>
      </c>
      <c r="U20" s="211">
        <v>53.493073000000003</v>
      </c>
      <c r="V20" s="211"/>
      <c r="W20" s="211">
        <v>166.449997</v>
      </c>
      <c r="X20" s="211">
        <v>53.138396999999998</v>
      </c>
      <c r="Y20" s="211">
        <v>19.164068</v>
      </c>
      <c r="Z20" s="211">
        <v>65.438086999999996</v>
      </c>
      <c r="AA20" s="211">
        <v>3.5</v>
      </c>
      <c r="AB20" s="211">
        <v>20067.216797000001</v>
      </c>
      <c r="AC20" s="211">
        <v>173.87489299999999</v>
      </c>
      <c r="AD20" s="211">
        <v>3972.6809079999998</v>
      </c>
      <c r="AE20" s="211">
        <v>87.592606000000004</v>
      </c>
      <c r="AF20" s="211">
        <v>79.233383000000003</v>
      </c>
      <c r="AG20" s="211">
        <v>2008.299072</v>
      </c>
      <c r="AH20" s="211">
        <v>666.964966</v>
      </c>
      <c r="AI20" s="211">
        <v>795.79168700000002</v>
      </c>
      <c r="AJ20" s="211"/>
      <c r="AK20" s="211"/>
      <c r="AL20" s="211">
        <v>284.51058999999998</v>
      </c>
      <c r="AM20" s="211">
        <v>389.16027800000001</v>
      </c>
      <c r="AN20" s="211"/>
      <c r="AO20" s="211">
        <v>183.56913800000001</v>
      </c>
      <c r="AP20" s="211">
        <v>24.15</v>
      </c>
      <c r="AQ20" s="211">
        <v>143.057999</v>
      </c>
      <c r="AR20" s="211">
        <v>141.90188599999999</v>
      </c>
      <c r="AS20" s="211">
        <v>348.95001200000002</v>
      </c>
      <c r="AT20" s="211">
        <v>151.53334000000001</v>
      </c>
      <c r="AU20" s="211">
        <v>64</v>
      </c>
      <c r="AV20" s="211">
        <v>1804.939697</v>
      </c>
      <c r="AW20" s="211">
        <v>14012.220703000001</v>
      </c>
      <c r="AX20" s="211">
        <v>154.18452500000001</v>
      </c>
      <c r="AY20" s="211"/>
      <c r="AZ20" s="211">
        <v>209.55308500000001</v>
      </c>
      <c r="BA20" s="211">
        <v>30.348921000000001</v>
      </c>
      <c r="BB20" s="211">
        <v>27071.875</v>
      </c>
      <c r="BC20" s="211"/>
      <c r="BD20" s="211"/>
      <c r="BE20" s="211"/>
      <c r="BF20" s="211"/>
      <c r="BG20" s="211">
        <v>553.60357699999997</v>
      </c>
      <c r="BH20" s="211">
        <v>3257.085693</v>
      </c>
      <c r="BI20" s="211">
        <v>156.71021999999999</v>
      </c>
      <c r="BJ20" s="211">
        <v>203.269485</v>
      </c>
    </row>
    <row r="21" spans="2:62">
      <c r="B21" s="209">
        <v>43831</v>
      </c>
      <c r="C21" s="210">
        <v>541.39373799999998</v>
      </c>
      <c r="D21" s="210">
        <v>176.05131499999999</v>
      </c>
      <c r="E21" s="211">
        <v>6700.8657229999999</v>
      </c>
      <c r="F21" s="211">
        <v>326.67602499999998</v>
      </c>
      <c r="G21" s="211">
        <v>1236.2117920000001</v>
      </c>
      <c r="H21" s="211">
        <v>1688.502686</v>
      </c>
      <c r="I21" s="211">
        <v>1193.297241</v>
      </c>
      <c r="J21" s="211">
        <v>726.69653300000004</v>
      </c>
      <c r="K21" s="211">
        <v>40.700001</v>
      </c>
      <c r="L21" s="211">
        <v>226.53260800000001</v>
      </c>
      <c r="M21" s="211">
        <v>416.19570900000002</v>
      </c>
      <c r="N21" s="211">
        <v>3001.6584469999998</v>
      </c>
      <c r="O21" s="211">
        <v>467.43356299999999</v>
      </c>
      <c r="P21" s="211"/>
      <c r="Q21" s="211">
        <v>153.24620100000001</v>
      </c>
      <c r="R21" s="211">
        <v>1267.8217770000001</v>
      </c>
      <c r="S21" s="211"/>
      <c r="T21" s="211">
        <v>252.12417600000001</v>
      </c>
      <c r="U21" s="211">
        <v>52.299033999999999</v>
      </c>
      <c r="V21" s="211"/>
      <c r="W21" s="211">
        <v>189.449997</v>
      </c>
      <c r="X21" s="211">
        <v>54.6432</v>
      </c>
      <c r="Y21" s="211">
        <v>19.604161999999999</v>
      </c>
      <c r="Z21" s="211">
        <v>72.663535999999993</v>
      </c>
      <c r="AA21" s="211">
        <v>1.75</v>
      </c>
      <c r="AB21" s="211">
        <v>22671.654297000001</v>
      </c>
      <c r="AC21" s="211">
        <v>181.18429599999999</v>
      </c>
      <c r="AD21" s="211">
        <v>4336.0209960000002</v>
      </c>
      <c r="AE21" s="211">
        <v>82.402298000000002</v>
      </c>
      <c r="AF21" s="211">
        <v>81.581374999999994</v>
      </c>
      <c r="AG21" s="211">
        <v>1931.5141599999999</v>
      </c>
      <c r="AH21" s="211">
        <v>707.83203100000003</v>
      </c>
      <c r="AI21" s="211">
        <v>914.541382</v>
      </c>
      <c r="AJ21" s="211"/>
      <c r="AK21" s="211"/>
      <c r="AL21" s="211">
        <v>262.067139</v>
      </c>
      <c r="AM21" s="211">
        <v>418.00814800000001</v>
      </c>
      <c r="AN21" s="211"/>
      <c r="AO21" s="211">
        <v>185.849976</v>
      </c>
      <c r="AP21" s="211">
        <v>26.549999</v>
      </c>
      <c r="AQ21" s="211">
        <v>140.39413500000001</v>
      </c>
      <c r="AR21" s="211">
        <v>139.36528000000001</v>
      </c>
      <c r="AS21" s="211">
        <v>329.89999399999999</v>
      </c>
      <c r="AT21" s="211">
        <v>159.66667200000001</v>
      </c>
      <c r="AU21" s="211">
        <v>55</v>
      </c>
      <c r="AV21" s="211">
        <v>1909.3596190000001</v>
      </c>
      <c r="AW21" s="211">
        <v>14612.770508</v>
      </c>
      <c r="AX21" s="211">
        <v>166.913544</v>
      </c>
      <c r="AY21" s="211"/>
      <c r="AZ21" s="211">
        <v>198.94674699999999</v>
      </c>
      <c r="BA21" s="211">
        <v>27.497548999999999</v>
      </c>
      <c r="BB21" s="211">
        <v>27752.957031000002</v>
      </c>
      <c r="BC21" s="211"/>
      <c r="BD21" s="211"/>
      <c r="BE21" s="211"/>
      <c r="BF21" s="211"/>
      <c r="BG21" s="211">
        <v>498.71682700000002</v>
      </c>
      <c r="BH21" s="211">
        <v>3775.7072750000002</v>
      </c>
      <c r="BI21" s="211">
        <v>219.366333</v>
      </c>
      <c r="BJ21" s="211">
        <v>220.08268699999999</v>
      </c>
    </row>
    <row r="22" spans="2:62">
      <c r="B22" s="209">
        <v>43862</v>
      </c>
      <c r="C22" s="210">
        <v>436.29373199999998</v>
      </c>
      <c r="D22" s="210">
        <v>128.54934700000001</v>
      </c>
      <c r="E22" s="211">
        <v>6089.8544920000004</v>
      </c>
      <c r="F22" s="211">
        <v>299.40078699999998</v>
      </c>
      <c r="G22" s="211">
        <v>1049.3945309999999</v>
      </c>
      <c r="H22" s="211">
        <v>1617.239624</v>
      </c>
      <c r="I22" s="211">
        <v>1145.956543</v>
      </c>
      <c r="J22" s="211">
        <v>694.81079099999999</v>
      </c>
      <c r="K22" s="211">
        <v>36.799999</v>
      </c>
      <c r="L22" s="211">
        <v>210.85900899999999</v>
      </c>
      <c r="M22" s="211">
        <v>357.35522500000002</v>
      </c>
      <c r="N22" s="211">
        <v>2821.0483399999998</v>
      </c>
      <c r="O22" s="211">
        <v>490.83438100000001</v>
      </c>
      <c r="P22" s="211"/>
      <c r="Q22" s="211">
        <v>124.25367</v>
      </c>
      <c r="R22" s="211">
        <v>1099.5410159999999</v>
      </c>
      <c r="S22" s="211"/>
      <c r="T22" s="211">
        <v>195.252228</v>
      </c>
      <c r="U22" s="211">
        <v>34.006309999999999</v>
      </c>
      <c r="V22" s="211"/>
      <c r="W22" s="211">
        <v>154.949997</v>
      </c>
      <c r="X22" s="211">
        <v>43.921470999999997</v>
      </c>
      <c r="Y22" s="211">
        <v>16.483499999999999</v>
      </c>
      <c r="Z22" s="211">
        <v>59.803139000000002</v>
      </c>
      <c r="AA22" s="211">
        <v>1.75</v>
      </c>
      <c r="AB22" s="211">
        <v>22340.597656000002</v>
      </c>
      <c r="AC22" s="211">
        <v>181.67160000000001</v>
      </c>
      <c r="AD22" s="211">
        <v>4143.0839839999999</v>
      </c>
      <c r="AE22" s="211">
        <v>85.467049000000003</v>
      </c>
      <c r="AF22" s="211">
        <v>72.189384000000004</v>
      </c>
      <c r="AG22" s="211">
        <v>1862.4327390000001</v>
      </c>
      <c r="AH22" s="211">
        <v>667.46661400000005</v>
      </c>
      <c r="AI22" s="211">
        <v>850.51769999999999</v>
      </c>
      <c r="AJ22" s="211"/>
      <c r="AK22" s="211"/>
      <c r="AL22" s="211">
        <v>233.002655</v>
      </c>
      <c r="AM22" s="211">
        <v>365.99389600000001</v>
      </c>
      <c r="AN22" s="211"/>
      <c r="AO22" s="211">
        <v>163.99198899999999</v>
      </c>
      <c r="AP22" s="211">
        <v>27.200001</v>
      </c>
      <c r="AQ22" s="211">
        <v>133.191925</v>
      </c>
      <c r="AR22" s="211">
        <v>128.64305100000001</v>
      </c>
      <c r="AS22" s="211">
        <v>328.5</v>
      </c>
      <c r="AT22" s="211">
        <v>141.89999399999999</v>
      </c>
      <c r="AU22" s="211">
        <v>51.599997999999999</v>
      </c>
      <c r="AV22" s="211">
        <v>2041.2335210000001</v>
      </c>
      <c r="AW22" s="211">
        <v>15011.78125</v>
      </c>
      <c r="AX22" s="211">
        <v>176.92269899999999</v>
      </c>
      <c r="AY22" s="211"/>
      <c r="AZ22" s="211">
        <v>170.677933</v>
      </c>
      <c r="BA22" s="211">
        <v>22.431809999999999</v>
      </c>
      <c r="BB22" s="211">
        <v>32783.566405999998</v>
      </c>
      <c r="BC22" s="211"/>
      <c r="BD22" s="211"/>
      <c r="BE22" s="211"/>
      <c r="BF22" s="211">
        <v>253.87223800000001</v>
      </c>
      <c r="BG22" s="211">
        <v>492.22891199999998</v>
      </c>
      <c r="BH22" s="211">
        <v>4006.0375979999999</v>
      </c>
      <c r="BI22" s="211">
        <v>208.65188599999999</v>
      </c>
      <c r="BJ22" s="211">
        <v>198.47851600000001</v>
      </c>
    </row>
    <row r="23" spans="2:62">
      <c r="B23" s="209">
        <v>43891</v>
      </c>
      <c r="C23" s="210">
        <v>272.00939899999997</v>
      </c>
      <c r="D23" s="210">
        <v>70.829246999999995</v>
      </c>
      <c r="E23" s="211">
        <v>4156.4067379999997</v>
      </c>
      <c r="F23" s="211">
        <v>180.88107299999999</v>
      </c>
      <c r="G23" s="211">
        <v>719.65637200000003</v>
      </c>
      <c r="H23" s="211">
        <v>1293.5622559999999</v>
      </c>
      <c r="I23" s="211">
        <v>838.70416299999999</v>
      </c>
      <c r="J23" s="211">
        <v>377.647064</v>
      </c>
      <c r="K23" s="211">
        <v>21.1</v>
      </c>
      <c r="L23" s="211">
        <v>126.41744199999999</v>
      </c>
      <c r="M23" s="211">
        <v>340.051331</v>
      </c>
      <c r="N23" s="211">
        <v>3007.681885</v>
      </c>
      <c r="O23" s="211">
        <v>402.53320300000001</v>
      </c>
      <c r="P23" s="211"/>
      <c r="Q23" s="211">
        <v>145.05571</v>
      </c>
      <c r="R23" s="211">
        <v>748.58227499999998</v>
      </c>
      <c r="S23" s="211"/>
      <c r="T23" s="211">
        <v>133.742401</v>
      </c>
      <c r="U23" s="211">
        <v>17.910627000000002</v>
      </c>
      <c r="V23" s="211"/>
      <c r="W23" s="211">
        <v>153.25</v>
      </c>
      <c r="X23" s="211">
        <v>30.895508</v>
      </c>
      <c r="Y23" s="211">
        <v>16.809227</v>
      </c>
      <c r="Z23" s="211">
        <v>45.352226000000002</v>
      </c>
      <c r="AA23" s="211">
        <v>1.25</v>
      </c>
      <c r="AB23" s="211">
        <v>17368.951172000001</v>
      </c>
      <c r="AC23" s="211">
        <v>137.94816599999999</v>
      </c>
      <c r="AD23" s="211">
        <v>3186.0095209999999</v>
      </c>
      <c r="AE23" s="211">
        <v>68.150002000000001</v>
      </c>
      <c r="AF23" s="211">
        <v>49.630198999999998</v>
      </c>
      <c r="AG23" s="211">
        <v>1700.366211</v>
      </c>
      <c r="AH23" s="211">
        <v>585.18499799999995</v>
      </c>
      <c r="AI23" s="211">
        <v>606.12927200000001</v>
      </c>
      <c r="AJ23" s="211"/>
      <c r="AK23" s="211"/>
      <c r="AL23" s="211">
        <v>120.688171</v>
      </c>
      <c r="AM23" s="211">
        <v>255.78825399999999</v>
      </c>
      <c r="AN23" s="211"/>
      <c r="AO23" s="211">
        <v>126.472275</v>
      </c>
      <c r="AP23" s="211">
        <v>18.350000000000001</v>
      </c>
      <c r="AQ23" s="211">
        <v>73.995514</v>
      </c>
      <c r="AR23" s="211">
        <v>64.199569999999994</v>
      </c>
      <c r="AS23" s="211">
        <v>205.14999399999999</v>
      </c>
      <c r="AT23" s="211">
        <v>93.166663999999997</v>
      </c>
      <c r="AU23" s="211">
        <v>22</v>
      </c>
      <c r="AV23" s="211">
        <v>2157.3864749999998</v>
      </c>
      <c r="AW23" s="211">
        <v>15508.166992</v>
      </c>
      <c r="AX23" s="211">
        <v>115.20320100000001</v>
      </c>
      <c r="AY23" s="211"/>
      <c r="AZ23" s="211">
        <v>117.557419</v>
      </c>
      <c r="BA23" s="211">
        <v>22.955006000000001</v>
      </c>
      <c r="BB23" s="211">
        <v>25660.105468999998</v>
      </c>
      <c r="BC23" s="211"/>
      <c r="BD23" s="211"/>
      <c r="BE23" s="211"/>
      <c r="BF23" s="211">
        <v>182.52314799999999</v>
      </c>
      <c r="BG23" s="211">
        <v>309.24136399999998</v>
      </c>
      <c r="BH23" s="211">
        <v>3159.404297</v>
      </c>
      <c r="BI23" s="211">
        <v>163.697891</v>
      </c>
      <c r="BJ23" s="211">
        <v>102.26527400000001</v>
      </c>
    </row>
    <row r="24" spans="2:62">
      <c r="B24" s="209">
        <v>43922</v>
      </c>
      <c r="C24" s="210">
        <v>349.999146</v>
      </c>
      <c r="D24" s="210">
        <v>92.960273999999998</v>
      </c>
      <c r="E24" s="211">
        <v>5193.9829099999997</v>
      </c>
      <c r="F24" s="211">
        <v>190.193298</v>
      </c>
      <c r="G24" s="211">
        <v>852.76782200000002</v>
      </c>
      <c r="H24" s="211">
        <v>1354.5948490000001</v>
      </c>
      <c r="I24" s="211">
        <v>974.83905000000004</v>
      </c>
      <c r="J24" s="211">
        <v>443.31176799999997</v>
      </c>
      <c r="K24" s="211">
        <v>21.9</v>
      </c>
      <c r="L24" s="211">
        <v>141.94075000000001</v>
      </c>
      <c r="M24" s="211">
        <v>448.30212399999999</v>
      </c>
      <c r="N24" s="211">
        <v>3793.6838379999999</v>
      </c>
      <c r="O24" s="211">
        <v>609.76739499999996</v>
      </c>
      <c r="P24" s="211">
        <v>145.08961500000001</v>
      </c>
      <c r="Q24" s="211">
        <v>137.98207099999999</v>
      </c>
      <c r="R24" s="211">
        <v>842.67120399999999</v>
      </c>
      <c r="S24" s="211"/>
      <c r="T24" s="211">
        <v>142.88883999999999</v>
      </c>
      <c r="U24" s="211">
        <v>24.836071</v>
      </c>
      <c r="V24" s="211"/>
      <c r="W24" s="211">
        <v>210.449997</v>
      </c>
      <c r="X24" s="211">
        <v>29.813932000000001</v>
      </c>
      <c r="Y24" s="211">
        <v>17.525406</v>
      </c>
      <c r="Z24" s="211">
        <v>53.622875000000001</v>
      </c>
      <c r="AA24" s="211">
        <v>2.2999999999999998</v>
      </c>
      <c r="AB24" s="211">
        <v>19568.041015999999</v>
      </c>
      <c r="AC24" s="211">
        <v>152.07962000000001</v>
      </c>
      <c r="AD24" s="211">
        <v>3470.210693</v>
      </c>
      <c r="AE24" s="211">
        <v>78.800003000000004</v>
      </c>
      <c r="AF24" s="211">
        <v>65.560654</v>
      </c>
      <c r="AG24" s="211">
        <v>1889.452759</v>
      </c>
      <c r="AH24" s="211">
        <v>652.68872099999999</v>
      </c>
      <c r="AI24" s="211">
        <v>773.53515600000003</v>
      </c>
      <c r="AJ24" s="211"/>
      <c r="AK24" s="211"/>
      <c r="AL24" s="211">
        <v>155.156586</v>
      </c>
      <c r="AM24" s="211">
        <v>358.243652</v>
      </c>
      <c r="AN24" s="211"/>
      <c r="AO24" s="211">
        <v>146.163467</v>
      </c>
      <c r="AP24" s="211">
        <v>22.549999</v>
      </c>
      <c r="AQ24" s="211">
        <v>78.829880000000003</v>
      </c>
      <c r="AR24" s="211">
        <v>73.712418</v>
      </c>
      <c r="AS24" s="211">
        <v>147.800003</v>
      </c>
      <c r="AT24" s="211">
        <v>87.733329999999995</v>
      </c>
      <c r="AU24" s="211">
        <v>17.600000000000001</v>
      </c>
      <c r="AV24" s="211">
        <v>2060.2404790000001</v>
      </c>
      <c r="AW24" s="211">
        <v>17053.265625</v>
      </c>
      <c r="AX24" s="211">
        <v>145.68760700000001</v>
      </c>
      <c r="AY24" s="211"/>
      <c r="AZ24" s="211">
        <v>128.65193199999999</v>
      </c>
      <c r="BA24" s="211">
        <v>22.230437999999999</v>
      </c>
      <c r="BB24" s="211">
        <v>28389.089843999998</v>
      </c>
      <c r="BC24" s="211"/>
      <c r="BD24" s="211"/>
      <c r="BE24" s="211"/>
      <c r="BF24" s="211">
        <v>240.28428600000001</v>
      </c>
      <c r="BG24" s="211">
        <v>397.84634399999999</v>
      </c>
      <c r="BH24" s="211">
        <v>3931.3020019999999</v>
      </c>
      <c r="BI24" s="211">
        <v>199.10209699999999</v>
      </c>
      <c r="BJ24" s="211">
        <v>141.142776</v>
      </c>
    </row>
    <row r="25" spans="2:62">
      <c r="B25" s="209">
        <v>43952</v>
      </c>
      <c r="C25" s="210">
        <v>416.53381300000001</v>
      </c>
      <c r="D25" s="210">
        <v>86.729691000000003</v>
      </c>
      <c r="E25" s="211">
        <v>5438.2319340000004</v>
      </c>
      <c r="F25" s="211">
        <v>191.80218500000001</v>
      </c>
      <c r="G25" s="211">
        <v>824.66442900000004</v>
      </c>
      <c r="H25" s="211">
        <v>1221.650513</v>
      </c>
      <c r="I25" s="211">
        <v>926.03875700000003</v>
      </c>
      <c r="J25" s="211">
        <v>383.57583599999998</v>
      </c>
      <c r="K25" s="211">
        <v>22.1</v>
      </c>
      <c r="L25" s="211">
        <v>133.336792</v>
      </c>
      <c r="M25" s="211">
        <v>457.76138300000002</v>
      </c>
      <c r="N25" s="211">
        <v>3923.7446289999998</v>
      </c>
      <c r="O25" s="211">
        <v>726.488831</v>
      </c>
      <c r="P25" s="211">
        <v>152.476135</v>
      </c>
      <c r="Q25" s="211">
        <v>117.226585</v>
      </c>
      <c r="R25" s="211">
        <v>875.24957300000005</v>
      </c>
      <c r="S25" s="211"/>
      <c r="T25" s="211">
        <v>146.58634900000001</v>
      </c>
      <c r="U25" s="211">
        <v>21.922606999999999</v>
      </c>
      <c r="V25" s="211"/>
      <c r="W25" s="211">
        <v>248.60000600000001</v>
      </c>
      <c r="X25" s="211">
        <v>34.375366</v>
      </c>
      <c r="Y25" s="211">
        <v>16.514326000000001</v>
      </c>
      <c r="Z25" s="211">
        <v>50.532741999999999</v>
      </c>
      <c r="AA25" s="211">
        <v>1.9</v>
      </c>
      <c r="AB25" s="211">
        <v>20646.427734000001</v>
      </c>
      <c r="AC25" s="211">
        <v>171.35153199999999</v>
      </c>
      <c r="AD25" s="211">
        <v>3834.0415039999998</v>
      </c>
      <c r="AE25" s="211">
        <v>73.800003000000004</v>
      </c>
      <c r="AF25" s="211">
        <v>59.557617</v>
      </c>
      <c r="AG25" s="211">
        <v>1849.9652100000001</v>
      </c>
      <c r="AH25" s="211">
        <v>630.33953899999995</v>
      </c>
      <c r="AI25" s="211">
        <v>736.97088599999995</v>
      </c>
      <c r="AJ25" s="211"/>
      <c r="AK25" s="211"/>
      <c r="AL25" s="211">
        <v>178.71975699999999</v>
      </c>
      <c r="AM25" s="211">
        <v>359.03643799999998</v>
      </c>
      <c r="AN25" s="211"/>
      <c r="AO25" s="211">
        <v>134.455185</v>
      </c>
      <c r="AP25" s="211">
        <v>24.049999</v>
      </c>
      <c r="AQ25" s="211">
        <v>74.587470999999994</v>
      </c>
      <c r="AR25" s="211">
        <v>64.736191000000005</v>
      </c>
      <c r="AS25" s="211">
        <v>100.400002</v>
      </c>
      <c r="AT25" s="211">
        <v>111.800003</v>
      </c>
      <c r="AU25" s="211">
        <v>18</v>
      </c>
      <c r="AV25" s="211">
        <v>1931.041626</v>
      </c>
      <c r="AW25" s="211">
        <v>16688.076172000001</v>
      </c>
      <c r="AX25" s="211">
        <v>137.440933</v>
      </c>
      <c r="AY25" s="211"/>
      <c r="AZ25" s="211">
        <v>117.557419</v>
      </c>
      <c r="BA25" s="211">
        <v>21.336285</v>
      </c>
      <c r="BB25" s="211">
        <v>26771.125</v>
      </c>
      <c r="BC25" s="211"/>
      <c r="BD25" s="211"/>
      <c r="BE25" s="211"/>
      <c r="BF25" s="211">
        <v>256.88629200000003</v>
      </c>
      <c r="BG25" s="211">
        <v>384.396973</v>
      </c>
      <c r="BH25" s="211">
        <v>4913.7402339999999</v>
      </c>
      <c r="BI25" s="211">
        <v>198.263565</v>
      </c>
      <c r="BJ25" s="211">
        <v>152.399551</v>
      </c>
    </row>
    <row r="26" spans="2:62">
      <c r="B26" s="209">
        <v>43983</v>
      </c>
      <c r="C26" s="210">
        <v>487.50732399999998</v>
      </c>
      <c r="D26" s="210">
        <v>97.944732999999999</v>
      </c>
      <c r="E26" s="211">
        <v>5658.734375</v>
      </c>
      <c r="F26" s="211">
        <v>263.91082799999998</v>
      </c>
      <c r="G26" s="211">
        <v>916.23382600000002</v>
      </c>
      <c r="H26" s="211">
        <v>1357.838501</v>
      </c>
      <c r="I26" s="211">
        <v>1037.165283</v>
      </c>
      <c r="J26" s="211">
        <v>405.19833399999999</v>
      </c>
      <c r="K26" s="211">
        <v>25.700001</v>
      </c>
      <c r="L26" s="211">
        <v>119.27546700000001</v>
      </c>
      <c r="M26" s="211">
        <v>456.50659200000001</v>
      </c>
      <c r="N26" s="211">
        <v>3802.0207519999999</v>
      </c>
      <c r="O26" s="211">
        <v>751.86938499999997</v>
      </c>
      <c r="P26" s="211">
        <v>230.10836800000001</v>
      </c>
      <c r="Q26" s="211">
        <v>162.97242700000001</v>
      </c>
      <c r="R26" s="211">
        <v>885.95251499999995</v>
      </c>
      <c r="S26" s="211"/>
      <c r="T26" s="211">
        <v>144.05647300000001</v>
      </c>
      <c r="U26" s="211">
        <v>27.845054999999999</v>
      </c>
      <c r="V26" s="211"/>
      <c r="W26" s="211">
        <v>358.85000600000001</v>
      </c>
      <c r="X26" s="211">
        <v>42.181541000000003</v>
      </c>
      <c r="Y26" s="211">
        <v>16.851355000000002</v>
      </c>
      <c r="Z26" s="211">
        <v>66.256057999999996</v>
      </c>
      <c r="AA26" s="211">
        <v>4.25</v>
      </c>
      <c r="AB26" s="211">
        <v>22817.998047000001</v>
      </c>
      <c r="AC26" s="211">
        <v>174.70765700000001</v>
      </c>
      <c r="AD26" s="211">
        <v>3822.946289</v>
      </c>
      <c r="AE26" s="211">
        <v>86.150002000000001</v>
      </c>
      <c r="AF26" s="211">
        <v>66.411475999999993</v>
      </c>
      <c r="AG26" s="211">
        <v>1952.9521480000001</v>
      </c>
      <c r="AH26" s="211">
        <v>680.48199499999998</v>
      </c>
      <c r="AI26" s="211">
        <v>864.53643799999998</v>
      </c>
      <c r="AJ26" s="211"/>
      <c r="AK26" s="211"/>
      <c r="AL26" s="211">
        <v>166.597397</v>
      </c>
      <c r="AM26" s="211">
        <v>376.19778400000001</v>
      </c>
      <c r="AN26" s="211"/>
      <c r="AO26" s="211">
        <v>140.00520299999999</v>
      </c>
      <c r="AP26" s="211">
        <v>40.799999</v>
      </c>
      <c r="AQ26" s="211">
        <v>78.829880000000003</v>
      </c>
      <c r="AR26" s="211">
        <v>62.004292</v>
      </c>
      <c r="AS26" s="211">
        <v>131.199997</v>
      </c>
      <c r="AT26" s="211">
        <v>111.900002</v>
      </c>
      <c r="AU26" s="211">
        <v>22.799999</v>
      </c>
      <c r="AV26" s="211">
        <v>2046.161621</v>
      </c>
      <c r="AW26" s="211">
        <v>16461.945313</v>
      </c>
      <c r="AX26" s="211">
        <v>148.168137</v>
      </c>
      <c r="AY26" s="211"/>
      <c r="AZ26" s="211">
        <v>129.71700999999999</v>
      </c>
      <c r="BA26" s="211">
        <v>27.333259999999999</v>
      </c>
      <c r="BB26" s="211">
        <v>29759.484375</v>
      </c>
      <c r="BC26" s="211"/>
      <c r="BD26" s="211"/>
      <c r="BE26" s="211"/>
      <c r="BF26" s="211">
        <v>270.57302900000002</v>
      </c>
      <c r="BG26" s="211">
        <v>402.72412100000003</v>
      </c>
      <c r="BH26" s="211">
        <v>5427.5620120000003</v>
      </c>
      <c r="BI26" s="211">
        <v>253.69908100000001</v>
      </c>
      <c r="BJ26" s="211">
        <v>253.37390099999999</v>
      </c>
    </row>
    <row r="27" spans="2:62">
      <c r="B27" s="209">
        <v>44013</v>
      </c>
      <c r="C27" s="210">
        <v>578.908997</v>
      </c>
      <c r="D27" s="210">
        <v>104.32485200000001</v>
      </c>
      <c r="E27" s="211">
        <v>6070.1303710000002</v>
      </c>
      <c r="F27" s="211">
        <v>268.10379</v>
      </c>
      <c r="G27" s="211">
        <v>870.71887200000003</v>
      </c>
      <c r="H27" s="211">
        <v>1363.128418</v>
      </c>
      <c r="I27" s="211">
        <v>1005.004822</v>
      </c>
      <c r="J27" s="211">
        <v>430.10910000000001</v>
      </c>
      <c r="K27" s="211">
        <v>26.6</v>
      </c>
      <c r="L27" s="211">
        <v>119.177132</v>
      </c>
      <c r="M27" s="211">
        <v>513.21398899999997</v>
      </c>
      <c r="N27" s="211">
        <v>4357.2475590000004</v>
      </c>
      <c r="O27" s="211">
        <v>852.12518299999999</v>
      </c>
      <c r="P27" s="211">
        <v>309.77066000000002</v>
      </c>
      <c r="Q27" s="211">
        <v>218.816788</v>
      </c>
      <c r="R27" s="211">
        <v>857.59899900000005</v>
      </c>
      <c r="S27" s="211"/>
      <c r="T27" s="211">
        <v>137.34259</v>
      </c>
      <c r="U27" s="211">
        <v>27.701771000000001</v>
      </c>
      <c r="V27" s="211"/>
      <c r="W27" s="211">
        <v>340.64999399999999</v>
      </c>
      <c r="X27" s="211">
        <v>45.802475000000001</v>
      </c>
      <c r="Y27" s="211">
        <v>17.104123999999999</v>
      </c>
      <c r="Z27" s="211">
        <v>62.984158000000001</v>
      </c>
      <c r="AA27" s="211">
        <v>3.3</v>
      </c>
      <c r="AB27" s="211">
        <v>21491.644531000002</v>
      </c>
      <c r="AC27" s="211">
        <v>198.62167400000001</v>
      </c>
      <c r="AD27" s="211">
        <v>4042.638672</v>
      </c>
      <c r="AE27" s="211">
        <v>88.900002000000001</v>
      </c>
      <c r="AF27" s="211">
        <v>74.730643999999998</v>
      </c>
      <c r="AG27" s="211">
        <v>2146.1289059999999</v>
      </c>
      <c r="AH27" s="211">
        <v>893.19335899999999</v>
      </c>
      <c r="AI27" s="211">
        <v>905.67730700000004</v>
      </c>
      <c r="AJ27" s="211"/>
      <c r="AK27" s="211"/>
      <c r="AL27" s="211">
        <v>135.09869399999999</v>
      </c>
      <c r="AM27" s="211">
        <v>360.85510299999999</v>
      </c>
      <c r="AN27" s="211"/>
      <c r="AO27" s="211">
        <v>154.526535</v>
      </c>
      <c r="AP27" s="211">
        <v>40.650002000000001</v>
      </c>
      <c r="AQ27" s="211">
        <v>75.327422999999996</v>
      </c>
      <c r="AR27" s="211">
        <v>63.272671000000003</v>
      </c>
      <c r="AS27" s="211">
        <v>127.900002</v>
      </c>
      <c r="AT27" s="211">
        <v>105.133331</v>
      </c>
      <c r="AU27" s="211">
        <v>23.6</v>
      </c>
      <c r="AV27" s="211">
        <v>2088.381836</v>
      </c>
      <c r="AW27" s="211">
        <v>15895.395508</v>
      </c>
      <c r="AX27" s="211">
        <v>154.07574500000001</v>
      </c>
      <c r="AY27" s="211"/>
      <c r="AZ27" s="211">
        <v>155.81127900000001</v>
      </c>
      <c r="BA27" s="211">
        <v>29.553225000000001</v>
      </c>
      <c r="BB27" s="211">
        <v>26757.300781000002</v>
      </c>
      <c r="BC27" s="211"/>
      <c r="BD27" s="211"/>
      <c r="BE27" s="211"/>
      <c r="BF27" s="211">
        <v>264.001465</v>
      </c>
      <c r="BG27" s="211">
        <v>452.87521400000003</v>
      </c>
      <c r="BH27" s="211">
        <v>5156.1625979999999</v>
      </c>
      <c r="BI27" s="211">
        <v>273.40795900000001</v>
      </c>
      <c r="BJ27" s="211">
        <v>283.63250699999998</v>
      </c>
    </row>
    <row r="28" spans="2:62">
      <c r="B28" s="209">
        <v>44044</v>
      </c>
      <c r="C28" s="210">
        <v>581.82379200000003</v>
      </c>
      <c r="D28" s="210">
        <v>142.755066</v>
      </c>
      <c r="E28" s="211">
        <v>6629.5776370000003</v>
      </c>
      <c r="F28" s="211">
        <v>314.07974200000001</v>
      </c>
      <c r="G28" s="211">
        <v>1059.7923579999999</v>
      </c>
      <c r="H28" s="211">
        <v>1398.660034</v>
      </c>
      <c r="I28" s="211">
        <v>1085.8195800000001</v>
      </c>
      <c r="J28" s="211">
        <v>494.97671500000001</v>
      </c>
      <c r="K28" s="211">
        <v>32</v>
      </c>
      <c r="L28" s="211">
        <v>132.74681100000001</v>
      </c>
      <c r="M28" s="211">
        <v>502.16204800000003</v>
      </c>
      <c r="N28" s="211">
        <v>4136.6660160000001</v>
      </c>
      <c r="O28" s="211">
        <v>788.11346400000002</v>
      </c>
      <c r="P28" s="211">
        <v>310.33325200000002</v>
      </c>
      <c r="Q28" s="211">
        <v>223.98237599999999</v>
      </c>
      <c r="R28" s="211">
        <v>887.17297399999995</v>
      </c>
      <c r="S28" s="211"/>
      <c r="T28" s="211">
        <v>154.078644</v>
      </c>
      <c r="U28" s="211">
        <v>32.525700000000001</v>
      </c>
      <c r="V28" s="211"/>
      <c r="W28" s="211">
        <v>452.75</v>
      </c>
      <c r="X28" s="211">
        <v>57.035080000000001</v>
      </c>
      <c r="Y28" s="211">
        <v>18.241589000000001</v>
      </c>
      <c r="Z28" s="211">
        <v>66.437827999999996</v>
      </c>
      <c r="AA28" s="211">
        <v>3.4</v>
      </c>
      <c r="AB28" s="211">
        <v>20077.933593999998</v>
      </c>
      <c r="AC28" s="211">
        <v>190.00361599999999</v>
      </c>
      <c r="AD28" s="211">
        <v>3845.1442870000001</v>
      </c>
      <c r="AE28" s="211">
        <v>90.25</v>
      </c>
      <c r="AF28" s="211">
        <v>90.376334999999997</v>
      </c>
      <c r="AG28" s="211">
        <v>2128.173828</v>
      </c>
      <c r="AH28" s="211">
        <v>858.612122</v>
      </c>
      <c r="AI28" s="211">
        <v>1054.2907709999999</v>
      </c>
      <c r="AJ28" s="211"/>
      <c r="AK28" s="211"/>
      <c r="AL28" s="211">
        <v>198.19345100000001</v>
      </c>
      <c r="AM28" s="211">
        <v>422.13241599999998</v>
      </c>
      <c r="AN28" s="211"/>
      <c r="AO28" s="211">
        <v>174.52183500000001</v>
      </c>
      <c r="AP28" s="211">
        <v>38</v>
      </c>
      <c r="AQ28" s="211">
        <v>102.945724</v>
      </c>
      <c r="AR28" s="211">
        <v>85.566901999999999</v>
      </c>
      <c r="AS28" s="211">
        <v>156.300003</v>
      </c>
      <c r="AT28" s="211">
        <v>117.333336</v>
      </c>
      <c r="AU28" s="211">
        <v>28.5</v>
      </c>
      <c r="AV28" s="211">
        <v>2009.4765629999999</v>
      </c>
      <c r="AW28" s="211">
        <v>15344.470703000001</v>
      </c>
      <c r="AX28" s="211">
        <v>160.1465</v>
      </c>
      <c r="AY28" s="211"/>
      <c r="AZ28" s="211">
        <v>152.66044600000001</v>
      </c>
      <c r="BA28" s="211">
        <v>32.713577000000001</v>
      </c>
      <c r="BB28" s="211">
        <v>32333.066406000002</v>
      </c>
      <c r="BC28" s="211"/>
      <c r="BD28" s="211"/>
      <c r="BE28" s="211"/>
      <c r="BF28" s="211">
        <v>265.28610200000003</v>
      </c>
      <c r="BG28" s="211">
        <v>479.20571899999999</v>
      </c>
      <c r="BH28" s="211">
        <v>5422.7158200000003</v>
      </c>
      <c r="BI28" s="211">
        <v>276.22952299999997</v>
      </c>
      <c r="BJ28" s="211">
        <v>266.36248799999998</v>
      </c>
    </row>
    <row r="29" spans="2:62">
      <c r="B29" s="209">
        <v>44075</v>
      </c>
      <c r="C29" s="210">
        <v>582.78247099999999</v>
      </c>
      <c r="D29" s="210">
        <v>132.88583399999999</v>
      </c>
      <c r="E29" s="211">
        <v>6594.8383789999998</v>
      </c>
      <c r="F29" s="211">
        <v>335.921967</v>
      </c>
      <c r="G29" s="211">
        <v>1037.2310789999999</v>
      </c>
      <c r="H29" s="211">
        <v>1265.7657469999999</v>
      </c>
      <c r="I29" s="211">
        <v>1049.572144</v>
      </c>
      <c r="J29" s="211">
        <v>423.134094</v>
      </c>
      <c r="K29" s="211">
        <v>29.950001</v>
      </c>
      <c r="L29" s="211">
        <v>137.41752600000001</v>
      </c>
      <c r="M29" s="211">
        <v>483.97058099999998</v>
      </c>
      <c r="N29" s="211">
        <v>5032.0527339999999</v>
      </c>
      <c r="O29" s="211">
        <v>777.16510000000005</v>
      </c>
      <c r="P29" s="211">
        <v>371.87158199999999</v>
      </c>
      <c r="Q29" s="211">
        <v>235.59248400000001</v>
      </c>
      <c r="R29" s="211">
        <v>853.86431900000002</v>
      </c>
      <c r="S29" s="211"/>
      <c r="T29" s="211">
        <v>148.53239400000001</v>
      </c>
      <c r="U29" s="211">
        <v>34.006309999999999</v>
      </c>
      <c r="V29" s="211"/>
      <c r="W29" s="211">
        <v>737.59997599999997</v>
      </c>
      <c r="X29" s="211">
        <v>51.744163999999998</v>
      </c>
      <c r="Y29" s="211">
        <v>17.019869</v>
      </c>
      <c r="Z29" s="211">
        <v>62.166182999999997</v>
      </c>
      <c r="AA29" s="211">
        <v>2.75</v>
      </c>
      <c r="AB29" s="211">
        <v>20052.144531000002</v>
      </c>
      <c r="AC29" s="211">
        <v>195.824173</v>
      </c>
      <c r="AD29" s="211">
        <v>3988.6535640000002</v>
      </c>
      <c r="AE29" s="211">
        <v>83.949996999999996</v>
      </c>
      <c r="AF29" s="211">
        <v>100.538933</v>
      </c>
      <c r="AG29" s="211">
        <v>2349.783203</v>
      </c>
      <c r="AH29" s="211">
        <v>932.25903300000004</v>
      </c>
      <c r="AI29" s="211">
        <v>1262.4415280000001</v>
      </c>
      <c r="AJ29" s="211"/>
      <c r="AK29" s="211"/>
      <c r="AL29" s="211">
        <v>203.402649</v>
      </c>
      <c r="AM29" s="211">
        <v>434.30389400000001</v>
      </c>
      <c r="AN29" s="211"/>
      <c r="AO29" s="211">
        <v>147.26586900000001</v>
      </c>
      <c r="AP29" s="211">
        <v>33.049999</v>
      </c>
      <c r="AQ29" s="211">
        <v>94.309021000000001</v>
      </c>
      <c r="AR29" s="211">
        <v>80.177306999999999</v>
      </c>
      <c r="AS29" s="211">
        <v>138.35000600000001</v>
      </c>
      <c r="AT29" s="211">
        <v>112.166664</v>
      </c>
      <c r="AU29" s="211">
        <v>27.9</v>
      </c>
      <c r="AV29" s="211">
        <v>1962.8781739999999</v>
      </c>
      <c r="AW29" s="211">
        <v>15314.744140999999</v>
      </c>
      <c r="AX29" s="211">
        <v>152.93553199999999</v>
      </c>
      <c r="AY29" s="211"/>
      <c r="AZ29" s="211">
        <v>162.24610899999999</v>
      </c>
      <c r="BA29" s="211">
        <v>29.522390000000001</v>
      </c>
      <c r="BB29" s="211">
        <v>32379.005859000001</v>
      </c>
      <c r="BC29" s="211"/>
      <c r="BD29" s="211"/>
      <c r="BE29" s="211"/>
      <c r="BF29" s="211">
        <v>284.605682</v>
      </c>
      <c r="BG29" s="211">
        <v>482.10040300000003</v>
      </c>
      <c r="BH29" s="211">
        <v>5493.7280270000001</v>
      </c>
      <c r="BI29" s="211">
        <v>267.95297199999999</v>
      </c>
      <c r="BJ29" s="211">
        <v>252.55607599999999</v>
      </c>
    </row>
    <row r="30" spans="2:62">
      <c r="B30" s="209">
        <v>44105</v>
      </c>
      <c r="C30" s="210">
        <v>569.45684800000004</v>
      </c>
      <c r="D30" s="210">
        <v>132.237854</v>
      </c>
      <c r="E30" s="211">
        <v>6811.6518550000001</v>
      </c>
      <c r="F30" s="211">
        <v>316.95626800000002</v>
      </c>
      <c r="G30" s="211">
        <v>1016.879639</v>
      </c>
      <c r="H30" s="211">
        <v>1544.4298100000001</v>
      </c>
      <c r="I30" s="211">
        <v>1151.697754</v>
      </c>
      <c r="J30" s="211">
        <v>490.74188199999998</v>
      </c>
      <c r="K30" s="211">
        <v>30.6</v>
      </c>
      <c r="L30" s="211">
        <v>145.23483300000001</v>
      </c>
      <c r="M30" s="211">
        <v>450.41323899999998</v>
      </c>
      <c r="N30" s="211">
        <v>4741.8833009999998</v>
      </c>
      <c r="O30" s="211">
        <v>753.89410399999997</v>
      </c>
      <c r="P30" s="211">
        <v>307.30035400000003</v>
      </c>
      <c r="Q30" s="211">
        <v>241.650589</v>
      </c>
      <c r="R30" s="211">
        <v>880.28716999999995</v>
      </c>
      <c r="S30" s="211"/>
      <c r="T30" s="211">
        <v>154.82550000000001</v>
      </c>
      <c r="U30" s="211">
        <v>32.574883</v>
      </c>
      <c r="V30" s="211"/>
      <c r="W30" s="211">
        <v>856.40002400000003</v>
      </c>
      <c r="X30" s="211">
        <v>50.627735000000001</v>
      </c>
      <c r="Y30" s="211">
        <v>16.985025</v>
      </c>
      <c r="Z30" s="211">
        <v>62.029854</v>
      </c>
      <c r="AA30" s="211">
        <v>3.5</v>
      </c>
      <c r="AB30" s="211">
        <v>21475.212890999999</v>
      </c>
      <c r="AC30" s="211">
        <v>234.35734600000001</v>
      </c>
      <c r="AD30" s="211">
        <v>4505.2661129999997</v>
      </c>
      <c r="AE30" s="211">
        <v>82.849997999999999</v>
      </c>
      <c r="AF30" s="211">
        <v>123.21603399999999</v>
      </c>
      <c r="AG30" s="211">
        <v>2512.4663089999999</v>
      </c>
      <c r="AH30" s="211">
        <v>980.66351299999997</v>
      </c>
      <c r="AI30" s="211">
        <v>1504.826294</v>
      </c>
      <c r="AJ30" s="211">
        <v>333.64477499999998</v>
      </c>
      <c r="AK30" s="211"/>
      <c r="AL30" s="211">
        <v>183.20335399999999</v>
      </c>
      <c r="AM30" s="211">
        <v>393.592285</v>
      </c>
      <c r="AN30" s="211"/>
      <c r="AO30" s="211">
        <v>154.90078700000001</v>
      </c>
      <c r="AP30" s="211">
        <v>34.700001</v>
      </c>
      <c r="AQ30" s="211">
        <v>94.706100000000006</v>
      </c>
      <c r="AR30" s="211">
        <v>74.706153999999998</v>
      </c>
      <c r="AS30" s="211">
        <v>136.39999399999999</v>
      </c>
      <c r="AT30" s="211">
        <v>111.433334</v>
      </c>
      <c r="AU30" s="211">
        <v>27</v>
      </c>
      <c r="AV30" s="211">
        <v>1965.7727050000001</v>
      </c>
      <c r="AW30" s="211">
        <v>16510.539063</v>
      </c>
      <c r="AX30" s="211">
        <v>143.43043499999999</v>
      </c>
      <c r="AY30" s="211"/>
      <c r="AZ30" s="211">
        <v>167.57302899999999</v>
      </c>
      <c r="BA30" s="211">
        <v>27.179981000000002</v>
      </c>
      <c r="BB30" s="211">
        <v>28266.710938</v>
      </c>
      <c r="BC30" s="211"/>
      <c r="BD30" s="211"/>
      <c r="BE30" s="211"/>
      <c r="BF30" s="211">
        <v>264.58804300000003</v>
      </c>
      <c r="BG30" s="211">
        <v>434.50390599999997</v>
      </c>
      <c r="BH30" s="211">
        <v>5080.8037109999996</v>
      </c>
      <c r="BI30" s="211">
        <v>232.96577500000001</v>
      </c>
      <c r="BJ30" s="211">
        <v>263.043182</v>
      </c>
    </row>
    <row r="31" spans="2:62">
      <c r="B31" s="209">
        <v>44136</v>
      </c>
      <c r="C31" s="210">
        <v>692.168091</v>
      </c>
      <c r="D31" s="210">
        <v>179.789658</v>
      </c>
      <c r="E31" s="211">
        <v>6880.7446289999998</v>
      </c>
      <c r="F31" s="211">
        <v>350.54849200000001</v>
      </c>
      <c r="G31" s="211">
        <v>1149.511841</v>
      </c>
      <c r="H31" s="211">
        <v>1903.439331</v>
      </c>
      <c r="I31" s="211">
        <v>1402.0729980000001</v>
      </c>
      <c r="J31" s="211">
        <v>599.45239300000003</v>
      </c>
      <c r="K31" s="211">
        <v>36.75</v>
      </c>
      <c r="L31" s="211">
        <v>182.94476299999999</v>
      </c>
      <c r="M31" s="211">
        <v>494.80175800000001</v>
      </c>
      <c r="N31" s="211">
        <v>4683.9765630000002</v>
      </c>
      <c r="O31" s="211">
        <v>847.46612500000003</v>
      </c>
      <c r="P31" s="211">
        <v>388.35678100000001</v>
      </c>
      <c r="Q31" s="211">
        <v>245.545074</v>
      </c>
      <c r="R31" s="211">
        <v>1062.9738769999999</v>
      </c>
      <c r="S31" s="211"/>
      <c r="T31" s="211">
        <v>183.091171</v>
      </c>
      <c r="U31" s="211">
        <v>41.895718000000002</v>
      </c>
      <c r="V31" s="211"/>
      <c r="W31" s="211">
        <v>1136.400024</v>
      </c>
      <c r="X31" s="211">
        <v>63.005561999999998</v>
      </c>
      <c r="Y31" s="211">
        <v>18.354096999999999</v>
      </c>
      <c r="Z31" s="211">
        <v>68.164664999999999</v>
      </c>
      <c r="AA31" s="211">
        <v>3.1</v>
      </c>
      <c r="AB31" s="211">
        <v>24060.605468999998</v>
      </c>
      <c r="AC31" s="211">
        <v>235.57557700000001</v>
      </c>
      <c r="AD31" s="211">
        <v>4729.7880859999996</v>
      </c>
      <c r="AE31" s="211">
        <v>89.800003000000004</v>
      </c>
      <c r="AF31" s="211">
        <v>135.232483</v>
      </c>
      <c r="AG31" s="211">
        <v>2537.1911620000001</v>
      </c>
      <c r="AH31" s="211">
        <v>1028.0200199999999</v>
      </c>
      <c r="AI31" s="211">
        <v>1557.943115</v>
      </c>
      <c r="AJ31" s="211">
        <v>309.03604100000001</v>
      </c>
      <c r="AK31" s="211"/>
      <c r="AL31" s="211">
        <v>187.93214399999999</v>
      </c>
      <c r="AM31" s="211">
        <v>410.33395400000001</v>
      </c>
      <c r="AN31" s="211"/>
      <c r="AO31" s="211">
        <v>155.93730199999999</v>
      </c>
      <c r="AP31" s="211">
        <v>34.099997999999999</v>
      </c>
      <c r="AQ31" s="211">
        <v>117.340256</v>
      </c>
      <c r="AR31" s="211">
        <v>89.378799000000001</v>
      </c>
      <c r="AS31" s="211">
        <v>150.85000600000001</v>
      </c>
      <c r="AT31" s="211">
        <v>127.466667</v>
      </c>
      <c r="AU31" s="211">
        <v>33.349997999999999</v>
      </c>
      <c r="AV31" s="211">
        <v>2042.400269</v>
      </c>
      <c r="AW31" s="211">
        <v>17347.095702999999</v>
      </c>
      <c r="AX31" s="211">
        <v>190.84634399999999</v>
      </c>
      <c r="AY31" s="211"/>
      <c r="AZ31" s="211">
        <v>183.47674599999999</v>
      </c>
      <c r="BA31" s="211">
        <v>34.709147999999999</v>
      </c>
      <c r="BB31" s="211">
        <v>31749.279297000001</v>
      </c>
      <c r="BC31" s="211"/>
      <c r="BD31" s="211"/>
      <c r="BE31" s="211"/>
      <c r="BF31" s="211">
        <v>280.08502199999998</v>
      </c>
      <c r="BG31" s="211">
        <v>400.42425500000002</v>
      </c>
      <c r="BH31" s="211">
        <v>4706.298828</v>
      </c>
      <c r="BI31" s="211">
        <v>265.17846700000001</v>
      </c>
      <c r="BJ31" s="211">
        <v>267.03595000000001</v>
      </c>
    </row>
    <row r="32" spans="2:62">
      <c r="B32" s="209">
        <v>44166</v>
      </c>
      <c r="C32" s="210">
        <v>690.82592799999998</v>
      </c>
      <c r="D32" s="210">
        <v>183.27877799999999</v>
      </c>
      <c r="E32" s="211">
        <v>7481.0180659999996</v>
      </c>
      <c r="F32" s="211">
        <v>354.88766500000003</v>
      </c>
      <c r="G32" s="211">
        <v>1347.0501710000001</v>
      </c>
      <c r="H32" s="211">
        <v>1991.769409</v>
      </c>
      <c r="I32" s="211">
        <v>1397.64563</v>
      </c>
      <c r="J32" s="211">
        <v>618.23516800000004</v>
      </c>
      <c r="K32" s="211">
        <v>37.049999</v>
      </c>
      <c r="L32" s="211">
        <v>177.09406999999999</v>
      </c>
      <c r="M32" s="211">
        <v>572.84436000000005</v>
      </c>
      <c r="N32" s="211">
        <v>5048.8339839999999</v>
      </c>
      <c r="O32" s="211">
        <v>900.285889</v>
      </c>
      <c r="P32" s="211">
        <v>442.50854500000003</v>
      </c>
      <c r="Q32" s="211">
        <v>252.180115</v>
      </c>
      <c r="R32" s="211">
        <v>1243.0355219999999</v>
      </c>
      <c r="S32" s="211"/>
      <c r="T32" s="211">
        <v>227.739227</v>
      </c>
      <c r="U32" s="211">
        <v>55.396518999999998</v>
      </c>
      <c r="V32" s="211"/>
      <c r="W32" s="211">
        <v>1052.599976</v>
      </c>
      <c r="X32" s="211">
        <v>73.441765000000004</v>
      </c>
      <c r="Y32" s="211">
        <v>19.380898999999999</v>
      </c>
      <c r="Z32" s="211">
        <v>76.208099000000004</v>
      </c>
      <c r="AA32" s="211">
        <v>3.4</v>
      </c>
      <c r="AB32" s="211">
        <v>23770.417968999998</v>
      </c>
      <c r="AC32" s="211">
        <v>239.99710099999999</v>
      </c>
      <c r="AD32" s="211">
        <v>5208.6274409999996</v>
      </c>
      <c r="AE32" s="211">
        <v>100.199997</v>
      </c>
      <c r="AF32" s="211">
        <v>141.97764599999999</v>
      </c>
      <c r="AG32" s="211">
        <v>2710.556885</v>
      </c>
      <c r="AH32" s="211">
        <v>1173.6252440000001</v>
      </c>
      <c r="AI32" s="211">
        <v>1800.2789310000001</v>
      </c>
      <c r="AJ32" s="211">
        <v>338.86175500000002</v>
      </c>
      <c r="AK32" s="211"/>
      <c r="AL32" s="211">
        <v>217.91351299999999</v>
      </c>
      <c r="AM32" s="211">
        <v>448.38738999999998</v>
      </c>
      <c r="AN32" s="211"/>
      <c r="AO32" s="211">
        <v>175.170334</v>
      </c>
      <c r="AP32" s="211">
        <v>35.900002000000001</v>
      </c>
      <c r="AQ32" s="211">
        <v>119.22644</v>
      </c>
      <c r="AR32" s="211">
        <v>89.577751000000006</v>
      </c>
      <c r="AS32" s="211">
        <v>183.39999399999999</v>
      </c>
      <c r="AT32" s="211">
        <v>143.5</v>
      </c>
      <c r="AU32" s="211">
        <v>40.25</v>
      </c>
      <c r="AV32" s="211">
        <v>2288.0771479999999</v>
      </c>
      <c r="AW32" s="211">
        <v>17833.210938</v>
      </c>
      <c r="AX32" s="211">
        <v>200.625214</v>
      </c>
      <c r="AY32" s="211"/>
      <c r="AZ32" s="211">
        <v>192.55174299999999</v>
      </c>
      <c r="BA32" s="211">
        <v>37.47401</v>
      </c>
      <c r="BB32" s="211">
        <v>36863.914062999997</v>
      </c>
      <c r="BC32" s="211"/>
      <c r="BD32" s="211"/>
      <c r="BE32" s="211"/>
      <c r="BF32" s="211">
        <v>289.69021600000002</v>
      </c>
      <c r="BG32" s="211">
        <v>447.06210299999998</v>
      </c>
      <c r="BH32" s="211">
        <v>5074.8818359999996</v>
      </c>
      <c r="BI32" s="211">
        <v>264.520081</v>
      </c>
      <c r="BJ32" s="211">
        <v>261.15273999999999</v>
      </c>
    </row>
    <row r="33" spans="2:62">
      <c r="B33" s="209">
        <v>44197</v>
      </c>
      <c r="C33" s="210">
        <v>718.62768600000004</v>
      </c>
      <c r="D33" s="210">
        <v>261.88378899999998</v>
      </c>
      <c r="E33" s="211">
        <v>7047.8295900000003</v>
      </c>
      <c r="F33" s="211">
        <v>350.69476300000002</v>
      </c>
      <c r="G33" s="211">
        <v>1342.5483400000001</v>
      </c>
      <c r="H33" s="211">
        <v>1709.661865</v>
      </c>
      <c r="I33" s="211">
        <v>1353.0782469999999</v>
      </c>
      <c r="J33" s="211">
        <v>660.53363000000002</v>
      </c>
      <c r="K33" s="211">
        <v>47.200001</v>
      </c>
      <c r="L33" s="211">
        <v>166.42517100000001</v>
      </c>
      <c r="M33" s="211">
        <v>566.89685099999997</v>
      </c>
      <c r="N33" s="211">
        <v>4464.5180659999996</v>
      </c>
      <c r="O33" s="211">
        <v>884.60192900000004</v>
      </c>
      <c r="P33" s="211">
        <v>451.900757</v>
      </c>
      <c r="Q33" s="211">
        <v>276.65289300000001</v>
      </c>
      <c r="R33" s="211">
        <v>1288.5054929999999</v>
      </c>
      <c r="S33" s="211"/>
      <c r="T33" s="211">
        <v>249.84316999999999</v>
      </c>
      <c r="U33" s="211">
        <v>56.645699</v>
      </c>
      <c r="V33" s="211"/>
      <c r="W33" s="211">
        <v>1004.900024</v>
      </c>
      <c r="X33" s="211">
        <v>73.199059000000005</v>
      </c>
      <c r="Y33" s="211">
        <v>20.536051</v>
      </c>
      <c r="Z33" s="211">
        <v>71.342551999999998</v>
      </c>
      <c r="AA33" s="211">
        <v>3.3</v>
      </c>
      <c r="AB33" s="211">
        <v>22543.107422000001</v>
      </c>
      <c r="AC33" s="211">
        <v>234.69278</v>
      </c>
      <c r="AD33" s="211">
        <v>5247.1396480000003</v>
      </c>
      <c r="AE33" s="211">
        <v>96.699996999999996</v>
      </c>
      <c r="AF33" s="211">
        <v>141.447678</v>
      </c>
      <c r="AG33" s="211">
        <v>2945.9409179999998</v>
      </c>
      <c r="AH33" s="211">
        <v>1157.9711910000001</v>
      </c>
      <c r="AI33" s="211">
        <v>2639.2578130000002</v>
      </c>
      <c r="AJ33" s="211">
        <v>341.71640000000002</v>
      </c>
      <c r="AK33" s="211"/>
      <c r="AL33" s="211">
        <v>214.50100699999999</v>
      </c>
      <c r="AM33" s="211">
        <v>445.58935500000001</v>
      </c>
      <c r="AN33" s="211"/>
      <c r="AO33" s="211">
        <v>189.02887000000001</v>
      </c>
      <c r="AP33" s="211">
        <v>36.25</v>
      </c>
      <c r="AQ33" s="211">
        <v>120.71553</v>
      </c>
      <c r="AR33" s="211">
        <v>92.512276</v>
      </c>
      <c r="AS33" s="211">
        <v>171.39999399999999</v>
      </c>
      <c r="AT33" s="211">
        <v>148.566666</v>
      </c>
      <c r="AU33" s="211">
        <v>41.400002000000001</v>
      </c>
      <c r="AV33" s="211">
        <v>2162.46875</v>
      </c>
      <c r="AW33" s="211">
        <v>16543.253906000002</v>
      </c>
      <c r="AX33" s="211">
        <v>196.80345199999999</v>
      </c>
      <c r="AY33" s="211">
        <v>369.279877</v>
      </c>
      <c r="AZ33" s="211">
        <v>188.01423600000001</v>
      </c>
      <c r="BA33" s="211">
        <v>40.629387000000001</v>
      </c>
      <c r="BB33" s="211">
        <v>38731.296875</v>
      </c>
      <c r="BC33" s="211"/>
      <c r="BD33" s="211"/>
      <c r="BE33" s="211"/>
      <c r="BF33" s="211">
        <v>310.03933699999999</v>
      </c>
      <c r="BG33" s="211">
        <v>537.46191399999998</v>
      </c>
      <c r="BH33" s="211">
        <v>5010.7246089999999</v>
      </c>
      <c r="BI33" s="211">
        <v>255.96137999999999</v>
      </c>
      <c r="BJ33" s="211">
        <v>275.35424799999998</v>
      </c>
    </row>
    <row r="34" spans="2:62">
      <c r="B34" s="209">
        <v>44228</v>
      </c>
      <c r="C34" s="210">
        <v>773.080872</v>
      </c>
      <c r="D34" s="210">
        <v>321.946594</v>
      </c>
      <c r="E34" s="211">
        <v>6714.8339839999999</v>
      </c>
      <c r="F34" s="211">
        <v>419.926849</v>
      </c>
      <c r="G34" s="211">
        <v>1289.6635739999999</v>
      </c>
      <c r="H34" s="211">
        <v>1776.9326169999999</v>
      </c>
      <c r="I34" s="211">
        <v>1493.1054690000001</v>
      </c>
      <c r="J34" s="211">
        <v>722.21258499999999</v>
      </c>
      <c r="K34" s="211">
        <v>63.450001</v>
      </c>
      <c r="L34" s="211">
        <v>162.541077</v>
      </c>
      <c r="M34" s="211">
        <v>575.020264</v>
      </c>
      <c r="N34" s="211">
        <v>4293.6567379999997</v>
      </c>
      <c r="O34" s="211">
        <v>835.69360400000005</v>
      </c>
      <c r="P34" s="211">
        <v>469.02188100000001</v>
      </c>
      <c r="Q34" s="211">
        <v>321.89627100000001</v>
      </c>
      <c r="R34" s="211">
        <v>1392.5744629999999</v>
      </c>
      <c r="S34" s="211"/>
      <c r="T34" s="211">
        <v>295.86047400000001</v>
      </c>
      <c r="U34" s="211">
        <v>85.569121999999993</v>
      </c>
      <c r="V34" s="211"/>
      <c r="W34" s="211">
        <v>1159.849976</v>
      </c>
      <c r="X34" s="211">
        <v>92.372558999999995</v>
      </c>
      <c r="Y34" s="211">
        <v>20.664401999999999</v>
      </c>
      <c r="Z34" s="211">
        <v>73.415924000000004</v>
      </c>
      <c r="AA34" s="211">
        <v>4.25</v>
      </c>
      <c r="AB34" s="211">
        <v>26233.757813</v>
      </c>
      <c r="AC34" s="211">
        <v>263.770172</v>
      </c>
      <c r="AD34" s="211">
        <v>6023.0434569999998</v>
      </c>
      <c r="AE34" s="211">
        <v>98</v>
      </c>
      <c r="AF34" s="211">
        <v>164.13905299999999</v>
      </c>
      <c r="AG34" s="211">
        <v>2745.6447750000002</v>
      </c>
      <c r="AH34" s="211">
        <v>1171.288818</v>
      </c>
      <c r="AI34" s="211">
        <v>2607.133057</v>
      </c>
      <c r="AJ34" s="211">
        <v>523.62390100000005</v>
      </c>
      <c r="AK34" s="211"/>
      <c r="AL34" s="211">
        <v>195.975922</v>
      </c>
      <c r="AM34" s="211">
        <v>459.99935900000003</v>
      </c>
      <c r="AN34" s="211"/>
      <c r="AO34" s="211">
        <v>205.11398299999999</v>
      </c>
      <c r="AP34" s="211">
        <v>37.5</v>
      </c>
      <c r="AQ34" s="211">
        <v>121.956444</v>
      </c>
      <c r="AR34" s="211">
        <v>96.192870999999997</v>
      </c>
      <c r="AS34" s="211">
        <v>166.050003</v>
      </c>
      <c r="AT34" s="211">
        <v>150.73333700000001</v>
      </c>
      <c r="AU34" s="211">
        <v>40.849997999999999</v>
      </c>
      <c r="AV34" s="211">
        <v>2036.526245</v>
      </c>
      <c r="AW34" s="211">
        <v>15613.882813</v>
      </c>
      <c r="AX34" s="211">
        <v>228.41772499999999</v>
      </c>
      <c r="AY34" s="211">
        <v>394.09875499999998</v>
      </c>
      <c r="AZ34" s="211">
        <v>218.159424</v>
      </c>
      <c r="BA34" s="211">
        <v>42.831898000000002</v>
      </c>
      <c r="BB34" s="211">
        <v>44695.972655999998</v>
      </c>
      <c r="BC34" s="211"/>
      <c r="BD34" s="211"/>
      <c r="BE34" s="211"/>
      <c r="BF34" s="211">
        <v>291.47262599999999</v>
      </c>
      <c r="BG34" s="211">
        <v>538.32464600000003</v>
      </c>
      <c r="BH34" s="211">
        <v>4795.2163090000004</v>
      </c>
      <c r="BI34" s="211">
        <v>240.442871</v>
      </c>
      <c r="BJ34" s="211">
        <v>316.79553199999998</v>
      </c>
    </row>
    <row r="35" spans="2:62">
      <c r="B35" s="209">
        <v>44256</v>
      </c>
      <c r="C35" s="210">
        <v>762.391479</v>
      </c>
      <c r="D35" s="210">
        <v>300.86230499999999</v>
      </c>
      <c r="E35" s="211">
        <v>6708.0371089999999</v>
      </c>
      <c r="F35" s="211">
        <v>400.61987299999998</v>
      </c>
      <c r="G35" s="211">
        <v>1157.377808</v>
      </c>
      <c r="H35" s="211">
        <v>1749.6351320000001</v>
      </c>
      <c r="I35" s="211">
        <v>1453.4521480000001</v>
      </c>
      <c r="J35" s="211">
        <v>694.96026600000005</v>
      </c>
      <c r="K35" s="211">
        <v>55.700001</v>
      </c>
      <c r="L35" s="211">
        <v>153.34712200000001</v>
      </c>
      <c r="M35" s="211">
        <v>583.16876200000002</v>
      </c>
      <c r="N35" s="211">
        <v>4380.4208980000003</v>
      </c>
      <c r="O35" s="211">
        <v>862.65448000000004</v>
      </c>
      <c r="P35" s="211">
        <v>487.01797499999998</v>
      </c>
      <c r="Q35" s="211">
        <v>298.67358400000001</v>
      </c>
      <c r="R35" s="211">
        <v>1369.79126</v>
      </c>
      <c r="S35" s="211"/>
      <c r="T35" s="211">
        <v>280.74960299999998</v>
      </c>
      <c r="U35" s="211">
        <v>75.911963999999998</v>
      </c>
      <c r="V35" s="211"/>
      <c r="W35" s="211">
        <v>1104.849976</v>
      </c>
      <c r="X35" s="211">
        <v>100.236115</v>
      </c>
      <c r="Y35" s="211">
        <v>21.984166999999999</v>
      </c>
      <c r="Z35" s="211">
        <v>71.389679000000001</v>
      </c>
      <c r="AA35" s="211">
        <v>4.3499999999999996</v>
      </c>
      <c r="AB35" s="211">
        <v>29167.498047000001</v>
      </c>
      <c r="AC35" s="211">
        <v>297.86261000000002</v>
      </c>
      <c r="AD35" s="211">
        <v>6636.6259769999997</v>
      </c>
      <c r="AE35" s="211">
        <v>96.75</v>
      </c>
      <c r="AF35" s="211">
        <v>165.632507</v>
      </c>
      <c r="AG35" s="211">
        <v>3014.6313479999999</v>
      </c>
      <c r="AH35" s="211">
        <v>1278.5299070000001</v>
      </c>
      <c r="AI35" s="211">
        <v>2641.5141600000002</v>
      </c>
      <c r="AJ35" s="211">
        <v>531.59710700000005</v>
      </c>
      <c r="AK35" s="211"/>
      <c r="AL35" s="211">
        <v>198.120926</v>
      </c>
      <c r="AM35" s="211">
        <v>442.93032799999997</v>
      </c>
      <c r="AN35" s="211"/>
      <c r="AO35" s="211">
        <v>203.77034</v>
      </c>
      <c r="AP35" s="211">
        <v>36.400002000000001</v>
      </c>
      <c r="AQ35" s="211">
        <v>110.043724</v>
      </c>
      <c r="AR35" s="211">
        <v>92.462540000000004</v>
      </c>
      <c r="AS35" s="211">
        <v>146.300003</v>
      </c>
      <c r="AT35" s="211">
        <v>140.26666299999999</v>
      </c>
      <c r="AU35" s="211">
        <v>37</v>
      </c>
      <c r="AV35" s="211">
        <v>2322.5593260000001</v>
      </c>
      <c r="AW35" s="211">
        <v>16645.267577999999</v>
      </c>
      <c r="AX35" s="211">
        <v>219.65728799999999</v>
      </c>
      <c r="AY35" s="211">
        <v>331.50982699999997</v>
      </c>
      <c r="AZ35" s="211">
        <v>238.954803</v>
      </c>
      <c r="BA35" s="211">
        <v>39.477153999999999</v>
      </c>
      <c r="BB35" s="211">
        <v>47171.226562999997</v>
      </c>
      <c r="BC35" s="211"/>
      <c r="BD35" s="211"/>
      <c r="BE35" s="211"/>
      <c r="BF35" s="211">
        <v>287.85833700000001</v>
      </c>
      <c r="BG35" s="211">
        <v>615.30352800000003</v>
      </c>
      <c r="BH35" s="211">
        <v>4981.4887699999999</v>
      </c>
      <c r="BI35" s="211">
        <v>237.76239000000001</v>
      </c>
      <c r="BJ35" s="211">
        <v>278.020081</v>
      </c>
    </row>
    <row r="36" spans="2:62">
      <c r="B36" s="209">
        <v>44287</v>
      </c>
      <c r="C36" s="210">
        <v>721.45581100000004</v>
      </c>
      <c r="D36" s="210">
        <v>292.93701199999998</v>
      </c>
      <c r="E36" s="211">
        <v>6313.3803710000002</v>
      </c>
      <c r="F36" s="211">
        <v>391.40515099999999</v>
      </c>
      <c r="G36" s="211">
        <v>1101.9700929999999</v>
      </c>
      <c r="H36" s="211">
        <v>1745.4433590000001</v>
      </c>
      <c r="I36" s="211">
        <v>1374.291504</v>
      </c>
      <c r="J36" s="211">
        <v>712.34802200000001</v>
      </c>
      <c r="K36" s="211">
        <v>54.700001</v>
      </c>
      <c r="L36" s="211">
        <v>163.96688800000001</v>
      </c>
      <c r="M36" s="211">
        <v>638.43231200000002</v>
      </c>
      <c r="N36" s="211">
        <v>5008.0942379999997</v>
      </c>
      <c r="O36" s="211">
        <v>960.09832800000004</v>
      </c>
      <c r="P36" s="211">
        <v>530.39672900000005</v>
      </c>
      <c r="Q36" s="211">
        <v>310.35702500000002</v>
      </c>
      <c r="R36" s="211">
        <v>1294.056274</v>
      </c>
      <c r="S36" s="211"/>
      <c r="T36" s="211">
        <v>241.87207000000001</v>
      </c>
      <c r="U36" s="211">
        <v>71.732010000000002</v>
      </c>
      <c r="V36" s="211"/>
      <c r="W36" s="211">
        <v>1018.950012</v>
      </c>
      <c r="X36" s="211">
        <v>95.964554000000007</v>
      </c>
      <c r="Y36" s="211">
        <v>21.804337</v>
      </c>
      <c r="Z36" s="211">
        <v>71.059837000000002</v>
      </c>
      <c r="AA36" s="211">
        <v>4.8499999999999996</v>
      </c>
      <c r="AB36" s="211">
        <v>27628.314452999999</v>
      </c>
      <c r="AC36" s="211">
        <v>299.11975100000001</v>
      </c>
      <c r="AD36" s="211">
        <v>6184.5283200000003</v>
      </c>
      <c r="AE36" s="211">
        <v>102.900002</v>
      </c>
      <c r="AF36" s="211">
        <v>177.91767899999999</v>
      </c>
      <c r="AG36" s="211">
        <v>2879.7348630000001</v>
      </c>
      <c r="AH36" s="211">
        <v>1265.726318</v>
      </c>
      <c r="AI36" s="211">
        <v>3413.6928710000002</v>
      </c>
      <c r="AJ36" s="211">
        <v>713.11096199999997</v>
      </c>
      <c r="AK36" s="211"/>
      <c r="AL36" s="211">
        <v>180.960846</v>
      </c>
      <c r="AM36" s="211">
        <v>511.72912600000001</v>
      </c>
      <c r="AN36" s="211"/>
      <c r="AO36" s="211">
        <v>218.85734600000001</v>
      </c>
      <c r="AP36" s="211">
        <v>39.5</v>
      </c>
      <c r="AQ36" s="211">
        <v>110.68899500000001</v>
      </c>
      <c r="AR36" s="211">
        <v>86.245316000000003</v>
      </c>
      <c r="AS36" s="211">
        <v>143.199997</v>
      </c>
      <c r="AT36" s="211">
        <v>140.46665999999999</v>
      </c>
      <c r="AU36" s="211">
        <v>35.400002000000001</v>
      </c>
      <c r="AV36" s="211">
        <v>2248.2932129999999</v>
      </c>
      <c r="AW36" s="211">
        <v>15815.243164</v>
      </c>
      <c r="AX36" s="211">
        <v>208.181107</v>
      </c>
      <c r="AY36" s="211">
        <v>350.17321800000002</v>
      </c>
      <c r="AZ36" s="211">
        <v>257.84869400000002</v>
      </c>
      <c r="BA36" s="211">
        <v>42.035595000000001</v>
      </c>
      <c r="BB36" s="211">
        <v>42834.699219000002</v>
      </c>
      <c r="BC36" s="211"/>
      <c r="BD36" s="211"/>
      <c r="BE36" s="211"/>
      <c r="BF36" s="211">
        <v>296.27520800000002</v>
      </c>
      <c r="BG36" s="211">
        <v>581.79907200000002</v>
      </c>
      <c r="BH36" s="211">
        <v>4986.1054690000001</v>
      </c>
      <c r="BI36" s="211">
        <v>264.14389</v>
      </c>
      <c r="BJ36" s="211">
        <v>290.91293300000001</v>
      </c>
    </row>
    <row r="37" spans="2:62">
      <c r="B37" s="209">
        <v>44317</v>
      </c>
      <c r="C37" s="210">
        <v>774.56671100000005</v>
      </c>
      <c r="D37" s="210">
        <v>317.75964399999998</v>
      </c>
      <c r="E37" s="211">
        <v>6930.1313479999999</v>
      </c>
      <c r="F37" s="211">
        <v>400.66861</v>
      </c>
      <c r="G37" s="211">
        <v>1179.046143</v>
      </c>
      <c r="H37" s="211">
        <v>1804.230225</v>
      </c>
      <c r="I37" s="211">
        <v>1475.0546879999999</v>
      </c>
      <c r="J37" s="211">
        <v>748.02020300000004</v>
      </c>
      <c r="K37" s="211">
        <v>58.5</v>
      </c>
      <c r="L37" s="211">
        <v>169.47341900000001</v>
      </c>
      <c r="M37" s="211">
        <v>651.94329800000003</v>
      </c>
      <c r="N37" s="211">
        <v>5149.7592770000001</v>
      </c>
      <c r="O37" s="211">
        <v>976.83660899999995</v>
      </c>
      <c r="P37" s="211">
        <v>504.02639799999997</v>
      </c>
      <c r="Q37" s="211">
        <v>324.49258400000002</v>
      </c>
      <c r="R37" s="211">
        <v>1416.9021</v>
      </c>
      <c r="S37" s="211">
        <v>315.57501200000002</v>
      </c>
      <c r="T37" s="211">
        <v>282.11886600000003</v>
      </c>
      <c r="U37" s="211">
        <v>77.785736</v>
      </c>
      <c r="V37" s="211"/>
      <c r="W37" s="211">
        <v>1268.1999510000001</v>
      </c>
      <c r="X37" s="211">
        <v>103.342705</v>
      </c>
      <c r="Y37" s="211">
        <v>23.377846000000002</v>
      </c>
      <c r="Z37" s="211">
        <v>76.431725</v>
      </c>
      <c r="AA37" s="211">
        <v>8.65</v>
      </c>
      <c r="AB37" s="211">
        <v>27299.175781000002</v>
      </c>
      <c r="AC37" s="211">
        <v>316.29943800000001</v>
      </c>
      <c r="AD37" s="211">
        <v>6607.1259769999997</v>
      </c>
      <c r="AE37" s="211">
        <v>111</v>
      </c>
      <c r="AF37" s="211">
        <v>199.54916399999999</v>
      </c>
      <c r="AG37" s="211">
        <v>2996.891846</v>
      </c>
      <c r="AH37" s="211">
        <v>1302.548096</v>
      </c>
      <c r="AI37" s="211">
        <v>3574.023682</v>
      </c>
      <c r="AJ37" s="211">
        <v>853.97106900000006</v>
      </c>
      <c r="AK37" s="211"/>
      <c r="AL37" s="211">
        <v>204.11721800000001</v>
      </c>
      <c r="AM37" s="211">
        <v>510.12805200000003</v>
      </c>
      <c r="AN37" s="211"/>
      <c r="AO37" s="211">
        <v>225.345123</v>
      </c>
      <c r="AP37" s="211">
        <v>40.599997999999999</v>
      </c>
      <c r="AQ37" s="211">
        <v>138.286789</v>
      </c>
      <c r="AR37" s="211">
        <v>108.876007</v>
      </c>
      <c r="AS37" s="211">
        <v>176.5</v>
      </c>
      <c r="AT37" s="211">
        <v>173.633331</v>
      </c>
      <c r="AU37" s="211">
        <v>41.799999</v>
      </c>
      <c r="AV37" s="211">
        <v>2235.2067870000001</v>
      </c>
      <c r="AW37" s="211">
        <v>17252.902343999998</v>
      </c>
      <c r="AX37" s="211">
        <v>221.54080200000001</v>
      </c>
      <c r="AY37" s="211">
        <v>413.30389400000001</v>
      </c>
      <c r="AZ37" s="211">
        <v>265.38784800000002</v>
      </c>
      <c r="BA37" s="211">
        <v>46.390709000000001</v>
      </c>
      <c r="BB37" s="211">
        <v>42567.941405999998</v>
      </c>
      <c r="BC37" s="211"/>
      <c r="BD37" s="211"/>
      <c r="BE37" s="211"/>
      <c r="BF37" s="211">
        <v>320.38714599999997</v>
      </c>
      <c r="BG37" s="211">
        <v>781.38806199999999</v>
      </c>
      <c r="BH37" s="211">
        <v>4939.8056640000004</v>
      </c>
      <c r="BI37" s="211">
        <v>294.61654700000003</v>
      </c>
      <c r="BJ37" s="211">
        <v>341.99954200000002</v>
      </c>
    </row>
    <row r="38" spans="2:62">
      <c r="B38" s="209">
        <v>44348</v>
      </c>
      <c r="C38" s="210">
        <v>745.56671100000005</v>
      </c>
      <c r="D38" s="210">
        <v>338.54486100000003</v>
      </c>
      <c r="E38" s="211">
        <v>7350.2641599999997</v>
      </c>
      <c r="F38" s="211">
        <v>441.52533</v>
      </c>
      <c r="G38" s="211">
        <v>1199.972534</v>
      </c>
      <c r="H38" s="211">
        <v>1702.575562</v>
      </c>
      <c r="I38" s="211">
        <v>1457.587769</v>
      </c>
      <c r="J38" s="211">
        <v>745.62872300000004</v>
      </c>
      <c r="K38" s="211">
        <v>54.200001</v>
      </c>
      <c r="L38" s="211">
        <v>163.81939700000001</v>
      </c>
      <c r="M38" s="211">
        <v>658.918274</v>
      </c>
      <c r="N38" s="211">
        <v>5260.2397460000002</v>
      </c>
      <c r="O38" s="211">
        <v>944.77948000000004</v>
      </c>
      <c r="P38" s="211">
        <v>470.49981700000001</v>
      </c>
      <c r="Q38" s="211">
        <v>305.50097699999998</v>
      </c>
      <c r="R38" s="211">
        <v>1448.615356</v>
      </c>
      <c r="S38" s="211">
        <v>341.82501200000002</v>
      </c>
      <c r="T38" s="211">
        <v>274.93017600000002</v>
      </c>
      <c r="U38" s="211">
        <v>83.455116000000004</v>
      </c>
      <c r="V38" s="211"/>
      <c r="W38" s="211">
        <v>1124.900024</v>
      </c>
      <c r="X38" s="211">
        <v>118.535881</v>
      </c>
      <c r="Y38" s="211">
        <v>23.557676000000001</v>
      </c>
      <c r="Z38" s="211">
        <v>78.882064999999997</v>
      </c>
      <c r="AA38" s="211">
        <v>15</v>
      </c>
      <c r="AB38" s="211">
        <v>27226.519531000002</v>
      </c>
      <c r="AC38" s="211">
        <v>329.704407</v>
      </c>
      <c r="AD38" s="211">
        <v>6674.1035160000001</v>
      </c>
      <c r="AE38" s="211">
        <v>109.949997</v>
      </c>
      <c r="AF38" s="211">
        <v>203.484375</v>
      </c>
      <c r="AG38" s="211">
        <v>3189.4331050000001</v>
      </c>
      <c r="AH38" s="211">
        <v>1493.3004149999999</v>
      </c>
      <c r="AI38" s="211">
        <v>4222.1650390000004</v>
      </c>
      <c r="AJ38" s="211">
        <v>988.38385000000005</v>
      </c>
      <c r="AK38" s="211"/>
      <c r="AL38" s="211">
        <v>209.38223300000001</v>
      </c>
      <c r="AM38" s="211">
        <v>498.92056300000002</v>
      </c>
      <c r="AN38" s="211"/>
      <c r="AO38" s="211">
        <v>229.29922500000001</v>
      </c>
      <c r="AP38" s="211">
        <v>50.049999</v>
      </c>
      <c r="AQ38" s="211">
        <v>140.421143</v>
      </c>
      <c r="AR38" s="211">
        <v>111.362892</v>
      </c>
      <c r="AS38" s="211">
        <v>177.199997</v>
      </c>
      <c r="AT38" s="211">
        <v>166.699997</v>
      </c>
      <c r="AU38" s="211">
        <v>41.950001</v>
      </c>
      <c r="AV38" s="211">
        <v>2360.5764159999999</v>
      </c>
      <c r="AW38" s="211">
        <v>17191.916015999999</v>
      </c>
      <c r="AX38" s="211">
        <v>239.68585200000001</v>
      </c>
      <c r="AY38" s="211">
        <v>395.82229599999999</v>
      </c>
      <c r="AZ38" s="211">
        <v>262.67562900000001</v>
      </c>
      <c r="BA38" s="211">
        <v>56.791930999999998</v>
      </c>
      <c r="BB38" s="211">
        <v>41559.445312999997</v>
      </c>
      <c r="BC38" s="211"/>
      <c r="BD38" s="211"/>
      <c r="BE38" s="211"/>
      <c r="BF38" s="211">
        <v>382.47430400000002</v>
      </c>
      <c r="BG38" s="211">
        <v>760.05828899999995</v>
      </c>
      <c r="BH38" s="211">
        <v>5397.8178710000002</v>
      </c>
      <c r="BI38" s="211">
        <v>305.573578</v>
      </c>
      <c r="BJ38" s="211">
        <v>334.24447600000002</v>
      </c>
    </row>
    <row r="39" spans="2:62">
      <c r="B39" s="209">
        <v>44378</v>
      </c>
      <c r="C39" s="210">
        <v>712.39624000000003</v>
      </c>
      <c r="D39" s="210">
        <v>293.03671300000002</v>
      </c>
      <c r="E39" s="211">
        <v>6823.9262699999999</v>
      </c>
      <c r="F39" s="211">
        <v>416.221497</v>
      </c>
      <c r="G39" s="211">
        <v>1483.739014</v>
      </c>
      <c r="H39" s="211">
        <v>1651.6236570000001</v>
      </c>
      <c r="I39" s="211">
        <v>1394.068115</v>
      </c>
      <c r="J39" s="211">
        <v>706.36938499999997</v>
      </c>
      <c r="K39" s="211">
        <v>52</v>
      </c>
      <c r="L39" s="211">
        <v>148.007767</v>
      </c>
      <c r="M39" s="211">
        <v>755.00750700000003</v>
      </c>
      <c r="N39" s="211">
        <v>4569.7612300000001</v>
      </c>
      <c r="O39" s="211">
        <v>897.20764199999996</v>
      </c>
      <c r="P39" s="211">
        <v>496.33093300000002</v>
      </c>
      <c r="Q39" s="211">
        <v>320.40579200000002</v>
      </c>
      <c r="R39" s="211">
        <v>1546.0230710000001</v>
      </c>
      <c r="S39" s="211">
        <v>426.89999399999999</v>
      </c>
      <c r="T39" s="211">
        <v>330.23898300000002</v>
      </c>
      <c r="U39" s="211">
        <v>84.367981</v>
      </c>
      <c r="V39" s="211"/>
      <c r="W39" s="211">
        <v>882.29998799999998</v>
      </c>
      <c r="X39" s="211">
        <v>122.863243</v>
      </c>
      <c r="Y39" s="211">
        <v>23.602633000000001</v>
      </c>
      <c r="Z39" s="211">
        <v>91.228012000000007</v>
      </c>
      <c r="AA39" s="211">
        <v>12.05</v>
      </c>
      <c r="AB39" s="211">
        <v>27979.972656000002</v>
      </c>
      <c r="AC39" s="211">
        <v>397.93914799999999</v>
      </c>
      <c r="AD39" s="211">
        <v>7504.6235349999997</v>
      </c>
      <c r="AE39" s="211">
        <v>111.199997</v>
      </c>
      <c r="AF39" s="211">
        <v>248.54125999999999</v>
      </c>
      <c r="AG39" s="211">
        <v>3019.4638669999999</v>
      </c>
      <c r="AH39" s="211">
        <v>1521.356567</v>
      </c>
      <c r="AI39" s="211">
        <v>4171.7802730000003</v>
      </c>
      <c r="AJ39" s="211">
        <v>1344.5401609999999</v>
      </c>
      <c r="AK39" s="211"/>
      <c r="AL39" s="211">
        <v>197.682175</v>
      </c>
      <c r="AM39" s="211">
        <v>545.86956799999996</v>
      </c>
      <c r="AN39" s="211"/>
      <c r="AO39" s="211">
        <v>224.84608499999999</v>
      </c>
      <c r="AP39" s="211">
        <v>50</v>
      </c>
      <c r="AQ39" s="211">
        <v>144.45826700000001</v>
      </c>
      <c r="AR39" s="211">
        <v>110.666573</v>
      </c>
      <c r="AS39" s="211">
        <v>177.050003</v>
      </c>
      <c r="AT39" s="211">
        <v>206.33332799999999</v>
      </c>
      <c r="AU39" s="211">
        <v>41.200001</v>
      </c>
      <c r="AV39" s="211">
        <v>2244.8857419999999</v>
      </c>
      <c r="AW39" s="211">
        <v>17259.824218999998</v>
      </c>
      <c r="AX39" s="211">
        <v>250.264084</v>
      </c>
      <c r="AY39" s="211">
        <v>422.41400099999998</v>
      </c>
      <c r="AZ39" s="211">
        <v>265.73913599999997</v>
      </c>
      <c r="BA39" s="211">
        <v>58.913646999999997</v>
      </c>
      <c r="BB39" s="211">
        <v>42451.160155999998</v>
      </c>
      <c r="BC39" s="211"/>
      <c r="BD39" s="211"/>
      <c r="BE39" s="211"/>
      <c r="BF39" s="211">
        <v>419.40966800000001</v>
      </c>
      <c r="BG39" s="211">
        <v>775.10894800000005</v>
      </c>
      <c r="BH39" s="211">
        <v>5388.5390630000002</v>
      </c>
      <c r="BI39" s="211">
        <v>310.60342400000002</v>
      </c>
      <c r="BJ39" s="211">
        <v>336.86181599999998</v>
      </c>
    </row>
    <row r="40" spans="2:62">
      <c r="B40" s="209">
        <v>44409</v>
      </c>
      <c r="C40" s="210">
        <v>769.08209199999999</v>
      </c>
      <c r="D40" s="210">
        <v>286.40734900000001</v>
      </c>
      <c r="E40" s="211">
        <v>6695.2255859999996</v>
      </c>
      <c r="F40" s="211">
        <v>419.16433699999999</v>
      </c>
      <c r="G40" s="211">
        <v>1342.5976559999999</v>
      </c>
      <c r="H40" s="211">
        <v>1750.333862</v>
      </c>
      <c r="I40" s="211">
        <v>1545.500732</v>
      </c>
      <c r="J40" s="211">
        <v>783.69238299999995</v>
      </c>
      <c r="K40" s="211">
        <v>42.950001</v>
      </c>
      <c r="L40" s="211">
        <v>149.48538199999999</v>
      </c>
      <c r="M40" s="211">
        <v>774.61554000000001</v>
      </c>
      <c r="N40" s="211">
        <v>4604.8715819999998</v>
      </c>
      <c r="O40" s="211">
        <v>711.91272000000004</v>
      </c>
      <c r="P40" s="211">
        <v>525.49511700000005</v>
      </c>
      <c r="Q40" s="211">
        <v>284.11361699999998</v>
      </c>
      <c r="R40" s="211">
        <v>1632.596802</v>
      </c>
      <c r="S40" s="211">
        <v>479.25</v>
      </c>
      <c r="T40" s="211">
        <v>313.51428199999998</v>
      </c>
      <c r="U40" s="211">
        <v>76.152191000000002</v>
      </c>
      <c r="V40" s="211"/>
      <c r="W40" s="211">
        <v>1068.349976</v>
      </c>
      <c r="X40" s="211">
        <v>126.844009</v>
      </c>
      <c r="Y40" s="211">
        <v>24.232036999999998</v>
      </c>
      <c r="Z40" s="211">
        <v>77.138557000000006</v>
      </c>
      <c r="AA40" s="211">
        <v>11.4</v>
      </c>
      <c r="AB40" s="211">
        <v>28061.857422000001</v>
      </c>
      <c r="AC40" s="211">
        <v>407.521027</v>
      </c>
      <c r="AD40" s="211">
        <v>7714.6669920000004</v>
      </c>
      <c r="AE40" s="211">
        <v>106.25</v>
      </c>
      <c r="AF40" s="211">
        <v>226.49835200000001</v>
      </c>
      <c r="AG40" s="211">
        <v>3617.4204100000002</v>
      </c>
      <c r="AH40" s="211">
        <v>1611.9954829999999</v>
      </c>
      <c r="AI40" s="211">
        <v>4709.8505859999996</v>
      </c>
      <c r="AJ40" s="211">
        <v>1409.8118899999999</v>
      </c>
      <c r="AK40" s="211"/>
      <c r="AL40" s="211">
        <v>167.359543</v>
      </c>
      <c r="AM40" s="211">
        <v>454.467468</v>
      </c>
      <c r="AN40" s="211"/>
      <c r="AO40" s="211">
        <v>222.73468</v>
      </c>
      <c r="AP40" s="211">
        <v>48.799999</v>
      </c>
      <c r="AQ40" s="211">
        <v>139.77903699999999</v>
      </c>
      <c r="AR40" s="211">
        <v>101.862984</v>
      </c>
      <c r="AS40" s="211">
        <v>170.89999399999999</v>
      </c>
      <c r="AT40" s="211">
        <v>211.33332799999999</v>
      </c>
      <c r="AU40" s="211">
        <v>38.599997999999999</v>
      </c>
      <c r="AV40" s="211">
        <v>2620.8774410000001</v>
      </c>
      <c r="AW40" s="211">
        <v>18980.773438</v>
      </c>
      <c r="AX40" s="211">
        <v>278.23733499999997</v>
      </c>
      <c r="AY40" s="211">
        <v>391.62768599999998</v>
      </c>
      <c r="AZ40" s="211">
        <v>229.074219</v>
      </c>
      <c r="BA40" s="211">
        <v>59.551758</v>
      </c>
      <c r="BB40" s="211">
        <v>39347.464844000002</v>
      </c>
      <c r="BC40" s="211"/>
      <c r="BD40" s="211"/>
      <c r="BE40" s="211"/>
      <c r="BF40" s="211">
        <v>422.16815200000002</v>
      </c>
      <c r="BG40" s="211">
        <v>719.23761000000002</v>
      </c>
      <c r="BH40" s="211">
        <v>5190.6870120000003</v>
      </c>
      <c r="BI40" s="211">
        <v>269.95254499999999</v>
      </c>
      <c r="BJ40" s="211">
        <v>308.53259300000002</v>
      </c>
    </row>
    <row r="41" spans="2:62">
      <c r="B41" s="209">
        <v>44440</v>
      </c>
      <c r="C41" s="210">
        <v>778.53448500000002</v>
      </c>
      <c r="D41" s="210">
        <v>332.31427000000002</v>
      </c>
      <c r="E41" s="211">
        <v>7222.0888670000004</v>
      </c>
      <c r="F41" s="211">
        <v>436.24597199999999</v>
      </c>
      <c r="G41" s="211">
        <v>1454.353149</v>
      </c>
      <c r="H41" s="211">
        <v>2002.644409</v>
      </c>
      <c r="I41" s="211">
        <v>1558.7430420000001</v>
      </c>
      <c r="J41" s="211">
        <v>763.81353799999999</v>
      </c>
      <c r="K41" s="211">
        <v>47.650002000000001</v>
      </c>
      <c r="L41" s="211">
        <v>155.50045800000001</v>
      </c>
      <c r="M41" s="211">
        <v>800.32617200000004</v>
      </c>
      <c r="N41" s="211">
        <v>4777.7973629999997</v>
      </c>
      <c r="O41" s="211">
        <v>710.99108899999999</v>
      </c>
      <c r="P41" s="211">
        <v>519.76245100000006</v>
      </c>
      <c r="Q41" s="211">
        <v>263.38180499999999</v>
      </c>
      <c r="R41" s="211">
        <v>1662.61853</v>
      </c>
      <c r="S41" s="211">
        <v>528.75</v>
      </c>
      <c r="T41" s="211">
        <v>410.701233</v>
      </c>
      <c r="U41" s="211">
        <v>79.962813999999995</v>
      </c>
      <c r="V41" s="211"/>
      <c r="W41" s="211">
        <v>1146.599976</v>
      </c>
      <c r="X41" s="211">
        <v>156.036316</v>
      </c>
      <c r="Y41" s="211">
        <v>26.839565</v>
      </c>
      <c r="Z41" s="211">
        <v>81.143921000000006</v>
      </c>
      <c r="AA41" s="211">
        <v>13.65</v>
      </c>
      <c r="AB41" s="211">
        <v>28670.605468999998</v>
      </c>
      <c r="AC41" s="211">
        <v>387.34097300000002</v>
      </c>
      <c r="AD41" s="211">
        <v>7320.4277339999999</v>
      </c>
      <c r="AE41" s="211">
        <v>107.25</v>
      </c>
      <c r="AF41" s="211">
        <v>212.51516699999999</v>
      </c>
      <c r="AG41" s="211">
        <v>3607.0070799999999</v>
      </c>
      <c r="AH41" s="211">
        <v>1582.475342</v>
      </c>
      <c r="AI41" s="211">
        <v>5522.4091799999997</v>
      </c>
      <c r="AJ41" s="211">
        <v>1362.6602780000001</v>
      </c>
      <c r="AK41" s="211"/>
      <c r="AL41" s="211">
        <v>295.621399</v>
      </c>
      <c r="AM41" s="211">
        <v>479.66546599999998</v>
      </c>
      <c r="AN41" s="211"/>
      <c r="AO41" s="211">
        <v>223.08015399999999</v>
      </c>
      <c r="AP41" s="211">
        <v>51.950001</v>
      </c>
      <c r="AQ41" s="211">
        <v>180.59771699999999</v>
      </c>
      <c r="AR41" s="211">
        <v>128.671661</v>
      </c>
      <c r="AS41" s="211">
        <v>239.89999399999999</v>
      </c>
      <c r="AT41" s="211">
        <v>245.800003</v>
      </c>
      <c r="AU41" s="211">
        <v>45.400002000000001</v>
      </c>
      <c r="AV41" s="211">
        <v>2599.4221189999998</v>
      </c>
      <c r="AW41" s="211">
        <v>18959.128906000002</v>
      </c>
      <c r="AX41" s="211">
        <v>296.839294</v>
      </c>
      <c r="AY41" s="211">
        <v>408.015625</v>
      </c>
      <c r="AZ41" s="211">
        <v>235.17726099999999</v>
      </c>
      <c r="BA41" s="211">
        <v>64.752373000000006</v>
      </c>
      <c r="BB41" s="211">
        <v>45511.875</v>
      </c>
      <c r="BC41" s="211"/>
      <c r="BD41" s="211"/>
      <c r="BE41" s="211"/>
      <c r="BF41" s="211">
        <v>398.95413200000002</v>
      </c>
      <c r="BG41" s="211">
        <v>686.68395999999996</v>
      </c>
      <c r="BH41" s="211">
        <v>4961.8432620000003</v>
      </c>
      <c r="BI41" s="211">
        <v>273.78298999999998</v>
      </c>
      <c r="BJ41" s="211">
        <v>323.19665500000002</v>
      </c>
    </row>
    <row r="42" spans="2:62">
      <c r="B42" s="209">
        <v>44470</v>
      </c>
      <c r="C42" s="210">
        <v>857.25561500000003</v>
      </c>
      <c r="D42" s="210">
        <v>482.19714399999998</v>
      </c>
      <c r="E42" s="211">
        <v>7364.1577150000003</v>
      </c>
      <c r="F42" s="211">
        <v>470.26153599999998</v>
      </c>
      <c r="G42" s="211">
        <v>1399.5977780000001</v>
      </c>
      <c r="H42" s="211">
        <v>2028.2579350000001</v>
      </c>
      <c r="I42" s="211">
        <v>1546.9178469999999</v>
      </c>
      <c r="J42" s="211">
        <v>739.35119599999996</v>
      </c>
      <c r="K42" s="211">
        <v>49.5</v>
      </c>
      <c r="L42" s="211">
        <v>165.85730000000001</v>
      </c>
      <c r="M42" s="211">
        <v>777.58551</v>
      </c>
      <c r="N42" s="211">
        <v>4560.9672849999997</v>
      </c>
      <c r="O42" s="211">
        <v>676.21643100000006</v>
      </c>
      <c r="P42" s="211">
        <v>500.428223</v>
      </c>
      <c r="Q42" s="211">
        <v>233.45207199999999</v>
      </c>
      <c r="R42" s="211">
        <v>1724.809937</v>
      </c>
      <c r="S42" s="211">
        <v>532.09997599999997</v>
      </c>
      <c r="T42" s="211">
        <v>392.390961</v>
      </c>
      <c r="U42" s="211">
        <v>69.003699999999995</v>
      </c>
      <c r="V42" s="211"/>
      <c r="W42" s="211">
        <v>1152.849976</v>
      </c>
      <c r="X42" s="211">
        <v>210.63674900000001</v>
      </c>
      <c r="Y42" s="211">
        <v>27.953887999999999</v>
      </c>
      <c r="Z42" s="211">
        <v>84.233231000000004</v>
      </c>
      <c r="AA42" s="211">
        <v>14.1</v>
      </c>
      <c r="AB42" s="211">
        <v>28406.431640999999</v>
      </c>
      <c r="AC42" s="211">
        <v>391.793182</v>
      </c>
      <c r="AD42" s="211">
        <v>7557.9223629999997</v>
      </c>
      <c r="AE42" s="211">
        <v>99.800003000000004</v>
      </c>
      <c r="AF42" s="211">
        <v>238.754288</v>
      </c>
      <c r="AG42" s="211">
        <v>3246.0722660000001</v>
      </c>
      <c r="AH42" s="211">
        <v>1575.4376219999999</v>
      </c>
      <c r="AI42" s="211">
        <v>5797.0961909999996</v>
      </c>
      <c r="AJ42" s="211">
        <v>1258.432861</v>
      </c>
      <c r="AK42" s="211"/>
      <c r="AL42" s="211">
        <v>297.70877100000001</v>
      </c>
      <c r="AM42" s="211">
        <v>532.48699999999997</v>
      </c>
      <c r="AN42" s="211"/>
      <c r="AO42" s="211">
        <v>241.828384</v>
      </c>
      <c r="AP42" s="211">
        <v>77.199996999999996</v>
      </c>
      <c r="AQ42" s="211">
        <v>189.84239199999999</v>
      </c>
      <c r="AR42" s="211">
        <v>138.02235400000001</v>
      </c>
      <c r="AS42" s="211">
        <v>235.949997</v>
      </c>
      <c r="AT42" s="211">
        <v>227.89999399999999</v>
      </c>
      <c r="AU42" s="211">
        <v>54.5</v>
      </c>
      <c r="AV42" s="211">
        <v>2302.467529</v>
      </c>
      <c r="AW42" s="211">
        <v>18524.869140999999</v>
      </c>
      <c r="AX42" s="211">
        <v>280.882813</v>
      </c>
      <c r="AY42" s="211">
        <v>398.16308600000002</v>
      </c>
      <c r="AZ42" s="211">
        <v>215.517044</v>
      </c>
      <c r="BA42" s="211">
        <v>66.402191000000002</v>
      </c>
      <c r="BB42" s="211">
        <v>41748.53125</v>
      </c>
      <c r="BC42" s="211"/>
      <c r="BD42" s="211"/>
      <c r="BE42" s="211"/>
      <c r="BF42" s="211">
        <v>373.21038800000002</v>
      </c>
      <c r="BG42" s="211">
        <v>718.21881099999996</v>
      </c>
      <c r="BH42" s="211">
        <v>4671.75</v>
      </c>
      <c r="BI42" s="211">
        <v>254.10394299999999</v>
      </c>
      <c r="BJ42" s="211">
        <v>301.151611</v>
      </c>
    </row>
    <row r="43" spans="2:62">
      <c r="B43" s="209">
        <v>44501</v>
      </c>
      <c r="C43" s="210">
        <v>809.99383499999999</v>
      </c>
      <c r="D43" s="210">
        <v>457.17514</v>
      </c>
      <c r="E43" s="211">
        <v>6956.109375</v>
      </c>
      <c r="F43" s="211">
        <v>418.77053799999999</v>
      </c>
      <c r="G43" s="211">
        <v>1278.43103</v>
      </c>
      <c r="H43" s="211">
        <v>1959.1064449999999</v>
      </c>
      <c r="I43" s="211">
        <v>1459.6451420000001</v>
      </c>
      <c r="J43" s="211">
        <v>653.30950900000005</v>
      </c>
      <c r="K43" s="211">
        <v>44.599997999999999</v>
      </c>
      <c r="L43" s="211">
        <v>142.727036</v>
      </c>
      <c r="M43" s="211">
        <v>737.09234600000002</v>
      </c>
      <c r="N43" s="211">
        <v>4577.2661129999997</v>
      </c>
      <c r="O43" s="211">
        <v>647.67089799999997</v>
      </c>
      <c r="P43" s="211">
        <v>478.830872</v>
      </c>
      <c r="Q43" s="211">
        <v>205.32295199999999</v>
      </c>
      <c r="R43" s="211">
        <v>1722.954956</v>
      </c>
      <c r="S43" s="211">
        <v>708.90002400000003</v>
      </c>
      <c r="T43" s="211">
        <v>368.96167000000003</v>
      </c>
      <c r="U43" s="211">
        <v>68.712745999999996</v>
      </c>
      <c r="V43" s="211"/>
      <c r="W43" s="211">
        <v>1295.400024</v>
      </c>
      <c r="X43" s="211">
        <v>213.094009</v>
      </c>
      <c r="Y43" s="211">
        <v>28.318107999999999</v>
      </c>
      <c r="Z43" s="211">
        <v>78.341774000000001</v>
      </c>
      <c r="AA43" s="211">
        <v>12.9</v>
      </c>
      <c r="AB43" s="211">
        <v>25893.669922000001</v>
      </c>
      <c r="AC43" s="211">
        <v>362.56353799999999</v>
      </c>
      <c r="AD43" s="211">
        <v>7357.6923829999996</v>
      </c>
      <c r="AE43" s="211">
        <v>95.300003000000004</v>
      </c>
      <c r="AF43" s="211">
        <v>204.72314499999999</v>
      </c>
      <c r="AG43" s="211">
        <v>3378.0754390000002</v>
      </c>
      <c r="AH43" s="211">
        <v>1632.1904300000001</v>
      </c>
      <c r="AI43" s="211">
        <v>5707.6064450000003</v>
      </c>
      <c r="AJ43" s="211">
        <v>1190.4453129999999</v>
      </c>
      <c r="AK43" s="211"/>
      <c r="AL43" s="211">
        <v>320.80725100000001</v>
      </c>
      <c r="AM43" s="211">
        <v>494.47262599999999</v>
      </c>
      <c r="AN43" s="211"/>
      <c r="AO43" s="211">
        <v>313.11142000000001</v>
      </c>
      <c r="AP43" s="211">
        <v>71.599997999999999</v>
      </c>
      <c r="AQ43" s="211">
        <v>179.50259399999999</v>
      </c>
      <c r="AR43" s="211">
        <v>119.768585</v>
      </c>
      <c r="AS43" s="211">
        <v>237.85000600000001</v>
      </c>
      <c r="AT43" s="211">
        <v>207.39999399999999</v>
      </c>
      <c r="AU43" s="211">
        <v>44.549999</v>
      </c>
      <c r="AV43" s="211">
        <v>2243.4353030000002</v>
      </c>
      <c r="AW43" s="211">
        <v>18783.972656000002</v>
      </c>
      <c r="AX43" s="211">
        <v>294.80542000000003</v>
      </c>
      <c r="AY43" s="211">
        <v>380.53732300000001</v>
      </c>
      <c r="AZ43" s="211">
        <v>170.512833</v>
      </c>
      <c r="BA43" s="211">
        <v>65.407050999999996</v>
      </c>
      <c r="BB43" s="211">
        <v>38722.15625</v>
      </c>
      <c r="BC43" s="211"/>
      <c r="BD43" s="211"/>
      <c r="BE43" s="211"/>
      <c r="BF43" s="211">
        <v>368.69653299999999</v>
      </c>
      <c r="BG43" s="211">
        <v>661.45599400000003</v>
      </c>
      <c r="BH43" s="211">
        <v>4311.8828130000002</v>
      </c>
      <c r="BI43" s="211">
        <v>238.44688400000001</v>
      </c>
      <c r="BJ43" s="211">
        <v>307.35940599999998</v>
      </c>
    </row>
    <row r="44" spans="2:62">
      <c r="B44" s="209">
        <v>44531</v>
      </c>
      <c r="C44" s="210">
        <v>811.59350600000005</v>
      </c>
      <c r="D44" s="210">
        <v>480.901184</v>
      </c>
      <c r="E44" s="211">
        <v>7309.0927730000003</v>
      </c>
      <c r="F44" s="211">
        <v>471.68911700000001</v>
      </c>
      <c r="G44" s="211">
        <v>1241.897217</v>
      </c>
      <c r="H44" s="211">
        <v>1793.5426030000001</v>
      </c>
      <c r="I44" s="211">
        <v>1445.816284</v>
      </c>
      <c r="J44" s="211">
        <v>676.12768600000004</v>
      </c>
      <c r="K44" s="211">
        <v>48.349997999999999</v>
      </c>
      <c r="L44" s="211">
        <v>132.81407200000001</v>
      </c>
      <c r="M44" s="211">
        <v>827.17492700000003</v>
      </c>
      <c r="N44" s="211">
        <v>4803.5424800000001</v>
      </c>
      <c r="O44" s="211">
        <v>721.93585199999995</v>
      </c>
      <c r="P44" s="211">
        <v>485.32482900000002</v>
      </c>
      <c r="Q44" s="211">
        <v>242.114655</v>
      </c>
      <c r="R44" s="211">
        <v>1850.9989009999999</v>
      </c>
      <c r="S44" s="211">
        <v>616.77502400000003</v>
      </c>
      <c r="T44" s="211">
        <v>384.36792000000003</v>
      </c>
      <c r="U44" s="211">
        <v>68.227829</v>
      </c>
      <c r="V44" s="211"/>
      <c r="W44" s="211">
        <v>1330.25</v>
      </c>
      <c r="X44" s="211">
        <v>217.17306500000001</v>
      </c>
      <c r="Y44" s="211">
        <v>28.181528</v>
      </c>
      <c r="Z44" s="211">
        <v>80.386748999999995</v>
      </c>
      <c r="AA44" s="211">
        <v>13.6</v>
      </c>
      <c r="AB44" s="211">
        <v>26771.798827999999</v>
      </c>
      <c r="AC44" s="211">
        <v>365.37039199999998</v>
      </c>
      <c r="AD44" s="211">
        <v>7513.3828130000002</v>
      </c>
      <c r="AE44" s="211">
        <v>95.300003000000004</v>
      </c>
      <c r="AF44" s="211">
        <v>208.37979100000001</v>
      </c>
      <c r="AG44" s="211">
        <v>3578.320557</v>
      </c>
      <c r="AH44" s="211">
        <v>1799.0642089999999</v>
      </c>
      <c r="AI44" s="211">
        <v>5792.8510740000002</v>
      </c>
      <c r="AJ44" s="211">
        <v>1282.0428469999999</v>
      </c>
      <c r="AK44" s="211">
        <v>561.54998799999998</v>
      </c>
      <c r="AL44" s="211">
        <v>317.34494000000001</v>
      </c>
      <c r="AM44" s="211">
        <v>476.78338600000001</v>
      </c>
      <c r="AN44" s="211"/>
      <c r="AO44" s="211">
        <v>328.32003800000001</v>
      </c>
      <c r="AP44" s="211">
        <v>90.449996999999996</v>
      </c>
      <c r="AQ44" s="211">
        <v>179.95060699999999</v>
      </c>
      <c r="AR44" s="211">
        <v>123.847084</v>
      </c>
      <c r="AS44" s="211">
        <v>215.800003</v>
      </c>
      <c r="AT44" s="211">
        <v>187.89999399999999</v>
      </c>
      <c r="AU44" s="211">
        <v>46.599997999999999</v>
      </c>
      <c r="AV44" s="211">
        <v>2284.672607</v>
      </c>
      <c r="AW44" s="211">
        <v>19326.476563</v>
      </c>
      <c r="AX44" s="211">
        <v>293.763733</v>
      </c>
      <c r="AY44" s="211">
        <v>378.16082799999998</v>
      </c>
      <c r="AZ44" s="211">
        <v>184.48928799999999</v>
      </c>
      <c r="BA44" s="211">
        <v>67.397345999999999</v>
      </c>
      <c r="BB44" s="211">
        <v>41984.03125</v>
      </c>
      <c r="BC44" s="211"/>
      <c r="BD44" s="211"/>
      <c r="BE44" s="211"/>
      <c r="BF44" s="211">
        <v>382.98208599999998</v>
      </c>
      <c r="BG44" s="211">
        <v>724.91381799999999</v>
      </c>
      <c r="BH44" s="211">
        <v>4772.3090819999998</v>
      </c>
      <c r="BI44" s="211">
        <v>262.38738999999998</v>
      </c>
      <c r="BJ44" s="211">
        <v>346.26818800000001</v>
      </c>
    </row>
    <row r="45" spans="2:62">
      <c r="B45" s="209">
        <v>44562</v>
      </c>
      <c r="C45" s="210">
        <v>858.75824</v>
      </c>
      <c r="D45" s="210">
        <v>516.14135699999997</v>
      </c>
      <c r="E45" s="211">
        <v>8461.4394530000009</v>
      </c>
      <c r="F45" s="211">
        <v>487.49084499999998</v>
      </c>
      <c r="G45" s="211">
        <v>1198.414307</v>
      </c>
      <c r="H45" s="211">
        <v>1854.605591</v>
      </c>
      <c r="I45" s="211">
        <v>1451.9731449999999</v>
      </c>
      <c r="J45" s="211">
        <v>770.290344</v>
      </c>
      <c r="K45" s="211">
        <v>46.75</v>
      </c>
      <c r="L45" s="211">
        <v>141.78999300000001</v>
      </c>
      <c r="M45" s="211">
        <v>816.22021500000005</v>
      </c>
      <c r="N45" s="211">
        <v>4212.0810549999997</v>
      </c>
      <c r="O45" s="211">
        <v>623.72466999999995</v>
      </c>
      <c r="P45" s="211">
        <v>528.22430399999996</v>
      </c>
      <c r="Q45" s="211">
        <v>259.19650300000001</v>
      </c>
      <c r="R45" s="211">
        <v>1863.9837649999999</v>
      </c>
      <c r="S45" s="211">
        <v>647.07501200000002</v>
      </c>
      <c r="T45" s="211">
        <v>384.81088299999999</v>
      </c>
      <c r="U45" s="211">
        <v>72.737555999999998</v>
      </c>
      <c r="V45" s="211"/>
      <c r="W45" s="211">
        <v>1877.849976</v>
      </c>
      <c r="X45" s="211">
        <v>241.844009</v>
      </c>
      <c r="Y45" s="211">
        <v>27.316504999999999</v>
      </c>
      <c r="Z45" s="211">
        <v>85.207024000000004</v>
      </c>
      <c r="AA45" s="211">
        <v>14.8</v>
      </c>
      <c r="AB45" s="211">
        <v>24073.185547000001</v>
      </c>
      <c r="AC45" s="211">
        <v>353.41717499999999</v>
      </c>
      <c r="AD45" s="211">
        <v>7142.5659180000002</v>
      </c>
      <c r="AE45" s="211">
        <v>95</v>
      </c>
      <c r="AF45" s="211">
        <v>202.67541499999999</v>
      </c>
      <c r="AG45" s="211">
        <v>3576.3103030000002</v>
      </c>
      <c r="AH45" s="211">
        <v>1654.634033</v>
      </c>
      <c r="AI45" s="211">
        <v>7509.9262699999999</v>
      </c>
      <c r="AJ45" s="211">
        <v>1137.978638</v>
      </c>
      <c r="AK45" s="211">
        <v>498.20001200000002</v>
      </c>
      <c r="AL45" s="211">
        <v>286.43151899999998</v>
      </c>
      <c r="AM45" s="211">
        <v>474.59060699999998</v>
      </c>
      <c r="AN45" s="211"/>
      <c r="AO45" s="211">
        <v>303.165863</v>
      </c>
      <c r="AP45" s="211">
        <v>82</v>
      </c>
      <c r="AQ45" s="211">
        <v>214.646469</v>
      </c>
      <c r="AR45" s="211">
        <v>139.81291200000001</v>
      </c>
      <c r="AS45" s="211">
        <v>258.54998799999998</v>
      </c>
      <c r="AT45" s="211">
        <v>212.75</v>
      </c>
      <c r="AU45" s="211">
        <v>51.799999</v>
      </c>
      <c r="AV45" s="211">
        <v>2201.0356449999999</v>
      </c>
      <c r="AW45" s="211">
        <v>18165.117188</v>
      </c>
      <c r="AX45" s="211">
        <v>299.23687699999999</v>
      </c>
      <c r="AY45" s="211">
        <v>362.71356200000002</v>
      </c>
      <c r="AZ45" s="211">
        <v>170.00036600000001</v>
      </c>
      <c r="BA45" s="211">
        <v>67.317093</v>
      </c>
      <c r="BB45" s="211">
        <v>42620.695312999997</v>
      </c>
      <c r="BC45" s="211">
        <v>717.55267300000003</v>
      </c>
      <c r="BD45" s="211"/>
      <c r="BE45" s="211"/>
      <c r="BF45" s="211">
        <v>387.099152</v>
      </c>
      <c r="BG45" s="211">
        <v>753.44085700000005</v>
      </c>
      <c r="BH45" s="211">
        <v>4960.9833980000003</v>
      </c>
      <c r="BI45" s="211">
        <v>248.11883499999999</v>
      </c>
      <c r="BJ45" s="211">
        <v>569.79785200000003</v>
      </c>
    </row>
    <row r="46" spans="2:62">
      <c r="B46" s="209">
        <v>44593</v>
      </c>
      <c r="C46" s="210">
        <v>766.706909</v>
      </c>
      <c r="D46" s="210">
        <v>452.639252</v>
      </c>
      <c r="E46" s="211">
        <v>8182.7646480000003</v>
      </c>
      <c r="F46" s="211">
        <v>458.79174799999998</v>
      </c>
      <c r="G46" s="211">
        <v>1019.071594</v>
      </c>
      <c r="H46" s="211">
        <v>1840.1260990000001</v>
      </c>
      <c r="I46" s="211">
        <v>1393.872803</v>
      </c>
      <c r="J46" s="211">
        <v>739.74981700000001</v>
      </c>
      <c r="K46" s="211">
        <v>42.099997999999999</v>
      </c>
      <c r="L46" s="211">
        <v>123.443611</v>
      </c>
      <c r="M46" s="211">
        <v>825.41430700000001</v>
      </c>
      <c r="N46" s="211">
        <v>3977.7282709999999</v>
      </c>
      <c r="O46" s="211">
        <v>614.68023700000003</v>
      </c>
      <c r="P46" s="211">
        <v>504.216339</v>
      </c>
      <c r="Q46" s="211">
        <v>246.056625</v>
      </c>
      <c r="R46" s="211">
        <v>1773.723389</v>
      </c>
      <c r="S46" s="211">
        <v>563.75</v>
      </c>
      <c r="T46" s="211">
        <v>345.286316</v>
      </c>
      <c r="U46" s="211">
        <v>60.420662</v>
      </c>
      <c r="V46" s="211"/>
      <c r="W46" s="211">
        <v>1843.400024</v>
      </c>
      <c r="X46" s="211">
        <v>219.237167</v>
      </c>
      <c r="Y46" s="211">
        <v>24.949072000000001</v>
      </c>
      <c r="Z46" s="211">
        <v>71.573898</v>
      </c>
      <c r="AA46" s="211">
        <v>13.05</v>
      </c>
      <c r="AB46" s="211">
        <v>24219.603515999999</v>
      </c>
      <c r="AC46" s="211">
        <v>304.15271000000001</v>
      </c>
      <c r="AD46" s="211">
        <v>6500.701172</v>
      </c>
      <c r="AE46" s="211">
        <v>89.550003000000004</v>
      </c>
      <c r="AF46" s="211">
        <v>172.642212</v>
      </c>
      <c r="AG46" s="211">
        <v>3408.0314939999998</v>
      </c>
      <c r="AH46" s="211">
        <v>1635.0017089999999</v>
      </c>
      <c r="AI46" s="211">
        <v>6349.4799800000001</v>
      </c>
      <c r="AJ46" s="211">
        <v>966.921021</v>
      </c>
      <c r="AK46" s="211">
        <v>409.64999399999999</v>
      </c>
      <c r="AL46" s="211">
        <v>226.78095999999999</v>
      </c>
      <c r="AM46" s="211">
        <v>426.68344100000002</v>
      </c>
      <c r="AN46" s="211"/>
      <c r="AO46" s="211">
        <v>289.93087800000001</v>
      </c>
      <c r="AP46" s="211">
        <v>76.949996999999996</v>
      </c>
      <c r="AQ46" s="211">
        <v>198.56788599999999</v>
      </c>
      <c r="AR46" s="211">
        <v>129.119293</v>
      </c>
      <c r="AS46" s="211">
        <v>262.25</v>
      </c>
      <c r="AT46" s="211">
        <v>210.14999399999999</v>
      </c>
      <c r="AU46" s="211">
        <v>50.200001</v>
      </c>
      <c r="AV46" s="211">
        <v>2102.6369629999999</v>
      </c>
      <c r="AW46" s="211">
        <v>17299.697265999999</v>
      </c>
      <c r="AX46" s="211">
        <v>312.67993200000001</v>
      </c>
      <c r="AY46" s="211">
        <v>306.667755</v>
      </c>
      <c r="AZ46" s="211">
        <v>151.178741</v>
      </c>
      <c r="BA46" s="211">
        <v>67.557854000000006</v>
      </c>
      <c r="BB46" s="211">
        <v>40769.4375</v>
      </c>
      <c r="BC46" s="211">
        <v>609.93963599999995</v>
      </c>
      <c r="BD46" s="211"/>
      <c r="BE46" s="211"/>
      <c r="BF46" s="211">
        <v>373.65679899999998</v>
      </c>
      <c r="BG46" s="211">
        <v>645.68859899999995</v>
      </c>
      <c r="BH46" s="211">
        <v>4239.0625</v>
      </c>
      <c r="BI46" s="211">
        <v>223.986862</v>
      </c>
      <c r="BJ46" s="211">
        <v>522.23736599999995</v>
      </c>
    </row>
    <row r="47" spans="2:62">
      <c r="B47" s="209">
        <v>44621</v>
      </c>
      <c r="C47" s="210">
        <v>781.92761199999995</v>
      </c>
      <c r="D47" s="210">
        <v>432.40234400000003</v>
      </c>
      <c r="E47" s="211">
        <v>7441.8110349999997</v>
      </c>
      <c r="F47" s="211">
        <v>373.08828699999998</v>
      </c>
      <c r="G47" s="211">
        <v>1011.427307</v>
      </c>
      <c r="H47" s="211">
        <v>1751.3526609999999</v>
      </c>
      <c r="I47" s="211">
        <v>1436.9716800000001</v>
      </c>
      <c r="J47" s="211">
        <v>758.43292199999996</v>
      </c>
      <c r="K47" s="211">
        <v>39.700001</v>
      </c>
      <c r="L47" s="211">
        <v>127.142471</v>
      </c>
      <c r="M47" s="211">
        <v>901.77246100000002</v>
      </c>
      <c r="N47" s="211">
        <v>4204.8862300000001</v>
      </c>
      <c r="O47" s="211">
        <v>658.71276899999998</v>
      </c>
      <c r="P47" s="211">
        <v>610.97283900000002</v>
      </c>
      <c r="Q47" s="211">
        <v>252.967209</v>
      </c>
      <c r="R47" s="211">
        <v>1725.786255</v>
      </c>
      <c r="S47" s="211">
        <v>563.09997599999997</v>
      </c>
      <c r="T47" s="211">
        <v>374.52368200000001</v>
      </c>
      <c r="U47" s="211">
        <v>56.783786999999997</v>
      </c>
      <c r="V47" s="211"/>
      <c r="W47" s="211">
        <v>1914.6999510000001</v>
      </c>
      <c r="X47" s="211">
        <v>234.57049599999999</v>
      </c>
      <c r="Y47" s="211">
        <v>26.467098</v>
      </c>
      <c r="Z47" s="211">
        <v>71.525208000000006</v>
      </c>
      <c r="AA47" s="211">
        <v>13.5</v>
      </c>
      <c r="AB47" s="211">
        <v>23882.761718999998</v>
      </c>
      <c r="AC47" s="211">
        <v>289.63467400000002</v>
      </c>
      <c r="AD47" s="211">
        <v>6534.7490230000003</v>
      </c>
      <c r="AE47" s="211">
        <v>89.599997999999999</v>
      </c>
      <c r="AF47" s="211">
        <v>174.79612700000001</v>
      </c>
      <c r="AG47" s="211">
        <v>3586.1428219999998</v>
      </c>
      <c r="AH47" s="211">
        <v>1817.2669679999999</v>
      </c>
      <c r="AI47" s="211">
        <v>8726.9384769999997</v>
      </c>
      <c r="AJ47" s="211">
        <v>1044.786987</v>
      </c>
      <c r="AK47" s="211">
        <v>422.75</v>
      </c>
      <c r="AL47" s="211">
        <v>285.24444599999998</v>
      </c>
      <c r="AM47" s="211">
        <v>469.346588</v>
      </c>
      <c r="AN47" s="211"/>
      <c r="AO47" s="211">
        <v>287.57025099999998</v>
      </c>
      <c r="AP47" s="211">
        <v>85.150002000000001</v>
      </c>
      <c r="AQ47" s="211">
        <v>237.44519</v>
      </c>
      <c r="AR47" s="211">
        <v>153.83895899999999</v>
      </c>
      <c r="AS47" s="211">
        <v>302.35000600000001</v>
      </c>
      <c r="AT47" s="211">
        <v>229.39999399999999</v>
      </c>
      <c r="AU47" s="211">
        <v>63.400002000000001</v>
      </c>
      <c r="AV47" s="211">
        <v>1983.1345209999999</v>
      </c>
      <c r="AW47" s="211">
        <v>17046.074218999998</v>
      </c>
      <c r="AX47" s="211">
        <v>311.29101600000001</v>
      </c>
      <c r="AY47" s="211">
        <v>278.72937000000002</v>
      </c>
      <c r="AZ47" s="211">
        <v>155.63595599999999</v>
      </c>
      <c r="BA47" s="211">
        <v>68.182861000000003</v>
      </c>
      <c r="BB47" s="211">
        <v>39500.9375</v>
      </c>
      <c r="BC47" s="211">
        <v>698.76397699999995</v>
      </c>
      <c r="BD47" s="211"/>
      <c r="BE47" s="211"/>
      <c r="BF47" s="211">
        <v>444.93582199999997</v>
      </c>
      <c r="BG47" s="211">
        <v>746.74566700000003</v>
      </c>
      <c r="BH47" s="211">
        <v>4776.2978519999997</v>
      </c>
      <c r="BI47" s="211">
        <v>227.960983</v>
      </c>
      <c r="BJ47" s="211">
        <v>604.28369099999998</v>
      </c>
    </row>
    <row r="48" spans="2:62">
      <c r="B48" s="209">
        <v>44652</v>
      </c>
      <c r="C48" s="210">
        <v>893.95007299999997</v>
      </c>
      <c r="D48" s="210">
        <v>436.240387</v>
      </c>
      <c r="E48" s="211">
        <v>7595.8378910000001</v>
      </c>
      <c r="F48" s="211">
        <v>391.203644</v>
      </c>
      <c r="G48" s="211">
        <v>1191.216797</v>
      </c>
      <c r="H48" s="211">
        <v>1788.2001949999999</v>
      </c>
      <c r="I48" s="211">
        <v>1353.1683350000001</v>
      </c>
      <c r="J48" s="211">
        <v>725.99902299999997</v>
      </c>
      <c r="K48" s="211">
        <v>39.5</v>
      </c>
      <c r="L48" s="211">
        <v>135.230682</v>
      </c>
      <c r="M48" s="211">
        <v>915.475281</v>
      </c>
      <c r="N48" s="211">
        <v>4044.8334960000002</v>
      </c>
      <c r="O48" s="211">
        <v>619.79394500000001</v>
      </c>
      <c r="P48" s="211">
        <v>596.25299099999995</v>
      </c>
      <c r="Q48" s="211">
        <v>263.28445399999998</v>
      </c>
      <c r="R48" s="211">
        <v>1654.2222899999999</v>
      </c>
      <c r="S48" s="211">
        <v>504.54998799999998</v>
      </c>
      <c r="T48" s="211">
        <v>366.05764799999997</v>
      </c>
      <c r="U48" s="211">
        <v>66.482132000000007</v>
      </c>
      <c r="V48" s="211"/>
      <c r="W48" s="211">
        <v>2882.8000489999999</v>
      </c>
      <c r="X48" s="211">
        <v>238.20725999999999</v>
      </c>
      <c r="Y48" s="211">
        <v>31.608191000000001</v>
      </c>
      <c r="Z48" s="211">
        <v>91.536689999999993</v>
      </c>
      <c r="AA48" s="211">
        <v>14.25</v>
      </c>
      <c r="AB48" s="211">
        <v>25759.884765999999</v>
      </c>
      <c r="AC48" s="211">
        <v>367.90408300000001</v>
      </c>
      <c r="AD48" s="211">
        <v>6562.4130859999996</v>
      </c>
      <c r="AE48" s="211">
        <v>91.650002000000001</v>
      </c>
      <c r="AF48" s="211">
        <v>184.97413599999999</v>
      </c>
      <c r="AG48" s="211">
        <v>3400.8398440000001</v>
      </c>
      <c r="AH48" s="211">
        <v>1493.9072269999999</v>
      </c>
      <c r="AI48" s="211">
        <v>7646.8002930000002</v>
      </c>
      <c r="AJ48" s="211">
        <v>988.67401099999995</v>
      </c>
      <c r="AK48" s="211">
        <v>442.20001200000002</v>
      </c>
      <c r="AL48" s="211">
        <v>245.47740200000001</v>
      </c>
      <c r="AM48" s="211">
        <v>467.35845899999998</v>
      </c>
      <c r="AN48" s="211"/>
      <c r="AO48" s="211">
        <v>312.14395100000002</v>
      </c>
      <c r="AP48" s="211">
        <v>86.199996999999996</v>
      </c>
      <c r="AQ48" s="211">
        <v>255.365555</v>
      </c>
      <c r="AR48" s="211">
        <v>159.558807</v>
      </c>
      <c r="AS48" s="211">
        <v>298.75</v>
      </c>
      <c r="AT48" s="211">
        <v>255.300003</v>
      </c>
      <c r="AU48" s="211">
        <v>66.400002000000001</v>
      </c>
      <c r="AV48" s="211">
        <v>2163.3801269999999</v>
      </c>
      <c r="AW48" s="211">
        <v>17977.546875</v>
      </c>
      <c r="AX48" s="211">
        <v>358.333527</v>
      </c>
      <c r="AY48" s="211">
        <v>302.29238900000001</v>
      </c>
      <c r="AZ48" s="211">
        <v>159.73414600000001</v>
      </c>
      <c r="BA48" s="211">
        <v>77.720657000000003</v>
      </c>
      <c r="BB48" s="211">
        <v>39939.332030999998</v>
      </c>
      <c r="BC48" s="211">
        <v>793.20495600000004</v>
      </c>
      <c r="BD48" s="211"/>
      <c r="BE48" s="211"/>
      <c r="BF48" s="211">
        <v>426.03723100000002</v>
      </c>
      <c r="BG48" s="211">
        <v>798.46289100000001</v>
      </c>
      <c r="BH48" s="211">
        <v>4469.2578130000002</v>
      </c>
      <c r="BI48" s="211">
        <v>224.56144699999999</v>
      </c>
      <c r="BJ48" s="211">
        <v>611.30914299999995</v>
      </c>
    </row>
    <row r="49" spans="2:62">
      <c r="B49" s="209">
        <v>44682</v>
      </c>
      <c r="C49" s="210">
        <v>1002.773315</v>
      </c>
      <c r="D49" s="210">
        <v>442.171875</v>
      </c>
      <c r="E49" s="211">
        <v>7840.4604490000002</v>
      </c>
      <c r="F49" s="211">
        <v>389.97299199999998</v>
      </c>
      <c r="G49" s="211">
        <v>1053.9672849999999</v>
      </c>
      <c r="H49" s="211">
        <v>1844.220337</v>
      </c>
      <c r="I49" s="211">
        <v>1357.4194339999999</v>
      </c>
      <c r="J49" s="211">
        <v>682.75402799999995</v>
      </c>
      <c r="K49" s="211">
        <v>36.299999</v>
      </c>
      <c r="L49" s="211">
        <v>138.189774</v>
      </c>
      <c r="M49" s="211">
        <v>848.39068599999996</v>
      </c>
      <c r="N49" s="211">
        <v>4277.5214839999999</v>
      </c>
      <c r="O49" s="211">
        <v>522.98962400000005</v>
      </c>
      <c r="P49" s="211">
        <v>493.90551799999997</v>
      </c>
      <c r="Q49" s="211">
        <v>251.312592</v>
      </c>
      <c r="R49" s="211">
        <v>1615.3160399999999</v>
      </c>
      <c r="S49" s="211">
        <v>484.125</v>
      </c>
      <c r="T49" s="211">
        <v>340.16729700000002</v>
      </c>
      <c r="U49" s="211">
        <v>62.602795</v>
      </c>
      <c r="V49" s="211"/>
      <c r="W49" s="211">
        <v>1888.9499510000001</v>
      </c>
      <c r="X49" s="211">
        <v>231.130325</v>
      </c>
      <c r="Y49" s="211">
        <v>32.036613000000003</v>
      </c>
      <c r="Z49" s="211">
        <v>82.577781999999999</v>
      </c>
      <c r="AA49" s="211">
        <v>12.6</v>
      </c>
      <c r="AB49" s="211">
        <v>21978.410156000002</v>
      </c>
      <c r="AC49" s="211">
        <v>365.136414</v>
      </c>
      <c r="AD49" s="211">
        <v>6020.3666990000002</v>
      </c>
      <c r="AE49" s="211">
        <v>88.5</v>
      </c>
      <c r="AF49" s="211">
        <v>160.83210800000001</v>
      </c>
      <c r="AG49" s="211">
        <v>3225.9895019999999</v>
      </c>
      <c r="AH49" s="211">
        <v>1432.9613039999999</v>
      </c>
      <c r="AI49" s="211">
        <v>8273.7666019999997</v>
      </c>
      <c r="AJ49" s="211">
        <v>894.93829300000004</v>
      </c>
      <c r="AK49" s="211">
        <v>400.75</v>
      </c>
      <c r="AL49" s="211">
        <v>250.12678500000001</v>
      </c>
      <c r="AM49" s="211">
        <v>431.564301</v>
      </c>
      <c r="AN49" s="211"/>
      <c r="AO49" s="211">
        <v>208.81832900000001</v>
      </c>
      <c r="AP49" s="211">
        <v>75.5</v>
      </c>
      <c r="AQ49" s="211">
        <v>233.96066300000001</v>
      </c>
      <c r="AR49" s="211">
        <v>134.44122300000001</v>
      </c>
      <c r="AS49" s="211">
        <v>297.04998799999998</v>
      </c>
      <c r="AT49" s="211">
        <v>221.050003</v>
      </c>
      <c r="AU49" s="211">
        <v>64.199996999999996</v>
      </c>
      <c r="AV49" s="211">
        <v>2277.9934079999998</v>
      </c>
      <c r="AW49" s="211">
        <v>17499.208984000001</v>
      </c>
      <c r="AX49" s="211">
        <v>349.38799999999998</v>
      </c>
      <c r="AY49" s="211">
        <v>283.94903599999998</v>
      </c>
      <c r="AZ49" s="211">
        <v>129.85548399999999</v>
      </c>
      <c r="BA49" s="211">
        <v>76.482596999999998</v>
      </c>
      <c r="BB49" s="211">
        <v>32049.113281000002</v>
      </c>
      <c r="BC49" s="211">
        <v>760.15057400000001</v>
      </c>
      <c r="BD49" s="211"/>
      <c r="BE49" s="211"/>
      <c r="BF49" s="211">
        <v>459.81662</v>
      </c>
      <c r="BG49" s="211">
        <v>756.44872999999995</v>
      </c>
      <c r="BH49" s="211">
        <v>5188.3916019999997</v>
      </c>
      <c r="BI49" s="211">
        <v>191.71513400000001</v>
      </c>
      <c r="BJ49" s="211">
        <v>705.98022500000002</v>
      </c>
    </row>
    <row r="50" spans="2:62">
      <c r="B50" s="209">
        <v>44713</v>
      </c>
      <c r="C50" s="210">
        <v>1059.778442</v>
      </c>
      <c r="D50" s="210">
        <v>410.52050800000001</v>
      </c>
      <c r="E50" s="211">
        <v>8336.8896480000003</v>
      </c>
      <c r="F50" s="211">
        <v>385.19799799999998</v>
      </c>
      <c r="G50" s="211">
        <v>1015.348694</v>
      </c>
      <c r="H50" s="211">
        <v>1658.7348629999999</v>
      </c>
      <c r="I50" s="211">
        <v>1332.716553</v>
      </c>
      <c r="J50" s="211">
        <v>634.52673300000004</v>
      </c>
      <c r="K50" s="211">
        <v>31.450001</v>
      </c>
      <c r="L50" s="211">
        <v>131.23588599999999</v>
      </c>
      <c r="M50" s="211">
        <v>818.816284</v>
      </c>
      <c r="N50" s="211">
        <v>4301.1625979999999</v>
      </c>
      <c r="O50" s="211">
        <v>505.55007899999998</v>
      </c>
      <c r="P50" s="211">
        <v>457.597534</v>
      </c>
      <c r="Q50" s="211">
        <v>234.182053</v>
      </c>
      <c r="R50" s="211">
        <v>1521.345581</v>
      </c>
      <c r="S50" s="211">
        <v>534.5</v>
      </c>
      <c r="T50" s="211">
        <v>307.82904100000002</v>
      </c>
      <c r="U50" s="211">
        <v>52.468021</v>
      </c>
      <c r="V50" s="211"/>
      <c r="W50" s="211">
        <v>1929.599976</v>
      </c>
      <c r="X50" s="211">
        <v>198.74359100000001</v>
      </c>
      <c r="Y50" s="211">
        <v>29.275658</v>
      </c>
      <c r="Z50" s="211">
        <v>74.543976000000001</v>
      </c>
      <c r="AA50" s="211">
        <v>11.5</v>
      </c>
      <c r="AB50" s="211">
        <v>18891.177734000001</v>
      </c>
      <c r="AC50" s="211">
        <v>358.810272</v>
      </c>
      <c r="AD50" s="211">
        <v>5549.9291990000002</v>
      </c>
      <c r="AE50" s="211">
        <v>85.400002000000001</v>
      </c>
      <c r="AF50" s="211">
        <v>172.23931899999999</v>
      </c>
      <c r="AG50" s="211">
        <v>3153.8410640000002</v>
      </c>
      <c r="AH50" s="211">
        <v>1407.975342</v>
      </c>
      <c r="AI50" s="211">
        <v>8065.9130859999996</v>
      </c>
      <c r="AJ50" s="211">
        <v>819.64331100000004</v>
      </c>
      <c r="AK50" s="211">
        <v>333.95001200000002</v>
      </c>
      <c r="AL50" s="211">
        <v>211.794128</v>
      </c>
      <c r="AM50" s="211">
        <v>399.64495799999997</v>
      </c>
      <c r="AN50" s="211"/>
      <c r="AO50" s="211">
        <v>197.71182300000001</v>
      </c>
      <c r="AP50" s="211">
        <v>69</v>
      </c>
      <c r="AQ50" s="211">
        <v>224.15422100000001</v>
      </c>
      <c r="AR50" s="211">
        <v>124.24498699999999</v>
      </c>
      <c r="AS50" s="211">
        <v>314.64999399999999</v>
      </c>
      <c r="AT50" s="211">
        <v>214.39999399999999</v>
      </c>
      <c r="AU50" s="211">
        <v>61.049999</v>
      </c>
      <c r="AV50" s="211">
        <v>2159.2658689999998</v>
      </c>
      <c r="AW50" s="211">
        <v>17280.117188</v>
      </c>
      <c r="AX50" s="211">
        <v>392.15621900000002</v>
      </c>
      <c r="AY50" s="211">
        <v>268.488922</v>
      </c>
      <c r="AZ50" s="211">
        <v>131.856934</v>
      </c>
      <c r="BA50" s="211">
        <v>76.270827999999995</v>
      </c>
      <c r="BB50" s="211">
        <v>33637.9375</v>
      </c>
      <c r="BC50" s="211">
        <v>636.73107900000002</v>
      </c>
      <c r="BD50" s="211"/>
      <c r="BE50" s="211"/>
      <c r="BF50" s="211">
        <v>420.77932700000002</v>
      </c>
      <c r="BG50" s="211">
        <v>613.62011700000005</v>
      </c>
      <c r="BH50" s="211">
        <v>4812.6293949999999</v>
      </c>
      <c r="BI50" s="211">
        <v>180.65464800000001</v>
      </c>
      <c r="BJ50" s="211">
        <v>621.03662099999997</v>
      </c>
    </row>
    <row r="51" spans="2:62">
      <c r="B51" s="209">
        <v>44743</v>
      </c>
      <c r="C51" s="210">
        <v>1128.901611</v>
      </c>
      <c r="D51" s="210">
        <v>448.20309400000002</v>
      </c>
      <c r="E51" s="211">
        <v>8634.9042969999991</v>
      </c>
      <c r="F51" s="211">
        <v>457.78436299999998</v>
      </c>
      <c r="G51" s="211">
        <v>1031.6795649999999</v>
      </c>
      <c r="H51" s="211">
        <v>1807.7723390000001</v>
      </c>
      <c r="I51" s="211">
        <v>1417.9392089999999</v>
      </c>
      <c r="J51" s="211">
        <v>722.162781</v>
      </c>
      <c r="K51" s="211">
        <v>37.549999</v>
      </c>
      <c r="L51" s="211">
        <v>158.656845</v>
      </c>
      <c r="M51" s="211">
        <v>929.81878700000004</v>
      </c>
      <c r="N51" s="211">
        <v>4004.110596</v>
      </c>
      <c r="O51" s="211">
        <v>543.58056599999998</v>
      </c>
      <c r="P51" s="211">
        <v>473.484283</v>
      </c>
      <c r="Q51" s="211">
        <v>288.83425899999997</v>
      </c>
      <c r="R51" s="211">
        <v>1765.2294919999999</v>
      </c>
      <c r="S51" s="211">
        <v>572.25</v>
      </c>
      <c r="T51" s="211">
        <v>379.938019</v>
      </c>
      <c r="U51" s="211">
        <v>56.832275000000003</v>
      </c>
      <c r="V51" s="211"/>
      <c r="W51" s="211">
        <v>2174.6999510000001</v>
      </c>
      <c r="X51" s="211">
        <v>219.85247799999999</v>
      </c>
      <c r="Y51" s="211">
        <v>32.512642</v>
      </c>
      <c r="Z51" s="211">
        <v>80.581505000000007</v>
      </c>
      <c r="AA51" s="211">
        <v>12.4</v>
      </c>
      <c r="AB51" s="211">
        <v>20370.199218999998</v>
      </c>
      <c r="AC51" s="211">
        <v>370.47406000000001</v>
      </c>
      <c r="AD51" s="211">
        <v>6477.8374020000001</v>
      </c>
      <c r="AE51" s="211">
        <v>87.25</v>
      </c>
      <c r="AF51" s="211">
        <v>171.79681400000001</v>
      </c>
      <c r="AG51" s="211">
        <v>3187.4345699999999</v>
      </c>
      <c r="AH51" s="211">
        <v>1492.536621</v>
      </c>
      <c r="AI51" s="211">
        <v>8622.4541019999997</v>
      </c>
      <c r="AJ51" s="211">
        <v>959.35022000000004</v>
      </c>
      <c r="AK51" s="211">
        <v>372</v>
      </c>
      <c r="AL51" s="211">
        <v>244.33978300000001</v>
      </c>
      <c r="AM51" s="211">
        <v>457.42910799999999</v>
      </c>
      <c r="AN51" s="211"/>
      <c r="AO51" s="211">
        <v>216.09371899999999</v>
      </c>
      <c r="AP51" s="211">
        <v>64.900002000000001</v>
      </c>
      <c r="AQ51" s="211">
        <v>262.15976000000001</v>
      </c>
      <c r="AR51" s="211">
        <v>150.357315</v>
      </c>
      <c r="AS51" s="211">
        <v>317.85000600000001</v>
      </c>
      <c r="AT51" s="211">
        <v>234.35000600000001</v>
      </c>
      <c r="AU51" s="211">
        <v>65.949996999999996</v>
      </c>
      <c r="AV51" s="211">
        <v>2598.5983890000002</v>
      </c>
      <c r="AW51" s="211">
        <v>19148.683593999998</v>
      </c>
      <c r="AX51" s="211">
        <v>437.86767600000002</v>
      </c>
      <c r="AY51" s="211">
        <v>313.029968</v>
      </c>
      <c r="AZ51" s="211">
        <v>155.01644899999999</v>
      </c>
      <c r="BA51" s="211">
        <v>89.661384999999996</v>
      </c>
      <c r="BB51" s="211">
        <v>40004.644530999998</v>
      </c>
      <c r="BC51" s="211">
        <v>771.58288600000003</v>
      </c>
      <c r="BD51" s="211"/>
      <c r="BE51" s="211"/>
      <c r="BF51" s="211">
        <v>448.06079099999999</v>
      </c>
      <c r="BG51" s="211">
        <v>719.09204099999999</v>
      </c>
      <c r="BH51" s="211">
        <v>5079.3491210000002</v>
      </c>
      <c r="BI51" s="211">
        <v>209.72294600000001</v>
      </c>
      <c r="BJ51" s="211">
        <v>509.121399</v>
      </c>
    </row>
    <row r="52" spans="2:62">
      <c r="B52" s="209">
        <v>44774</v>
      </c>
      <c r="C52" s="210">
        <v>1281.7299800000001</v>
      </c>
      <c r="D52" s="210">
        <v>469.63629200000003</v>
      </c>
      <c r="E52" s="211">
        <v>8938.7255860000005</v>
      </c>
      <c r="F52" s="211">
        <v>404.83483899999999</v>
      </c>
      <c r="G52" s="211">
        <v>1292.875732</v>
      </c>
      <c r="H52" s="211">
        <v>1912.722534</v>
      </c>
      <c r="I52" s="211">
        <v>1469.250732</v>
      </c>
      <c r="J52" s="211">
        <v>749.95709199999999</v>
      </c>
      <c r="K52" s="211">
        <v>49.150002000000001</v>
      </c>
      <c r="L52" s="211">
        <v>177.49641399999999</v>
      </c>
      <c r="M52" s="211">
        <v>880.38031000000001</v>
      </c>
      <c r="N52" s="211">
        <v>4212.1103519999997</v>
      </c>
      <c r="O52" s="211">
        <v>541.99060099999997</v>
      </c>
      <c r="P52" s="211">
        <v>486.10458399999999</v>
      </c>
      <c r="Q52" s="211">
        <v>298.17819200000002</v>
      </c>
      <c r="R52" s="211">
        <v>1901.005249</v>
      </c>
      <c r="S52" s="211">
        <v>548.5</v>
      </c>
      <c r="T52" s="211">
        <v>383.92489599999999</v>
      </c>
      <c r="U52" s="211">
        <v>67.936881999999997</v>
      </c>
      <c r="V52" s="211"/>
      <c r="W52" s="211">
        <v>2436.1999510000001</v>
      </c>
      <c r="X52" s="211">
        <v>234.763611</v>
      </c>
      <c r="Y52" s="211">
        <v>36.558872000000001</v>
      </c>
      <c r="Z52" s="211">
        <v>89.881241000000003</v>
      </c>
      <c r="AA52" s="211">
        <v>16.799999</v>
      </c>
      <c r="AB52" s="211">
        <v>21985.037109000001</v>
      </c>
      <c r="AC52" s="211">
        <v>406.50335699999999</v>
      </c>
      <c r="AD52" s="211">
        <v>6609.5263670000004</v>
      </c>
      <c r="AE52" s="211">
        <v>94.849997999999999</v>
      </c>
      <c r="AF52" s="211">
        <v>180.30306999999999</v>
      </c>
      <c r="AG52" s="211">
        <v>3108.0126949999999</v>
      </c>
      <c r="AH52" s="211">
        <v>1437.880005</v>
      </c>
      <c r="AI52" s="211">
        <v>8949.09375</v>
      </c>
      <c r="AJ52" s="211">
        <v>1022.732178</v>
      </c>
      <c r="AK52" s="211">
        <v>368.25</v>
      </c>
      <c r="AL52" s="211">
        <v>254.28154000000001</v>
      </c>
      <c r="AM52" s="211">
        <v>486.29690599999998</v>
      </c>
      <c r="AN52" s="211"/>
      <c r="AO52" s="211">
        <v>219.07351700000001</v>
      </c>
      <c r="AP52" s="211">
        <v>70.599997999999999</v>
      </c>
      <c r="AQ52" s="211">
        <v>284.70040899999998</v>
      </c>
      <c r="AR52" s="211">
        <v>159.45933500000001</v>
      </c>
      <c r="AS52" s="211">
        <v>322.29998799999998</v>
      </c>
      <c r="AT52" s="211">
        <v>264.10000600000001</v>
      </c>
      <c r="AU52" s="211">
        <v>69.949996999999996</v>
      </c>
      <c r="AV52" s="211">
        <v>2620.7185060000002</v>
      </c>
      <c r="AW52" s="211">
        <v>19709.273438</v>
      </c>
      <c r="AX52" s="211">
        <v>512.99517800000001</v>
      </c>
      <c r="AY52" s="211">
        <v>346.68429600000002</v>
      </c>
      <c r="AZ52" s="211">
        <v>157.53385900000001</v>
      </c>
      <c r="BA52" s="211">
        <v>99.859070000000003</v>
      </c>
      <c r="BB52" s="211">
        <v>43008.621094000002</v>
      </c>
      <c r="BC52" s="211">
        <v>1060.9201660000001</v>
      </c>
      <c r="BD52" s="211"/>
      <c r="BE52" s="211"/>
      <c r="BF52" s="211">
        <v>487.08621199999999</v>
      </c>
      <c r="BG52" s="211">
        <v>756.82568400000002</v>
      </c>
      <c r="BH52" s="211">
        <v>5237.2182620000003</v>
      </c>
      <c r="BI52" s="211">
        <v>222.15829500000001</v>
      </c>
      <c r="BJ52" s="211">
        <v>514.29418899999996</v>
      </c>
    </row>
    <row r="53" spans="2:62">
      <c r="B53" s="209">
        <v>44805</v>
      </c>
      <c r="C53" s="210">
        <v>1242.0645750000001</v>
      </c>
      <c r="D53" s="210">
        <v>403.342896</v>
      </c>
      <c r="E53" s="211">
        <v>8745.8476559999999</v>
      </c>
      <c r="F53" s="211">
        <v>447.63235500000002</v>
      </c>
      <c r="G53" s="211">
        <v>1235.990356</v>
      </c>
      <c r="H53" s="211">
        <v>1817.7032469999999</v>
      </c>
      <c r="I53" s="211">
        <v>1405.2348629999999</v>
      </c>
      <c r="J53" s="211">
        <v>731.69470200000001</v>
      </c>
      <c r="K53" s="211">
        <v>49.849997999999999</v>
      </c>
      <c r="L53" s="211">
        <v>172.78753699999999</v>
      </c>
      <c r="M53" s="211">
        <v>938.26190199999996</v>
      </c>
      <c r="N53" s="211">
        <v>4302.0571289999998</v>
      </c>
      <c r="O53" s="211">
        <v>507.40811200000002</v>
      </c>
      <c r="P53" s="211">
        <v>446.36300699999998</v>
      </c>
      <c r="Q53" s="211">
        <v>388.54998799999998</v>
      </c>
      <c r="R53" s="211">
        <v>1827.041626</v>
      </c>
      <c r="S53" s="211">
        <v>462.10000600000001</v>
      </c>
      <c r="T53" s="211">
        <v>353.90673800000002</v>
      </c>
      <c r="U53" s="211">
        <v>71.75</v>
      </c>
      <c r="V53" s="211"/>
      <c r="W53" s="211">
        <v>2260.8000489999999</v>
      </c>
      <c r="X53" s="211">
        <v>214.50230400000001</v>
      </c>
      <c r="Y53" s="211">
        <v>34.479488000000003</v>
      </c>
      <c r="Z53" s="211">
        <v>85.645233000000005</v>
      </c>
      <c r="AA53" s="211">
        <v>16.399999999999999</v>
      </c>
      <c r="AB53" s="211">
        <v>20949.1875</v>
      </c>
      <c r="AC53" s="211">
        <v>509.648956</v>
      </c>
      <c r="AD53" s="211">
        <v>6226.6416019999997</v>
      </c>
      <c r="AE53" s="211">
        <v>105.900002</v>
      </c>
      <c r="AF53" s="211">
        <v>180.499741</v>
      </c>
      <c r="AG53" s="211">
        <v>2908.048828</v>
      </c>
      <c r="AH53" s="211">
        <v>1361.3125</v>
      </c>
      <c r="AI53" s="211">
        <v>8489.8945309999999</v>
      </c>
      <c r="AJ53" s="211">
        <v>985.11926300000005</v>
      </c>
      <c r="AK53" s="211">
        <v>357.29998799999998</v>
      </c>
      <c r="AL53" s="211">
        <v>255.36968999999999</v>
      </c>
      <c r="AM53" s="211">
        <v>497.91177399999998</v>
      </c>
      <c r="AN53" s="211"/>
      <c r="AO53" s="211">
        <v>213.462189</v>
      </c>
      <c r="AP53" s="211">
        <v>64.599997999999999</v>
      </c>
      <c r="AQ53" s="211">
        <v>330.82894900000002</v>
      </c>
      <c r="AR53" s="211">
        <v>186.31774899999999</v>
      </c>
      <c r="AS53" s="211">
        <v>353.35000600000001</v>
      </c>
      <c r="AT53" s="211">
        <v>279.79998799999998</v>
      </c>
      <c r="AU53" s="211">
        <v>86.800003000000004</v>
      </c>
      <c r="AV53" s="211">
        <v>2656.7797850000002</v>
      </c>
      <c r="AW53" s="211">
        <v>18936.712890999999</v>
      </c>
      <c r="AX53" s="211">
        <v>520.57562299999995</v>
      </c>
      <c r="AY53" s="211">
        <v>360.55361900000003</v>
      </c>
      <c r="AZ53" s="211">
        <v>152.452133</v>
      </c>
      <c r="BA53" s="211">
        <v>99.208770999999999</v>
      </c>
      <c r="BB53" s="211">
        <v>39915.613280999998</v>
      </c>
      <c r="BC53" s="211">
        <v>1127.0717770000001</v>
      </c>
      <c r="BD53" s="211">
        <v>282.20001200000002</v>
      </c>
      <c r="BE53" s="211"/>
      <c r="BF53" s="211">
        <v>500.010223</v>
      </c>
      <c r="BG53" s="211">
        <v>661.19555700000001</v>
      </c>
      <c r="BH53" s="211">
        <v>4715.7241210000002</v>
      </c>
      <c r="BI53" s="211">
        <v>207.55169699999999</v>
      </c>
      <c r="BJ53" s="211">
        <v>437.22155800000002</v>
      </c>
    </row>
    <row r="54" spans="2:62">
      <c r="B54" s="209">
        <v>44835</v>
      </c>
      <c r="C54" s="210">
        <v>1320.8076169999999</v>
      </c>
      <c r="D54" s="210">
        <v>411.46758999999997</v>
      </c>
      <c r="E54" s="211">
        <v>9438.7763670000004</v>
      </c>
      <c r="F54" s="211">
        <v>437.92828400000002</v>
      </c>
      <c r="G54" s="211">
        <v>1360.5500489999999</v>
      </c>
      <c r="H54" s="211">
        <v>1900.3851320000001</v>
      </c>
      <c r="I54" s="211">
        <v>1479.730591</v>
      </c>
      <c r="J54" s="211">
        <v>904.13995399999999</v>
      </c>
      <c r="K54" s="211">
        <v>56.099997999999999</v>
      </c>
      <c r="L54" s="211">
        <v>184.597824</v>
      </c>
      <c r="M54" s="211">
        <v>1005.764587</v>
      </c>
      <c r="N54" s="211">
        <v>4399.296875</v>
      </c>
      <c r="O54" s="211">
        <v>534.785889</v>
      </c>
      <c r="P54" s="211">
        <v>398.35000600000001</v>
      </c>
      <c r="Q54" s="211">
        <v>411.04998799999998</v>
      </c>
      <c r="R54" s="211">
        <v>2000.480591</v>
      </c>
      <c r="S54" s="211">
        <v>495.07501200000002</v>
      </c>
      <c r="T54" s="211">
        <v>382.481201</v>
      </c>
      <c r="U54" s="211">
        <v>74.650002000000001</v>
      </c>
      <c r="V54" s="211"/>
      <c r="W54" s="211">
        <v>2102.8999020000001</v>
      </c>
      <c r="X54" s="211">
        <v>223.91464199999999</v>
      </c>
      <c r="Y54" s="211">
        <v>41.143588999999999</v>
      </c>
      <c r="Z54" s="211">
        <v>83.75</v>
      </c>
      <c r="AA54" s="211">
        <v>16.100000000000001</v>
      </c>
      <c r="AB54" s="211">
        <v>22649.775390999999</v>
      </c>
      <c r="AC54" s="211">
        <v>526.79870600000004</v>
      </c>
      <c r="AD54" s="211">
        <v>6684.3999020000001</v>
      </c>
      <c r="AE54" s="211">
        <v>106.300003</v>
      </c>
      <c r="AF54" s="211">
        <v>180.074997</v>
      </c>
      <c r="AG54" s="211">
        <v>3090.5908199999999</v>
      </c>
      <c r="AH54" s="211">
        <v>1480.931274</v>
      </c>
      <c r="AI54" s="211">
        <v>6941.4331050000001</v>
      </c>
      <c r="AJ54" s="211">
        <v>961.72894299999996</v>
      </c>
      <c r="AK54" s="211">
        <v>392.64999399999999</v>
      </c>
      <c r="AL54" s="211">
        <v>262.45001200000002</v>
      </c>
      <c r="AM54" s="211">
        <v>511.61077899999998</v>
      </c>
      <c r="AN54" s="211"/>
      <c r="AO54" s="211">
        <v>216.714066</v>
      </c>
      <c r="AP54" s="211">
        <v>64.150002000000001</v>
      </c>
      <c r="AQ54" s="211">
        <v>332.92340100000001</v>
      </c>
      <c r="AR54" s="211">
        <v>192.83338900000001</v>
      </c>
      <c r="AS54" s="211">
        <v>365.25</v>
      </c>
      <c r="AT54" s="211">
        <v>285.39999399999999</v>
      </c>
      <c r="AU54" s="211">
        <v>84.25</v>
      </c>
      <c r="AV54" s="211">
        <v>2513.1740719999998</v>
      </c>
      <c r="AW54" s="211">
        <v>20142.068359000001</v>
      </c>
      <c r="AX54" s="211">
        <v>522.99359100000004</v>
      </c>
      <c r="AY54" s="211">
        <v>380.32641599999999</v>
      </c>
      <c r="AZ54" s="211">
        <v>155.77479600000001</v>
      </c>
      <c r="BA54" s="211">
        <v>105.00700399999999</v>
      </c>
      <c r="BB54" s="211">
        <v>39245.804687999997</v>
      </c>
      <c r="BC54" s="211">
        <v>1331.962158</v>
      </c>
      <c r="BD54" s="211">
        <v>274.75</v>
      </c>
      <c r="BE54" s="211"/>
      <c r="BF54" s="211">
        <v>489.72070300000001</v>
      </c>
      <c r="BG54" s="211">
        <v>718.40643299999999</v>
      </c>
      <c r="BH54" s="211">
        <v>4518.1357420000004</v>
      </c>
      <c r="BI54" s="211">
        <v>223.638687</v>
      </c>
      <c r="BJ54" s="211">
        <v>369.37597699999998</v>
      </c>
    </row>
    <row r="55" spans="2:62">
      <c r="B55" s="209">
        <v>44866</v>
      </c>
      <c r="C55" s="210">
        <v>1278.6938479999999</v>
      </c>
      <c r="D55" s="210">
        <v>438.03476000000001</v>
      </c>
      <c r="E55" s="211">
        <v>8890.4863280000009</v>
      </c>
      <c r="F55" s="211">
        <v>415.83279399999998</v>
      </c>
      <c r="G55" s="211">
        <v>1560.1999510000001</v>
      </c>
      <c r="H55" s="211">
        <v>1945.44812</v>
      </c>
      <c r="I55" s="211">
        <v>1590.213501</v>
      </c>
      <c r="J55" s="211">
        <v>899.39965800000004</v>
      </c>
      <c r="K55" s="211">
        <v>58.599997999999999</v>
      </c>
      <c r="L55" s="211">
        <v>187.37670900000001</v>
      </c>
      <c r="M55" s="211">
        <v>1034.595337</v>
      </c>
      <c r="N55" s="211">
        <v>4452.3320309999999</v>
      </c>
      <c r="O55" s="211">
        <v>464.42846700000001</v>
      </c>
      <c r="P55" s="211">
        <v>464.85000600000001</v>
      </c>
      <c r="Q55" s="211">
        <v>407.45001200000002</v>
      </c>
      <c r="R55" s="211">
        <v>2051.6520999999998</v>
      </c>
      <c r="S55" s="211">
        <v>492.64999399999999</v>
      </c>
      <c r="T55" s="211">
        <v>399.49688700000002</v>
      </c>
      <c r="U55" s="211">
        <v>82.75</v>
      </c>
      <c r="V55" s="211"/>
      <c r="W55" s="211">
        <v>2116.5</v>
      </c>
      <c r="X55" s="211">
        <v>222.72572299999999</v>
      </c>
      <c r="Y55" s="211">
        <v>40.612392</v>
      </c>
      <c r="Z55" s="211">
        <v>88</v>
      </c>
      <c r="AA55" s="211">
        <v>16.049999</v>
      </c>
      <c r="AB55" s="211">
        <v>23784.480468999998</v>
      </c>
      <c r="AC55" s="211">
        <v>564.16241500000001</v>
      </c>
      <c r="AD55" s="211">
        <v>7044.8022460000002</v>
      </c>
      <c r="AE55" s="211">
        <v>106.699997</v>
      </c>
      <c r="AF55" s="211">
        <v>176.25839199999999</v>
      </c>
      <c r="AG55" s="211">
        <v>3290.3867190000001</v>
      </c>
      <c r="AH55" s="211">
        <v>1591.8507079999999</v>
      </c>
      <c r="AI55" s="211">
        <v>6955.7211909999996</v>
      </c>
      <c r="AJ55" s="211">
        <v>939.13147000000004</v>
      </c>
      <c r="AK55" s="211">
        <v>373.95001200000002</v>
      </c>
      <c r="AL55" s="211">
        <v>264.60000600000001</v>
      </c>
      <c r="AM55" s="211">
        <v>481.22827100000001</v>
      </c>
      <c r="AN55" s="211"/>
      <c r="AO55" s="211">
        <v>193.16923499999999</v>
      </c>
      <c r="AP55" s="211">
        <v>68.050003000000004</v>
      </c>
      <c r="AQ55" s="211">
        <v>320.80532799999997</v>
      </c>
      <c r="AR55" s="211">
        <v>177.961792</v>
      </c>
      <c r="AS55" s="211">
        <v>372.39999399999999</v>
      </c>
      <c r="AT55" s="211">
        <v>290.20001200000002</v>
      </c>
      <c r="AU55" s="211">
        <v>100.900002</v>
      </c>
      <c r="AV55" s="211">
        <v>2644.858154</v>
      </c>
      <c r="AW55" s="211">
        <v>20083.291015999999</v>
      </c>
      <c r="AX55" s="211">
        <v>623.05053699999996</v>
      </c>
      <c r="AY55" s="211">
        <v>434.15277099999997</v>
      </c>
      <c r="AZ55" s="211">
        <v>161.49176</v>
      </c>
      <c r="BA55" s="211">
        <v>103.28718600000001</v>
      </c>
      <c r="BB55" s="211">
        <v>41623.28125</v>
      </c>
      <c r="BC55" s="211">
        <v>1342.139404</v>
      </c>
      <c r="BD55" s="211">
        <v>281.39999399999999</v>
      </c>
      <c r="BE55" s="211"/>
      <c r="BF55" s="211">
        <v>470.33471700000001</v>
      </c>
      <c r="BG55" s="211">
        <v>776.94543499999997</v>
      </c>
      <c r="BH55" s="211">
        <v>4471.4907229999999</v>
      </c>
      <c r="BI55" s="211">
        <v>240.02174400000001</v>
      </c>
      <c r="BJ55" s="211">
        <v>407.02413899999999</v>
      </c>
    </row>
    <row r="56" spans="2:62">
      <c r="B56" s="209">
        <v>44896</v>
      </c>
      <c r="C56" s="210">
        <v>1223.456177</v>
      </c>
      <c r="D56" s="210">
        <v>386.74465900000001</v>
      </c>
      <c r="E56" s="211">
        <v>8316.3388670000004</v>
      </c>
      <c r="F56" s="211">
        <v>492.12191799999999</v>
      </c>
      <c r="G56" s="211">
        <v>1386</v>
      </c>
      <c r="H56" s="211">
        <v>1825.7467039999999</v>
      </c>
      <c r="I56" s="211">
        <v>1609.690308</v>
      </c>
      <c r="J56" s="211">
        <v>931.83294699999999</v>
      </c>
      <c r="K56" s="211">
        <v>58.799999</v>
      </c>
      <c r="L56" s="211">
        <v>179.04002399999999</v>
      </c>
      <c r="M56" s="211">
        <v>990.43426499999998</v>
      </c>
      <c r="N56" s="211">
        <v>4204.6684569999998</v>
      </c>
      <c r="O56" s="211">
        <v>435.56005900000002</v>
      </c>
      <c r="P56" s="211">
        <v>494.89999399999999</v>
      </c>
      <c r="Q56" s="211">
        <v>315.60000600000001</v>
      </c>
      <c r="R56" s="211">
        <v>2062.4794919999999</v>
      </c>
      <c r="S56" s="211">
        <v>545.42498799999998</v>
      </c>
      <c r="T56" s="211">
        <v>372.06341600000002</v>
      </c>
      <c r="U56" s="211">
        <v>83.900002000000001</v>
      </c>
      <c r="V56" s="211"/>
      <c r="W56" s="211">
        <v>1931.8000489999999</v>
      </c>
      <c r="X56" s="211">
        <v>205.78350800000001</v>
      </c>
      <c r="Y56" s="211">
        <v>38.391025999999997</v>
      </c>
      <c r="Z56" s="211">
        <v>82.449996999999996</v>
      </c>
      <c r="AA56" s="211">
        <v>14.35</v>
      </c>
      <c r="AB56" s="211">
        <v>23196.535156000002</v>
      </c>
      <c r="AC56" s="211">
        <v>518.05084199999999</v>
      </c>
      <c r="AD56" s="211">
        <v>6927.388672</v>
      </c>
      <c r="AE56" s="211">
        <v>112.449997</v>
      </c>
      <c r="AF56" s="211">
        <v>175.514893</v>
      </c>
      <c r="AG56" s="211">
        <v>3160.257568</v>
      </c>
      <c r="AH56" s="211">
        <v>1468.4418949999999</v>
      </c>
      <c r="AI56" s="211">
        <v>6237.0053710000002</v>
      </c>
      <c r="AJ56" s="211">
        <v>875.16180399999996</v>
      </c>
      <c r="AK56" s="211">
        <v>371.20001200000002</v>
      </c>
      <c r="AL56" s="211">
        <v>240.050003</v>
      </c>
      <c r="AM56" s="211">
        <v>479.91735799999998</v>
      </c>
      <c r="AN56" s="211">
        <v>1720.150024</v>
      </c>
      <c r="AO56" s="211">
        <v>191.761246</v>
      </c>
      <c r="AP56" s="211">
        <v>66.099997999999999</v>
      </c>
      <c r="AQ56" s="211">
        <v>317.81320199999999</v>
      </c>
      <c r="AR56" s="211">
        <v>176.370193</v>
      </c>
      <c r="AS56" s="211">
        <v>347.54998799999998</v>
      </c>
      <c r="AT56" s="211">
        <v>269.54998799999998</v>
      </c>
      <c r="AU56" s="211">
        <v>85.650002000000001</v>
      </c>
      <c r="AV56" s="211">
        <v>2540.30249</v>
      </c>
      <c r="AW56" s="211">
        <v>19508.320313</v>
      </c>
      <c r="AX56" s="211">
        <v>659.34429899999998</v>
      </c>
      <c r="AY56" s="211">
        <v>418.73818999999997</v>
      </c>
      <c r="AZ56" s="211">
        <v>162.51788300000001</v>
      </c>
      <c r="BA56" s="211">
        <v>98.176879999999997</v>
      </c>
      <c r="BB56" s="211">
        <v>41609.65625</v>
      </c>
      <c r="BC56" s="211">
        <v>1093.0981449999999</v>
      </c>
      <c r="BD56" s="211">
        <v>280.85000600000001</v>
      </c>
      <c r="BE56" s="211"/>
      <c r="BF56" s="211">
        <v>485.34643599999998</v>
      </c>
      <c r="BG56" s="211">
        <v>704.58337400000005</v>
      </c>
      <c r="BH56" s="211">
        <v>4872.7612300000001</v>
      </c>
      <c r="BI56" s="211">
        <v>239.182861</v>
      </c>
      <c r="BJ56" s="211">
        <v>508.17572000000001</v>
      </c>
    </row>
    <row r="57" spans="2:62">
      <c r="B57" s="209">
        <v>44927</v>
      </c>
      <c r="C57" s="210">
        <v>1350.3364260000001</v>
      </c>
      <c r="D57" s="210">
        <v>450.695313</v>
      </c>
      <c r="E57" s="211">
        <v>8812.3710940000001</v>
      </c>
      <c r="F57" s="211">
        <v>452.75811800000002</v>
      </c>
      <c r="G57" s="211">
        <v>1448.400024</v>
      </c>
      <c r="H57" s="211">
        <v>1729.5758060000001</v>
      </c>
      <c r="I57" s="211">
        <v>1585.319702</v>
      </c>
      <c r="J57" s="211">
        <v>869.81054700000004</v>
      </c>
      <c r="K57" s="211">
        <v>58.200001</v>
      </c>
      <c r="L57" s="211">
        <v>157.40438800000001</v>
      </c>
      <c r="M57" s="211">
        <v>1023.171753</v>
      </c>
      <c r="N57" s="211">
        <v>4290.5966799999997</v>
      </c>
      <c r="O57" s="211">
        <v>405.59854100000001</v>
      </c>
      <c r="P57" s="211">
        <v>493.04998799999998</v>
      </c>
      <c r="Q57" s="211">
        <v>351.89999399999999</v>
      </c>
      <c r="R57" s="211">
        <v>2100.6477049999999</v>
      </c>
      <c r="S57" s="211">
        <v>511.17498799999998</v>
      </c>
      <c r="T57" s="211">
        <v>353.26181000000003</v>
      </c>
      <c r="U57" s="211">
        <v>90.199996999999996</v>
      </c>
      <c r="V57" s="211"/>
      <c r="W57" s="211">
        <v>1223.900024</v>
      </c>
      <c r="X57" s="211">
        <v>210.93551600000001</v>
      </c>
      <c r="Y57" s="211">
        <v>42.399146999999999</v>
      </c>
      <c r="Z57" s="211">
        <v>83.300003000000004</v>
      </c>
      <c r="AA57" s="211">
        <v>12.75</v>
      </c>
      <c r="AB57" s="211">
        <v>23590.060547000001</v>
      </c>
      <c r="AC57" s="211">
        <v>396.569366</v>
      </c>
      <c r="AD57" s="211">
        <v>7053.3129879999997</v>
      </c>
      <c r="AE57" s="211">
        <v>108.599998</v>
      </c>
      <c r="AF57" s="211">
        <v>161.73539700000001</v>
      </c>
      <c r="AG57" s="211">
        <v>3259.2373050000001</v>
      </c>
      <c r="AH57" s="211">
        <v>1493.318481</v>
      </c>
      <c r="AI57" s="211">
        <v>6581.1079099999997</v>
      </c>
      <c r="AJ57" s="211">
        <v>840.30224599999997</v>
      </c>
      <c r="AK57" s="211">
        <v>369.04998799999998</v>
      </c>
      <c r="AL57" s="211">
        <v>226.800003</v>
      </c>
      <c r="AM57" s="211">
        <v>455.60836799999998</v>
      </c>
      <c r="AN57" s="211">
        <v>1697.599976</v>
      </c>
      <c r="AO57" s="211">
        <v>193.560349</v>
      </c>
      <c r="AP57" s="211">
        <v>61.549999</v>
      </c>
      <c r="AQ57" s="211">
        <v>300.209564</v>
      </c>
      <c r="AR57" s="211">
        <v>162.145172</v>
      </c>
      <c r="AS57" s="211">
        <v>355.14999399999999</v>
      </c>
      <c r="AT57" s="211">
        <v>257.20001200000002</v>
      </c>
      <c r="AU57" s="211">
        <v>76.5</v>
      </c>
      <c r="AV57" s="211">
        <v>2555.8752439999998</v>
      </c>
      <c r="AW57" s="211">
        <v>18923</v>
      </c>
      <c r="AX57" s="211">
        <v>571.45159899999999</v>
      </c>
      <c r="AY57" s="211">
        <v>471.06796300000002</v>
      </c>
      <c r="AZ57" s="211">
        <v>166.52462800000001</v>
      </c>
      <c r="BA57" s="211">
        <v>93.312263000000002</v>
      </c>
      <c r="BB57" s="211">
        <v>39136.496094000002</v>
      </c>
      <c r="BC57" s="211">
        <v>1389.383423</v>
      </c>
      <c r="BD57" s="211">
        <v>255.550003</v>
      </c>
      <c r="BE57" s="211"/>
      <c r="BF57" s="211">
        <v>451.89309700000001</v>
      </c>
      <c r="BG57" s="211">
        <v>744.97033699999997</v>
      </c>
      <c r="BH57" s="211">
        <v>4391.4951170000004</v>
      </c>
      <c r="BI57" s="211">
        <v>206.318039</v>
      </c>
      <c r="BJ57" s="211">
        <v>488.58682299999998</v>
      </c>
    </row>
    <row r="58" spans="2:62">
      <c r="B58" s="209">
        <v>44958</v>
      </c>
      <c r="C58" s="211">
        <v>1243.4357910000001</v>
      </c>
      <c r="D58" s="210">
        <v>419.39288299999998</v>
      </c>
      <c r="E58" s="211">
        <v>8543.9472659999992</v>
      </c>
      <c r="F58" s="211">
        <v>447.13473499999998</v>
      </c>
      <c r="G58" s="211">
        <v>1208.650024</v>
      </c>
      <c r="H58" s="211">
        <v>1727.8272710000001</v>
      </c>
      <c r="I58" s="211">
        <v>1581.4638669999999</v>
      </c>
      <c r="J58" s="211">
        <v>842.36700399999995</v>
      </c>
      <c r="K58" s="211">
        <v>55.150002000000001</v>
      </c>
      <c r="L58" s="211">
        <v>137.40628100000001</v>
      </c>
      <c r="M58" s="211">
        <v>946.12481700000001</v>
      </c>
      <c r="N58" s="211">
        <v>4283.1054690000001</v>
      </c>
      <c r="O58" s="211">
        <v>459.85720800000001</v>
      </c>
      <c r="P58" s="211">
        <v>479.95001200000002</v>
      </c>
      <c r="Q58" s="211">
        <v>295.70001200000002</v>
      </c>
      <c r="R58" s="211">
        <v>2085.5683589999999</v>
      </c>
      <c r="S58" s="211">
        <v>410.10000600000001</v>
      </c>
      <c r="T58" s="211">
        <v>348.89627100000001</v>
      </c>
      <c r="U58" s="211">
        <v>89</v>
      </c>
      <c r="V58" s="211"/>
      <c r="W58" s="211">
        <v>485.29998799999998</v>
      </c>
      <c r="X58" s="211">
        <v>200.68102999999999</v>
      </c>
      <c r="Y58" s="211">
        <v>37.811539000000003</v>
      </c>
      <c r="Z58" s="211">
        <v>77.550003000000004</v>
      </c>
      <c r="AA58" s="211">
        <v>9.8000000000000007</v>
      </c>
      <c r="AB58" s="211">
        <v>25983.869140999999</v>
      </c>
      <c r="AC58" s="211">
        <v>338.15148900000003</v>
      </c>
      <c r="AD58" s="211">
        <v>7228.263672</v>
      </c>
      <c r="AE58" s="211">
        <v>109.650002</v>
      </c>
      <c r="AF58" s="211">
        <v>167.73294100000001</v>
      </c>
      <c r="AG58" s="211">
        <v>3279.86499</v>
      </c>
      <c r="AH58" s="211">
        <v>1448.3364260000001</v>
      </c>
      <c r="AI58" s="211">
        <v>6081.5737300000001</v>
      </c>
      <c r="AJ58" s="211">
        <v>850.18408199999999</v>
      </c>
      <c r="AK58" s="211">
        <v>346.14999399999999</v>
      </c>
      <c r="AL58" s="211">
        <v>195.60000600000001</v>
      </c>
      <c r="AM58" s="211">
        <v>422.76910400000003</v>
      </c>
      <c r="AN58" s="211">
        <v>1518.1999510000001</v>
      </c>
      <c r="AO58" s="211">
        <v>163.718658</v>
      </c>
      <c r="AP58" s="211">
        <v>58.400002000000001</v>
      </c>
      <c r="AQ58" s="211">
        <v>309.93396000000001</v>
      </c>
      <c r="AR58" s="211">
        <v>156.42533900000001</v>
      </c>
      <c r="AS58" s="211">
        <v>366.70001200000002</v>
      </c>
      <c r="AT58" s="211">
        <v>273.54998799999998</v>
      </c>
      <c r="AU58" s="211">
        <v>77.900002000000001</v>
      </c>
      <c r="AV58" s="211">
        <v>2440.7158199999999</v>
      </c>
      <c r="AW58" s="211">
        <v>18576.982422000001</v>
      </c>
      <c r="AX58" s="211">
        <v>648.47607400000004</v>
      </c>
      <c r="AY58" s="211">
        <v>499.60244799999998</v>
      </c>
      <c r="AZ58" s="211">
        <v>159.48838799999999</v>
      </c>
      <c r="BA58" s="211">
        <v>92.968292000000005</v>
      </c>
      <c r="BB58" s="211">
        <v>34410.925780999998</v>
      </c>
      <c r="BC58" s="211">
        <v>1302.9772949999999</v>
      </c>
      <c r="BD58" s="211">
        <v>265.39999399999999</v>
      </c>
      <c r="BE58" s="211"/>
      <c r="BF58" s="211">
        <v>444.68548600000003</v>
      </c>
      <c r="BG58" s="211">
        <v>682.98785399999997</v>
      </c>
      <c r="BH58" s="211">
        <v>4223.9184569999998</v>
      </c>
      <c r="BI58" s="211">
        <v>193.88269</v>
      </c>
      <c r="BJ58" s="211">
        <v>463.965057</v>
      </c>
    </row>
    <row r="59" spans="2:62">
      <c r="B59" s="209">
        <v>44986</v>
      </c>
      <c r="C59" s="211">
        <v>1134.8211670000001</v>
      </c>
      <c r="D59" s="210">
        <v>419.49255399999998</v>
      </c>
      <c r="E59" s="211">
        <v>8214.8447269999997</v>
      </c>
      <c r="F59" s="211">
        <v>454.20129400000002</v>
      </c>
      <c r="G59" s="211">
        <v>1165.349976</v>
      </c>
      <c r="H59" s="211">
        <v>1731.4243160000001</v>
      </c>
      <c r="I59" s="211">
        <v>1591.3011469999999</v>
      </c>
      <c r="J59" s="211">
        <v>856.73742700000003</v>
      </c>
      <c r="K59" s="211">
        <v>55.049999</v>
      </c>
      <c r="L59" s="211">
        <v>124.90125999999999</v>
      </c>
      <c r="M59" s="211">
        <v>979.63519299999996</v>
      </c>
      <c r="N59" s="211">
        <v>4586.8798829999996</v>
      </c>
      <c r="O59" s="211">
        <v>518.09997599999997</v>
      </c>
      <c r="P59" s="211">
        <v>472.39999399999999</v>
      </c>
      <c r="Q59" s="211">
        <v>289.70001200000002</v>
      </c>
      <c r="R59" s="211">
        <v>2140.0029300000001</v>
      </c>
      <c r="S59" s="211">
        <v>465.14999399999999</v>
      </c>
      <c r="T59" s="211">
        <v>353.90673800000002</v>
      </c>
      <c r="U59" s="211">
        <v>106.099998</v>
      </c>
      <c r="V59" s="211"/>
      <c r="W59" s="211">
        <v>881.15002400000003</v>
      </c>
      <c r="X59" s="211">
        <v>188.49452199999999</v>
      </c>
      <c r="Y59" s="211">
        <v>40.200001</v>
      </c>
      <c r="Z59" s="211">
        <v>75.900002000000001</v>
      </c>
      <c r="AA59" s="211">
        <v>9.9499999999999993</v>
      </c>
      <c r="AB59" s="211">
        <v>26129.714843999998</v>
      </c>
      <c r="AC59" s="211">
        <v>361.33081099999998</v>
      </c>
      <c r="AD59" s="211">
        <v>7587.4721680000002</v>
      </c>
      <c r="AE59" s="211">
        <v>111.849998</v>
      </c>
      <c r="AF59" s="211">
        <v>178.35000600000001</v>
      </c>
      <c r="AG59" s="211">
        <v>3173.9797359999998</v>
      </c>
      <c r="AH59" s="211">
        <v>1390.3073730000001</v>
      </c>
      <c r="AI59" s="211">
        <v>5912.7475590000004</v>
      </c>
      <c r="AJ59" s="211">
        <v>762.58843999999999</v>
      </c>
      <c r="AK59" s="211">
        <v>321.10000600000001</v>
      </c>
      <c r="AL59" s="211">
        <v>212.25</v>
      </c>
      <c r="AM59" s="211">
        <v>413.457581</v>
      </c>
      <c r="AN59" s="211">
        <v>1534</v>
      </c>
      <c r="AO59" s="211">
        <v>181</v>
      </c>
      <c r="AP59" s="211">
        <v>54.25</v>
      </c>
      <c r="AQ59" s="211">
        <v>323.49822999999998</v>
      </c>
      <c r="AR59" s="211">
        <v>164.78128100000001</v>
      </c>
      <c r="AS59" s="211">
        <v>363.14999399999999</v>
      </c>
      <c r="AT59" s="211">
        <v>269.85000600000001</v>
      </c>
      <c r="AU59" s="211">
        <v>77.25</v>
      </c>
      <c r="AV59" s="211">
        <v>2539.6083979999999</v>
      </c>
      <c r="AW59" s="211">
        <v>19606.328125</v>
      </c>
      <c r="AX59" s="211">
        <v>691.47522000000004</v>
      </c>
      <c r="AY59" s="211">
        <v>533.95001200000002</v>
      </c>
      <c r="AZ59" s="211">
        <v>148.49423200000001</v>
      </c>
      <c r="BA59" s="211">
        <v>96.471626000000001</v>
      </c>
      <c r="BB59" s="211">
        <v>36304.675780999998</v>
      </c>
      <c r="BC59" s="211">
        <v>1372.6209719999999</v>
      </c>
      <c r="BD59" s="211">
        <v>262.54998799999998</v>
      </c>
      <c r="BE59" s="211"/>
      <c r="BF59" s="211">
        <v>423.60940599999998</v>
      </c>
      <c r="BG59" s="211">
        <v>706.05914299999995</v>
      </c>
      <c r="BH59" s="211">
        <v>4024.266357</v>
      </c>
      <c r="BI59" s="211">
        <v>190.379074</v>
      </c>
      <c r="BJ59" s="211">
        <v>486.34286500000002</v>
      </c>
    </row>
    <row r="60" spans="2:62">
      <c r="B60" s="209">
        <v>45017</v>
      </c>
      <c r="C60" s="211">
        <v>1201.615845</v>
      </c>
      <c r="D60" s="210">
        <v>483.44326799999999</v>
      </c>
      <c r="E60" s="211">
        <v>8509.4716800000006</v>
      </c>
      <c r="F60" s="211">
        <v>456.789063</v>
      </c>
      <c r="G60" s="211">
        <v>1342.900024</v>
      </c>
      <c r="H60" s="211">
        <v>1936.4555660000001</v>
      </c>
      <c r="I60" s="211">
        <v>1668.466187</v>
      </c>
      <c r="J60" s="211">
        <v>858.234375</v>
      </c>
      <c r="K60" s="211">
        <v>61.450001</v>
      </c>
      <c r="L60" s="211">
        <v>140.58215300000001</v>
      </c>
      <c r="M60" s="211">
        <v>984.16918899999996</v>
      </c>
      <c r="N60" s="211">
        <v>4891.5966799999997</v>
      </c>
      <c r="O60" s="211">
        <v>617</v>
      </c>
      <c r="P60" s="211">
        <v>471.89999399999999</v>
      </c>
      <c r="Q60" s="211">
        <v>379.45001200000002</v>
      </c>
      <c r="R60" s="211">
        <v>2337.9645999999998</v>
      </c>
      <c r="S60" s="211">
        <v>464.45001200000002</v>
      </c>
      <c r="T60" s="211">
        <v>422.86248799999998</v>
      </c>
      <c r="U60" s="211">
        <v>119.800003</v>
      </c>
      <c r="V60" s="211"/>
      <c r="W60" s="211">
        <v>951</v>
      </c>
      <c r="X60" s="211">
        <v>199.244415</v>
      </c>
      <c r="Y60" s="211">
        <v>44.25</v>
      </c>
      <c r="Z60" s="211">
        <v>93.25</v>
      </c>
      <c r="AA60" s="211">
        <v>12.2</v>
      </c>
      <c r="AB60" s="211">
        <v>24281.263672000001</v>
      </c>
      <c r="AC60" s="211">
        <v>391.92361499999998</v>
      </c>
      <c r="AD60" s="211">
        <v>7521.8222660000001</v>
      </c>
      <c r="AE60" s="211">
        <v>116.5</v>
      </c>
      <c r="AF60" s="211">
        <v>187.10000600000001</v>
      </c>
      <c r="AG60" s="211">
        <v>3187.1967770000001</v>
      </c>
      <c r="AH60" s="211">
        <v>1219.725952</v>
      </c>
      <c r="AI60" s="211">
        <v>6591.9228519999997</v>
      </c>
      <c r="AJ60" s="211">
        <v>817.11224400000003</v>
      </c>
      <c r="AK60" s="211">
        <v>360.39999399999999</v>
      </c>
      <c r="AL60" s="211">
        <v>196.75</v>
      </c>
      <c r="AM60" s="211">
        <v>431.79998799999998</v>
      </c>
      <c r="AN60" s="211">
        <v>1463.150024</v>
      </c>
      <c r="AO60" s="211">
        <v>192.85000600000001</v>
      </c>
      <c r="AP60" s="211">
        <v>58.049999</v>
      </c>
      <c r="AQ60" s="211">
        <v>338.20950299999998</v>
      </c>
      <c r="AR60" s="211">
        <v>187.760132</v>
      </c>
      <c r="AS60" s="211">
        <v>384.10000600000001</v>
      </c>
      <c r="AT60" s="211">
        <v>301.25</v>
      </c>
      <c r="AU60" s="211">
        <v>88.050003000000004</v>
      </c>
      <c r="AV60" s="211">
        <v>2437.3930660000001</v>
      </c>
      <c r="AW60" s="211">
        <v>21652.980468999998</v>
      </c>
      <c r="AX60" s="211">
        <v>721.59515399999998</v>
      </c>
      <c r="AY60" s="211">
        <v>618.04998799999998</v>
      </c>
      <c r="AZ60" s="211">
        <v>154.553223</v>
      </c>
      <c r="BA60" s="211">
        <v>102.82795</v>
      </c>
      <c r="BB60" s="211">
        <v>35516.621094000002</v>
      </c>
      <c r="BC60" s="211">
        <v>1659.228149</v>
      </c>
      <c r="BD60" s="211">
        <v>295.14999399999999</v>
      </c>
      <c r="BE60" s="211"/>
      <c r="BF60" s="211">
        <v>400.44558699999999</v>
      </c>
      <c r="BG60" s="211">
        <v>728.34326199999998</v>
      </c>
      <c r="BH60" s="211">
        <v>4086.688232</v>
      </c>
      <c r="BI60" s="211">
        <v>186.97416699999999</v>
      </c>
      <c r="BJ60" s="211">
        <v>460.91833500000001</v>
      </c>
    </row>
    <row r="61" spans="2:62">
      <c r="B61" s="209">
        <v>45047</v>
      </c>
      <c r="C61" s="211">
        <v>1291.817749</v>
      </c>
      <c r="D61" s="210">
        <v>524.66479500000003</v>
      </c>
      <c r="E61" s="211">
        <v>9280.3671880000002</v>
      </c>
      <c r="F61" s="211">
        <v>520.03979500000003</v>
      </c>
      <c r="G61" s="211">
        <v>1788.9499510000001</v>
      </c>
      <c r="H61" s="211">
        <v>2012.692749</v>
      </c>
      <c r="I61" s="211">
        <v>1592.5863039999999</v>
      </c>
      <c r="J61" s="211">
        <v>912.97174099999995</v>
      </c>
      <c r="K61" s="211">
        <v>71.650002000000001</v>
      </c>
      <c r="L61" s="211">
        <v>124.206543</v>
      </c>
      <c r="M61" s="211">
        <v>971.91247599999997</v>
      </c>
      <c r="N61" s="211">
        <v>4466.1240230000003</v>
      </c>
      <c r="O61" s="211">
        <v>658.59997599999997</v>
      </c>
      <c r="P61" s="211">
        <v>477</v>
      </c>
      <c r="Q61" s="211">
        <v>373.25</v>
      </c>
      <c r="R61" s="211">
        <v>2180.9895019999999</v>
      </c>
      <c r="S61" s="211">
        <v>545.45001200000002</v>
      </c>
      <c r="T61" s="211">
        <v>471.18112200000002</v>
      </c>
      <c r="U61" s="211">
        <v>119.25</v>
      </c>
      <c r="V61" s="211"/>
      <c r="W61" s="211">
        <v>977.70001200000002</v>
      </c>
      <c r="X61" s="211">
        <v>211.57952900000001</v>
      </c>
      <c r="Y61" s="211">
        <v>43.450001</v>
      </c>
      <c r="Z61" s="211">
        <v>94.550003000000004</v>
      </c>
      <c r="AA61" s="211">
        <v>12.95</v>
      </c>
      <c r="AB61" s="211">
        <v>25110.199218999998</v>
      </c>
      <c r="AC61" s="211">
        <v>418.710846</v>
      </c>
      <c r="AD61" s="211">
        <v>7834.2441410000001</v>
      </c>
      <c r="AE61" s="211">
        <v>132.699997</v>
      </c>
      <c r="AF61" s="211">
        <v>191.199997</v>
      </c>
      <c r="AG61" s="211">
        <v>3256.7475589999999</v>
      </c>
      <c r="AH61" s="211">
        <v>1283.5479740000001</v>
      </c>
      <c r="AI61" s="211">
        <v>7363.8217770000001</v>
      </c>
      <c r="AJ61" s="211">
        <v>914.19250499999998</v>
      </c>
      <c r="AK61" s="211">
        <v>337.45001200000002</v>
      </c>
      <c r="AL61" s="211">
        <v>195.050003</v>
      </c>
      <c r="AM61" s="211">
        <v>444.20001200000002</v>
      </c>
      <c r="AN61" s="211">
        <v>1415.349976</v>
      </c>
      <c r="AO61" s="211">
        <v>190.85000600000001</v>
      </c>
      <c r="AP61" s="211">
        <v>61.299999</v>
      </c>
      <c r="AQ61" s="211">
        <v>388.67663599999997</v>
      </c>
      <c r="AR61" s="211">
        <v>207.70498699999999</v>
      </c>
      <c r="AS61" s="211">
        <v>433.20001200000002</v>
      </c>
      <c r="AT61" s="211">
        <v>308.29998799999998</v>
      </c>
      <c r="AU61" s="211">
        <v>95.949996999999996</v>
      </c>
      <c r="AV61" s="211">
        <v>2645.9396969999998</v>
      </c>
      <c r="AW61" s="211">
        <v>21673.099609000001</v>
      </c>
      <c r="AX61" s="211">
        <v>847.22497599999997</v>
      </c>
      <c r="AY61" s="211">
        <v>758.29998799999998</v>
      </c>
      <c r="AZ61" s="211">
        <v>181.62325999999999</v>
      </c>
      <c r="BA61" s="211">
        <v>111.637512</v>
      </c>
      <c r="BB61" s="211">
        <v>39965.957030999998</v>
      </c>
      <c r="BC61" s="211">
        <v>1685.3195800000001</v>
      </c>
      <c r="BD61" s="211">
        <v>392.64999399999999</v>
      </c>
      <c r="BE61" s="211"/>
      <c r="BF61" s="211">
        <v>396.02160600000002</v>
      </c>
      <c r="BG61" s="211">
        <v>674.03479000000004</v>
      </c>
      <c r="BH61" s="211">
        <v>4173.2895509999998</v>
      </c>
      <c r="BI61" s="211">
        <v>187.27024800000001</v>
      </c>
      <c r="BJ61" s="211">
        <v>477.80178799999999</v>
      </c>
    </row>
    <row r="62" spans="2:62">
      <c r="B62" s="209">
        <v>45078</v>
      </c>
      <c r="C62" s="211">
        <v>1423.6437989999999</v>
      </c>
      <c r="D62" s="210">
        <v>593.69958499999996</v>
      </c>
      <c r="E62" s="211">
        <v>9697.7890630000002</v>
      </c>
      <c r="F62" s="211">
        <v>548.55493200000001</v>
      </c>
      <c r="G62" s="211">
        <v>2733.8500979999999</v>
      </c>
      <c r="H62" s="211">
        <v>1845.030884</v>
      </c>
      <c r="I62" s="211">
        <v>1701.400024</v>
      </c>
      <c r="J62" s="211">
        <v>985.422729</v>
      </c>
      <c r="K62" s="211">
        <v>79.400002000000001</v>
      </c>
      <c r="L62" s="211">
        <v>126.34034</v>
      </c>
      <c r="M62" s="211">
        <v>1047.8937989999999</v>
      </c>
      <c r="N62" s="211">
        <v>5119.5639650000003</v>
      </c>
      <c r="O62" s="211">
        <v>727.34997599999997</v>
      </c>
      <c r="P62" s="211">
        <v>485.85000600000001</v>
      </c>
      <c r="Q62" s="211">
        <v>374.60000600000001</v>
      </c>
      <c r="R62" s="211">
        <v>2447.8718260000001</v>
      </c>
      <c r="S62" s="211">
        <v>679.79998799999998</v>
      </c>
      <c r="T62" s="211">
        <v>486.70855699999998</v>
      </c>
      <c r="U62" s="211">
        <v>122.099998</v>
      </c>
      <c r="V62" s="211"/>
      <c r="W62" s="211">
        <v>945.90002400000003</v>
      </c>
      <c r="X62" s="211">
        <v>219.80294799999999</v>
      </c>
      <c r="Y62" s="211">
        <v>45.950001</v>
      </c>
      <c r="Z62" s="211">
        <v>101.199997</v>
      </c>
      <c r="AA62" s="211">
        <v>14.05</v>
      </c>
      <c r="AB62" s="211">
        <v>23834.244140999999</v>
      </c>
      <c r="AC62" s="211">
        <v>420.984283</v>
      </c>
      <c r="AD62" s="211">
        <v>8257.0117190000001</v>
      </c>
      <c r="AE62" s="211">
        <v>140.89999399999999</v>
      </c>
      <c r="AF62" s="211">
        <v>199.89999399999999</v>
      </c>
      <c r="AG62" s="211">
        <v>3269.3703609999998</v>
      </c>
      <c r="AH62" s="211">
        <v>1300.2945560000001</v>
      </c>
      <c r="AI62" s="211">
        <v>7529.4731449999999</v>
      </c>
      <c r="AJ62" s="211">
        <v>971.794983</v>
      </c>
      <c r="AK62" s="211">
        <v>351.64999399999999</v>
      </c>
      <c r="AL62" s="211">
        <v>177.35000600000001</v>
      </c>
      <c r="AM62" s="211">
        <v>439.25</v>
      </c>
      <c r="AN62" s="211">
        <v>1373.4499510000001</v>
      </c>
      <c r="AO62" s="211">
        <v>194.75</v>
      </c>
      <c r="AP62" s="211">
        <v>62.799999</v>
      </c>
      <c r="AQ62" s="211">
        <v>391.469269</v>
      </c>
      <c r="AR62" s="211">
        <v>210.88819899999999</v>
      </c>
      <c r="AS62" s="211">
        <v>429.10000600000001</v>
      </c>
      <c r="AT62" s="211">
        <v>300.04998799999998</v>
      </c>
      <c r="AU62" s="211">
        <v>93.699996999999996</v>
      </c>
      <c r="AV62" s="211">
        <v>2656.453857</v>
      </c>
      <c r="AW62" s="211">
        <v>22894.300781000002</v>
      </c>
      <c r="AX62" s="211">
        <v>802.54998799999998</v>
      </c>
      <c r="AY62" s="211">
        <v>806.95001200000002</v>
      </c>
      <c r="AZ62" s="211">
        <v>189.39245600000001</v>
      </c>
      <c r="BA62" s="211">
        <v>125.17536200000001</v>
      </c>
      <c r="BB62" s="211">
        <v>41586.808594000002</v>
      </c>
      <c r="BC62" s="211">
        <v>1864.0187989999999</v>
      </c>
      <c r="BD62" s="211">
        <v>447.89999399999999</v>
      </c>
      <c r="BE62" s="211"/>
      <c r="BF62" s="211">
        <v>433.74975599999999</v>
      </c>
      <c r="BG62" s="211">
        <v>676.44525099999998</v>
      </c>
      <c r="BH62" s="211">
        <v>4323.595703</v>
      </c>
      <c r="BI62" s="211">
        <v>197.10000600000001</v>
      </c>
      <c r="BJ62" s="211">
        <v>549.90411400000005</v>
      </c>
    </row>
    <row r="63" spans="2:62">
      <c r="B63" s="209">
        <v>45108</v>
      </c>
      <c r="C63" s="211">
        <v>1444.798706</v>
      </c>
      <c r="D63" s="210">
        <v>642.29815699999995</v>
      </c>
      <c r="E63" s="211">
        <v>9729.1933590000008</v>
      </c>
      <c r="F63" s="211">
        <v>630.86554000000001</v>
      </c>
      <c r="G63" s="211">
        <v>2549.5500489999999</v>
      </c>
      <c r="H63" s="211">
        <v>1855.0225829999999</v>
      </c>
      <c r="I63" s="211">
        <v>1651.1999510000001</v>
      </c>
      <c r="J63" s="211">
        <v>951.94164999999998</v>
      </c>
      <c r="K63" s="211">
        <v>87.199996999999996</v>
      </c>
      <c r="L63" s="211">
        <v>132.19584699999999</v>
      </c>
      <c r="M63" s="211">
        <v>1139.3702390000001</v>
      </c>
      <c r="N63" s="211">
        <v>5596.6831050000001</v>
      </c>
      <c r="O63" s="211">
        <v>822.25</v>
      </c>
      <c r="P63" s="211">
        <v>494.79998799999998</v>
      </c>
      <c r="Q63" s="211">
        <v>395.79998799999998</v>
      </c>
      <c r="R63" s="211">
        <v>2651.3710940000001</v>
      </c>
      <c r="S63" s="211">
        <v>759.34997599999997</v>
      </c>
      <c r="T63" s="211">
        <v>514.68774399999995</v>
      </c>
      <c r="U63" s="211">
        <v>158.699997</v>
      </c>
      <c r="V63" s="211"/>
      <c r="W63" s="211">
        <v>1093.3000489999999</v>
      </c>
      <c r="X63" s="211">
        <v>236.699997</v>
      </c>
      <c r="Y63" s="211">
        <v>51.5</v>
      </c>
      <c r="Z63" s="211">
        <v>116.800003</v>
      </c>
      <c r="AA63" s="211">
        <v>16.450001</v>
      </c>
      <c r="AB63" s="211">
        <v>24108.400390999999</v>
      </c>
      <c r="AC63" s="211">
        <v>457.65609699999999</v>
      </c>
      <c r="AD63" s="211">
        <v>8280.3056639999995</v>
      </c>
      <c r="AE63" s="211">
        <v>145.199997</v>
      </c>
      <c r="AF63" s="211">
        <v>192.699997</v>
      </c>
      <c r="AG63" s="211">
        <v>3412.5759280000002</v>
      </c>
      <c r="AH63" s="211">
        <v>1355.6999510000001</v>
      </c>
      <c r="AI63" s="211">
        <v>7159.3999020000001</v>
      </c>
      <c r="AJ63" s="211">
        <v>918.51263400000005</v>
      </c>
      <c r="AK63" s="211">
        <v>379.54998799999998</v>
      </c>
      <c r="AL63" s="211">
        <v>242.35000600000001</v>
      </c>
      <c r="AM63" s="211">
        <v>541.59997599999997</v>
      </c>
      <c r="AN63" s="211">
        <v>1529</v>
      </c>
      <c r="AO63" s="211">
        <v>206.25</v>
      </c>
      <c r="AP63" s="211">
        <v>58.25</v>
      </c>
      <c r="AQ63" s="211">
        <v>395.10000600000001</v>
      </c>
      <c r="AR63" s="211">
        <v>210.88819899999999</v>
      </c>
      <c r="AS63" s="211">
        <v>489</v>
      </c>
      <c r="AT63" s="211">
        <v>338.5</v>
      </c>
      <c r="AU63" s="211">
        <v>92.400002000000001</v>
      </c>
      <c r="AV63" s="211">
        <v>2560.8000489999999</v>
      </c>
      <c r="AW63" s="211">
        <v>22553.300781000002</v>
      </c>
      <c r="AX63" s="211">
        <v>804.40002400000003</v>
      </c>
      <c r="AY63" s="211">
        <v>918.70001200000002</v>
      </c>
      <c r="AZ63" s="211">
        <v>211.52732800000001</v>
      </c>
      <c r="BA63" s="211">
        <v>130.10273699999999</v>
      </c>
      <c r="BB63" s="211">
        <v>42897.800780999998</v>
      </c>
      <c r="BC63" s="211">
        <v>2033.139404</v>
      </c>
      <c r="BD63" s="211">
        <v>499.20001200000002</v>
      </c>
      <c r="BE63" s="211"/>
      <c r="BF63" s="211">
        <v>410.38714599999997</v>
      </c>
      <c r="BG63" s="211">
        <v>614.61035200000003</v>
      </c>
      <c r="BH63" s="211">
        <v>4390.5083009999998</v>
      </c>
      <c r="BI63" s="211">
        <v>218.75</v>
      </c>
      <c r="BJ63" s="211">
        <v>434.60000600000001</v>
      </c>
    </row>
    <row r="64" spans="2:62">
      <c r="B64" s="209">
        <v>45139</v>
      </c>
      <c r="C64" s="211">
        <v>1552.650024</v>
      </c>
      <c r="D64" s="210">
        <v>615.79998799999998</v>
      </c>
      <c r="E64" s="211">
        <v>9367.8935550000006</v>
      </c>
      <c r="F64" s="211">
        <v>624.40002400000003</v>
      </c>
      <c r="G64" s="211">
        <v>3377.6999510000001</v>
      </c>
      <c r="H64" s="211">
        <v>1749.3596190000001</v>
      </c>
      <c r="I64" s="211">
        <v>1590.75</v>
      </c>
      <c r="J64" s="211">
        <v>943.04998799999998</v>
      </c>
      <c r="K64" s="211">
        <v>88.949996999999996</v>
      </c>
      <c r="L64" s="211">
        <v>120.93141900000001</v>
      </c>
      <c r="M64" s="211">
        <v>1134.900024</v>
      </c>
      <c r="N64" s="211">
        <v>5874.4501950000003</v>
      </c>
      <c r="O64" s="211">
        <v>857.79998799999998</v>
      </c>
      <c r="P64" s="211">
        <v>520.5</v>
      </c>
      <c r="Q64" s="211">
        <v>405.85000600000001</v>
      </c>
      <c r="R64" s="211">
        <v>2612.4113769999999</v>
      </c>
      <c r="S64" s="211">
        <v>696</v>
      </c>
      <c r="T64" s="211">
        <v>474.04998799999998</v>
      </c>
      <c r="U64" s="211">
        <v>152.10000600000001</v>
      </c>
      <c r="V64" s="211"/>
      <c r="W64" s="211">
        <v>994.75</v>
      </c>
      <c r="X64" s="211">
        <v>230.10000600000001</v>
      </c>
      <c r="Y64" s="211">
        <v>49.849997999999999</v>
      </c>
      <c r="Z64" s="211">
        <v>114.900002</v>
      </c>
      <c r="AA64" s="211">
        <v>16.399999999999999</v>
      </c>
      <c r="AB64" s="211">
        <v>23537.25</v>
      </c>
      <c r="AC64" s="211">
        <v>453.04998799999998</v>
      </c>
      <c r="AD64" s="211">
        <v>8214.8496090000008</v>
      </c>
      <c r="AE64" s="211">
        <v>156.64999399999999</v>
      </c>
      <c r="AF64" s="211">
        <v>219.199997</v>
      </c>
      <c r="AG64" s="211">
        <v>3367.1000979999999</v>
      </c>
      <c r="AH64" s="211">
        <v>1388.8000489999999</v>
      </c>
      <c r="AI64" s="211">
        <v>7008.1499020000001</v>
      </c>
      <c r="AJ64" s="211">
        <v>891.54998799999998</v>
      </c>
      <c r="AK64" s="211">
        <v>425.45001200000002</v>
      </c>
      <c r="AL64" s="211">
        <v>273.70001200000002</v>
      </c>
      <c r="AM64" s="211">
        <v>549.29998799999998</v>
      </c>
      <c r="AN64" s="211">
        <v>1720.849976</v>
      </c>
      <c r="AO64" s="211">
        <v>200.39999399999999</v>
      </c>
      <c r="AP64" s="211">
        <v>63.5</v>
      </c>
      <c r="AQ64" s="211">
        <v>381.64999399999999</v>
      </c>
      <c r="AR64" s="211">
        <v>223.024216</v>
      </c>
      <c r="AS64" s="211">
        <v>490.45001200000002</v>
      </c>
      <c r="AT64" s="211">
        <v>361.25</v>
      </c>
      <c r="AU64" s="211">
        <v>102.150002</v>
      </c>
      <c r="AV64" s="211">
        <v>2554.75</v>
      </c>
      <c r="AW64" s="211">
        <v>21830</v>
      </c>
      <c r="AX64" s="211">
        <v>899.25</v>
      </c>
      <c r="AY64" s="211">
        <v>1074.9499510000001</v>
      </c>
      <c r="AZ64" s="211">
        <v>238.49963399999999</v>
      </c>
      <c r="BA64" s="211">
        <v>126.568962</v>
      </c>
      <c r="BB64" s="211">
        <v>40094.917969000002</v>
      </c>
      <c r="BC64" s="211">
        <v>2153.7189939999998</v>
      </c>
      <c r="BD64" s="211">
        <v>470.14999399999999</v>
      </c>
      <c r="BE64" s="211">
        <v>515.40002400000003</v>
      </c>
      <c r="BF64" s="211">
        <v>409.70001200000002</v>
      </c>
      <c r="BG64" s="211">
        <v>569.10736099999997</v>
      </c>
      <c r="BH64" s="211">
        <v>4671.9248049999997</v>
      </c>
      <c r="BI64" s="211">
        <v>218.14999399999999</v>
      </c>
      <c r="BJ64" s="211">
        <v>416.87237499999998</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35488-87D6-479D-A421-B459ACF7262F}">
  <dimension ref="B2:BJ64"/>
  <sheetViews>
    <sheetView showGridLines="0" topLeftCell="B2" zoomScale="50" zoomScaleNormal="50" workbookViewId="0">
      <selection activeCell="B2" sqref="B2"/>
    </sheetView>
  </sheetViews>
  <sheetFormatPr defaultColWidth="9" defaultRowHeight="12"/>
  <cols>
    <col min="1" max="1" width="2.54296875" style="213" customWidth="1"/>
    <col min="2" max="2" width="10.54296875" style="213" bestFit="1" customWidth="1"/>
    <col min="3" max="3" width="20" style="213" bestFit="1" customWidth="1"/>
    <col min="4" max="4" width="10.453125" style="213" bestFit="1" customWidth="1"/>
    <col min="5" max="5" width="11.54296875" style="213" bestFit="1" customWidth="1"/>
    <col min="6" max="6" width="18.26953125" style="213" bestFit="1" customWidth="1"/>
    <col min="7" max="7" width="14.1796875" style="213" bestFit="1" customWidth="1"/>
    <col min="8" max="8" width="24.1796875" style="213" bestFit="1" customWidth="1"/>
    <col min="9" max="9" width="15.7265625" style="213" bestFit="1" customWidth="1"/>
    <col min="10" max="10" width="14.7265625" style="213" bestFit="1" customWidth="1"/>
    <col min="11" max="11" width="19.7265625" style="213" bestFit="1" customWidth="1"/>
    <col min="12" max="12" width="13.26953125" style="213" bestFit="1" customWidth="1"/>
    <col min="13" max="13" width="28.26953125" style="213" bestFit="1" customWidth="1"/>
    <col min="14" max="14" width="22.453125" style="213" bestFit="1" customWidth="1"/>
    <col min="15" max="15" width="18.54296875" style="213" bestFit="1" customWidth="1"/>
    <col min="16" max="16" width="25.26953125" style="213" bestFit="1" customWidth="1"/>
    <col min="17" max="17" width="24.54296875" style="213" bestFit="1" customWidth="1"/>
    <col min="18" max="18" width="16.7265625" style="213" bestFit="1" customWidth="1"/>
    <col min="19" max="19" width="25" style="213" bestFit="1" customWidth="1"/>
    <col min="20" max="20" width="7.1796875" style="213" bestFit="1" customWidth="1"/>
    <col min="21" max="21" width="10.26953125" style="213" bestFit="1" customWidth="1"/>
    <col min="22" max="22" width="21.54296875" style="213" bestFit="1" customWidth="1"/>
    <col min="23" max="23" width="22.81640625" style="213" bestFit="1" customWidth="1"/>
    <col min="24" max="24" width="27.453125" style="213" bestFit="1" customWidth="1"/>
    <col min="25" max="25" width="11.54296875" style="213" bestFit="1" customWidth="1"/>
    <col min="26" max="26" width="34.7265625" style="213" bestFit="1" customWidth="1"/>
    <col min="27" max="27" width="19.26953125" style="213" bestFit="1" customWidth="1"/>
    <col min="28" max="28" width="18.1796875" style="213" bestFit="1" customWidth="1"/>
    <col min="29" max="29" width="19.81640625" style="213" bestFit="1" customWidth="1"/>
    <col min="30" max="30" width="21.453125" style="213" bestFit="1" customWidth="1"/>
    <col min="31" max="31" width="16.81640625" style="213" bestFit="1" customWidth="1"/>
    <col min="32" max="32" width="18.453125" style="213" bestFit="1" customWidth="1"/>
    <col min="33" max="33" width="24" style="213" bestFit="1" customWidth="1"/>
    <col min="34" max="34" width="9" style="213"/>
    <col min="35" max="35" width="11" style="213" bestFit="1" customWidth="1"/>
    <col min="36" max="36" width="26.81640625" style="213" bestFit="1" customWidth="1"/>
    <col min="37" max="37" width="20.7265625" style="213" bestFit="1" customWidth="1"/>
    <col min="38" max="38" width="27.81640625" style="213" bestFit="1" customWidth="1"/>
    <col min="39" max="39" width="16.26953125" style="213" bestFit="1" customWidth="1"/>
    <col min="40" max="40" width="10.54296875" style="213" bestFit="1" customWidth="1"/>
    <col min="41" max="41" width="21.7265625" style="213" bestFit="1" customWidth="1"/>
    <col min="42" max="42" width="30.54296875" style="213" bestFit="1" customWidth="1"/>
    <col min="43" max="43" width="16.54296875" style="213" bestFit="1" customWidth="1"/>
    <col min="44" max="44" width="7.1796875" style="213" bestFit="1" customWidth="1"/>
    <col min="45" max="45" width="14.1796875" style="213" bestFit="1" customWidth="1"/>
    <col min="46" max="46" width="31.1796875" style="213" bestFit="1" customWidth="1"/>
    <col min="47" max="47" width="18.453125" style="213" bestFit="1" customWidth="1"/>
    <col min="48" max="16384" width="9" style="213"/>
  </cols>
  <sheetData>
    <row r="2" spans="2:62">
      <c r="B2" s="369" t="s">
        <v>986</v>
      </c>
    </row>
    <row r="3" spans="2:62" ht="12.5" thickBot="1"/>
    <row r="4" spans="2:62">
      <c r="B4" s="354" t="s">
        <v>982</v>
      </c>
      <c r="C4" s="355" t="s">
        <v>123</v>
      </c>
      <c r="D4" s="356" t="s">
        <v>124</v>
      </c>
      <c r="E4" s="356" t="s">
        <v>125</v>
      </c>
      <c r="F4" s="356" t="s">
        <v>126</v>
      </c>
      <c r="G4" s="356" t="s">
        <v>127</v>
      </c>
      <c r="H4" s="357" t="s">
        <v>128</v>
      </c>
      <c r="I4" s="357" t="s">
        <v>129</v>
      </c>
      <c r="J4" s="357" t="s">
        <v>130</v>
      </c>
      <c r="K4" s="357" t="s">
        <v>131</v>
      </c>
      <c r="L4" s="357" t="s">
        <v>132</v>
      </c>
      <c r="M4" s="358" t="s">
        <v>133</v>
      </c>
      <c r="N4" s="358" t="s">
        <v>134</v>
      </c>
      <c r="O4" s="358" t="s">
        <v>135</v>
      </c>
      <c r="P4" s="358" t="s">
        <v>136</v>
      </c>
      <c r="Q4" s="358" t="s">
        <v>137</v>
      </c>
      <c r="R4" s="359" t="s">
        <v>138</v>
      </c>
      <c r="S4" s="359" t="s">
        <v>139</v>
      </c>
      <c r="T4" s="359" t="s">
        <v>140</v>
      </c>
      <c r="U4" s="359" t="s">
        <v>141</v>
      </c>
      <c r="V4" s="359" t="s">
        <v>142</v>
      </c>
      <c r="W4" s="360" t="s">
        <v>143</v>
      </c>
      <c r="X4" s="360" t="s">
        <v>145</v>
      </c>
      <c r="Y4" s="360" t="s">
        <v>146</v>
      </c>
      <c r="Z4" s="360" t="s">
        <v>147</v>
      </c>
      <c r="AA4" s="360" t="s">
        <v>148</v>
      </c>
      <c r="AB4" s="361" t="s">
        <v>149</v>
      </c>
      <c r="AC4" s="361" t="s">
        <v>150</v>
      </c>
      <c r="AD4" s="361" t="s">
        <v>151</v>
      </c>
      <c r="AE4" s="361" t="s">
        <v>152</v>
      </c>
      <c r="AF4" s="361" t="s">
        <v>153</v>
      </c>
      <c r="AG4" s="362" t="s">
        <v>154</v>
      </c>
      <c r="AH4" s="362" t="s">
        <v>155</v>
      </c>
      <c r="AI4" s="362" t="s">
        <v>156</v>
      </c>
      <c r="AJ4" s="362" t="s">
        <v>157</v>
      </c>
      <c r="AK4" s="362" t="s">
        <v>158</v>
      </c>
      <c r="AL4" s="363" t="s">
        <v>159</v>
      </c>
      <c r="AM4" s="363" t="s">
        <v>161</v>
      </c>
      <c r="AN4" s="363" t="s">
        <v>162</v>
      </c>
      <c r="AO4" s="363" t="s">
        <v>163</v>
      </c>
      <c r="AP4" s="363" t="s">
        <v>164</v>
      </c>
      <c r="AQ4" s="364" t="s">
        <v>165</v>
      </c>
      <c r="AR4" s="364" t="s">
        <v>167</v>
      </c>
      <c r="AS4" s="364" t="s">
        <v>168</v>
      </c>
      <c r="AT4" s="364" t="s">
        <v>169</v>
      </c>
      <c r="AU4" s="365" t="s">
        <v>170</v>
      </c>
      <c r="AV4" s="366" t="s">
        <v>923</v>
      </c>
      <c r="AW4" s="366" t="s">
        <v>924</v>
      </c>
      <c r="AX4" s="366" t="s">
        <v>925</v>
      </c>
      <c r="AY4" s="366" t="s">
        <v>926</v>
      </c>
      <c r="AZ4" s="366" t="s">
        <v>927</v>
      </c>
      <c r="BA4" s="367" t="s">
        <v>928</v>
      </c>
      <c r="BB4" s="367" t="s">
        <v>929</v>
      </c>
      <c r="BC4" s="367" t="s">
        <v>930</v>
      </c>
      <c r="BD4" s="367" t="s">
        <v>931</v>
      </c>
      <c r="BE4" s="367" t="s">
        <v>932</v>
      </c>
      <c r="BF4" s="368" t="s">
        <v>933</v>
      </c>
      <c r="BG4" s="368" t="s">
        <v>934</v>
      </c>
      <c r="BH4" s="368" t="s">
        <v>935</v>
      </c>
      <c r="BI4" s="368" t="s">
        <v>936</v>
      </c>
      <c r="BJ4" s="368" t="s">
        <v>937</v>
      </c>
    </row>
    <row r="5" spans="2:62">
      <c r="B5" s="214">
        <v>43344</v>
      </c>
      <c r="C5" s="215"/>
      <c r="D5" s="215"/>
      <c r="E5" s="216"/>
      <c r="F5" s="216"/>
      <c r="G5" s="216"/>
      <c r="H5" s="217"/>
      <c r="I5" s="217"/>
      <c r="J5" s="217"/>
      <c r="K5" s="217"/>
      <c r="L5" s="217"/>
      <c r="M5" s="218"/>
      <c r="N5" s="218"/>
      <c r="O5" s="218"/>
      <c r="P5" s="218"/>
      <c r="Q5" s="218"/>
      <c r="R5" s="219"/>
      <c r="S5" s="219"/>
      <c r="T5" s="219"/>
      <c r="U5" s="219"/>
      <c r="V5" s="220"/>
      <c r="W5" s="221"/>
      <c r="X5" s="221"/>
      <c r="Y5" s="221"/>
      <c r="Z5" s="221"/>
      <c r="AA5" s="221"/>
      <c r="AB5" s="222"/>
      <c r="AC5" s="222"/>
      <c r="AD5" s="222"/>
      <c r="AE5" s="222"/>
      <c r="AF5" s="222"/>
      <c r="AG5" s="223"/>
      <c r="AH5" s="223"/>
      <c r="AI5" s="223"/>
      <c r="AJ5" s="223"/>
      <c r="AK5" s="223"/>
      <c r="AL5" s="224"/>
      <c r="AM5" s="224"/>
      <c r="AN5" s="224"/>
      <c r="AO5" s="224"/>
      <c r="AP5" s="224"/>
      <c r="AQ5" s="225"/>
      <c r="AR5" s="225"/>
      <c r="AS5" s="225"/>
      <c r="AT5" s="225"/>
      <c r="AU5" s="226"/>
      <c r="AV5" s="227"/>
      <c r="AW5" s="227"/>
      <c r="AX5" s="227"/>
      <c r="AY5" s="227"/>
      <c r="AZ5" s="227"/>
      <c r="BA5" s="228"/>
      <c r="BB5" s="228"/>
      <c r="BC5" s="228"/>
      <c r="BD5" s="228"/>
      <c r="BE5" s="228"/>
      <c r="BF5" s="229"/>
      <c r="BG5" s="229"/>
      <c r="BH5" s="229"/>
      <c r="BI5" s="229"/>
      <c r="BJ5" s="229"/>
    </row>
    <row r="6" spans="2:62">
      <c r="B6" s="214">
        <v>43374</v>
      </c>
      <c r="C6" s="230">
        <f>IFERROR(((Data!C6-Data!C5)/Data!C5),0)</f>
        <v>-0.11034312282751435</v>
      </c>
      <c r="D6" s="230">
        <f>IFERROR(((Data!D6-Data!D5)/Data!D5),0)</f>
        <v>-0.19937415831187869</v>
      </c>
      <c r="E6" s="231">
        <f>IFERROR(((Data!E6-Data!E5)/Data!E5),0)</f>
        <v>-9.9558481049566439E-2</v>
      </c>
      <c r="F6" s="231">
        <f>IFERROR(((Data!F6-Data!F5)/Data!F5),0)</f>
        <v>-4.0033752247119525E-2</v>
      </c>
      <c r="G6" s="231">
        <f>IFERROR(((Data!G6-Data!G5)/Data!G5),0)</f>
        <v>0</v>
      </c>
      <c r="H6" s="232">
        <f>IFERROR(((Data!H6-Data!H5)/Data!H5),0)</f>
        <v>-1.96652232693721E-2</v>
      </c>
      <c r="I6" s="232">
        <f>IFERROR(((Data!I6-Data!I5)/Data!I5),0)</f>
        <v>-4.7007909626687917E-2</v>
      </c>
      <c r="J6" s="232">
        <f>IFERROR(((Data!J6-Data!J5)/Data!J5),0)</f>
        <v>-5.0305714119089781E-2</v>
      </c>
      <c r="K6" s="232">
        <f>IFERROR(((Data!K6-Data!K5)/Data!K5),0)</f>
        <v>-4.6831984761211712E-2</v>
      </c>
      <c r="L6" s="232">
        <f>IFERROR(((Data!L6-Data!L5)/Data!L5),0)</f>
        <v>-4.3038050581133969E-2</v>
      </c>
      <c r="M6" s="233">
        <f>IFERROR(((Data!M6-Data!M5)/Data!M5),0)</f>
        <v>-6.6185700530772801E-2</v>
      </c>
      <c r="N6" s="233">
        <f>IFERROR(((Data!N6-Data!N5)/Data!N5),0)</f>
        <v>4.6628100936736937E-3</v>
      </c>
      <c r="O6" s="233">
        <f>IFERROR(((Data!O6-Data!O5)/Data!O5),0)</f>
        <v>6.3268211947854647E-2</v>
      </c>
      <c r="P6" s="233">
        <f>IFERROR(((Data!P6-Data!P5)/Data!P5),0)</f>
        <v>0</v>
      </c>
      <c r="Q6" s="233">
        <f>IFERROR(((Data!Q6-Data!Q5)/Data!Q5),0)</f>
        <v>0.11065696417560426</v>
      </c>
      <c r="R6" s="234">
        <f>IFERROR(((Data!R6-Data!R5)/Data!R5),0)</f>
        <v>1.9966879260297984E-2</v>
      </c>
      <c r="S6" s="234">
        <f>IFERROR(((Data!S6-Data!S5)/Data!S5),0)</f>
        <v>0</v>
      </c>
      <c r="T6" s="234">
        <f>IFERROR(((Data!T6-Data!T5)/Data!T5),0)</f>
        <v>1.7627263856918672E-2</v>
      </c>
      <c r="U6" s="234">
        <f>IFERROR(((Data!U6-Data!U5)/Data!U5),0)</f>
        <v>2.7397391038673859E-2</v>
      </c>
      <c r="V6" s="235">
        <f>IFERROR(((Data!V6-Data!V5)/Data!V5),0)</f>
        <v>0</v>
      </c>
      <c r="W6" s="236">
        <f>IFERROR(((Data!W6-Data!W5)/Data!W5),0)</f>
        <v>-2.9375668512884597E-2</v>
      </c>
      <c r="X6" s="236">
        <f>IFERROR(((Data!X6-Data!X5)/Data!X5),0)</f>
        <v>0.16249054957131223</v>
      </c>
      <c r="Y6" s="236">
        <f>IFERROR(((Data!Y6-Data!Y5)/Data!Y5),0)</f>
        <v>8.9686963951359125E-2</v>
      </c>
      <c r="Z6" s="236">
        <f>IFERROR(((Data!Z6-Data!Z5)/Data!Z5),0)</f>
        <v>-1.4192079547273464E-2</v>
      </c>
      <c r="AA6" s="236">
        <f>IFERROR(((Data!AA6-Data!AA5)/Data!AA5),0)</f>
        <v>0.15708816091954017</v>
      </c>
      <c r="AB6" s="237">
        <f>IFERROR(((Data!AB6-Data!AB5)/Data!AB5),0)</f>
        <v>-0.17611020511711861</v>
      </c>
      <c r="AC6" s="237">
        <f>IFERROR(((Data!AC6-Data!AC5)/Data!AC5),0)</f>
        <v>-0.11809442783432826</v>
      </c>
      <c r="AD6" s="237">
        <f>IFERROR(((Data!AD6-Data!AD5)/Data!AD5),0)</f>
        <v>-0.13806819059554165</v>
      </c>
      <c r="AE6" s="237">
        <f>IFERROR(((Data!AE6-Data!AE5)/Data!AE5),0)</f>
        <v>-8.1215889494016993E-2</v>
      </c>
      <c r="AF6" s="237">
        <f>IFERROR(((Data!AF6-Data!AF5)/Data!AF5),0)</f>
        <v>-6.6991998837748881E-2</v>
      </c>
      <c r="AG6" s="238">
        <f>IFERROR(((Data!AG6-Data!AG5)/Data!AG5),0)</f>
        <v>-0.1124466220123332</v>
      </c>
      <c r="AH6" s="238">
        <f>IFERROR(((Data!AH6-Data!AH5)/Data!AH5),0)</f>
        <v>-5.9790466809886186E-2</v>
      </c>
      <c r="AI6" s="238">
        <f>IFERROR(((Data!AI6-Data!AI5)/Data!AI5),0)</f>
        <v>-0.10471454616326303</v>
      </c>
      <c r="AJ6" s="238">
        <f>IFERROR(((Data!AJ6-Data!AJ5)/Data!AJ5),0)</f>
        <v>0</v>
      </c>
      <c r="AK6" s="238">
        <f>IFERROR(((Data!AK6-Data!AK5)/Data!AK5),0)</f>
        <v>0</v>
      </c>
      <c r="AL6" s="239">
        <f>IFERROR(((Data!AL6-Data!AL5)/Data!AL5),0)</f>
        <v>2.8499635813664621E-2</v>
      </c>
      <c r="AM6" s="239">
        <f>IFERROR(((Data!AM6-Data!AM5)/Data!AM5),0)</f>
        <v>5.9422020188935318E-2</v>
      </c>
      <c r="AN6" s="239">
        <f>IFERROR(((Data!AN6-Data!AN5)/Data!AN5),0)</f>
        <v>0</v>
      </c>
      <c r="AO6" s="239">
        <f>IFERROR(((Data!AO6-Data!AO5)/Data!AO5),0)</f>
        <v>2.6984552242735461E-3</v>
      </c>
      <c r="AP6" s="239">
        <f>IFERROR(((Data!AP6-Data!AP5)/Data!AP5),0)</f>
        <v>-4.7289483150610517E-2</v>
      </c>
      <c r="AQ6" s="240">
        <f>IFERROR(((Data!AQ6-Data!AQ5)/Data!AQ5),0)</f>
        <v>-5.9167194127905422E-2</v>
      </c>
      <c r="AR6" s="240">
        <f>IFERROR(((Data!AR6-Data!AR5)/Data!AR5),0)</f>
        <v>9.4288532793268362E-2</v>
      </c>
      <c r="AS6" s="240">
        <f>IFERROR(((Data!AS6-Data!AS5)/Data!AS5),0)</f>
        <v>0</v>
      </c>
      <c r="AT6" s="240">
        <f>IFERROR(((Data!AT6-Data!AT5)/Data!AT5),0)</f>
        <v>2.3320122327827829E-4</v>
      </c>
      <c r="AU6" s="241">
        <f>IFERROR(((Data!AU6-Data!AU5)/Data!AU5),0)</f>
        <v>-4.6143224411659065E-2</v>
      </c>
      <c r="AV6" s="227">
        <f>IFERROR(((Data!AV6-Data!AV5)/Data!AV5),0)</f>
        <v>8.268960902755541E-3</v>
      </c>
      <c r="AW6" s="227">
        <f>IFERROR(((Data!AW6-Data!AW5)/Data!AW5),0)</f>
        <v>4.6207963556461944E-2</v>
      </c>
      <c r="AX6" s="227">
        <f>IFERROR(((Data!AX6-Data!AX5)/Data!AX5),0)</f>
        <v>0.10394531607377708</v>
      </c>
      <c r="AY6" s="227">
        <f>IFERROR(((Data!AY6-Data!AY5)/Data!AY5),0)</f>
        <v>0</v>
      </c>
      <c r="AZ6" s="227">
        <f>IFERROR(((Data!AZ6-Data!AZ5)/Data!AZ5),0)</f>
        <v>-0.13901032685061121</v>
      </c>
      <c r="BA6" s="228">
        <f>IFERROR(((Data!BA6-Data!BA5)/Data!BA5),0)</f>
        <v>0.15877964334957612</v>
      </c>
      <c r="BB6" s="228">
        <f>IFERROR(((Data!BB6-Data!BB5)/Data!BB5),0)</f>
        <v>-4.7122423433241162E-2</v>
      </c>
      <c r="BC6" s="228">
        <f>IFERROR(((Data!BC6-Data!BC5)/Data!BC5),0)</f>
        <v>0</v>
      </c>
      <c r="BD6" s="228">
        <f>IFERROR(((Data!BD6-Data!BD5)/Data!BD5),0)</f>
        <v>0</v>
      </c>
      <c r="BE6" s="228">
        <f>IFERROR(((Data!BE6-Data!BE5)/Data!BE5),0)</f>
        <v>0</v>
      </c>
      <c r="BF6" s="229">
        <f>IFERROR(((Data!BF6-Data!BF5)/Data!BF5),0)</f>
        <v>0</v>
      </c>
      <c r="BG6" s="229">
        <f>IFERROR(((Data!BG6-Data!BG5)/Data!BG5),0)</f>
        <v>1.5128655582672911E-2</v>
      </c>
      <c r="BH6" s="229">
        <f>IFERROR(((Data!BH6-Data!BH5)/Data!BH5),0)</f>
        <v>-0.10444211499991664</v>
      </c>
      <c r="BI6" s="229">
        <f>IFERROR(((Data!BI6-Data!BI5)/Data!BI5),0)</f>
        <v>-6.4250310149941633E-2</v>
      </c>
      <c r="BJ6" s="229">
        <f>IFERROR(((Data!BJ6-Data!BJ5)/Data!BJ5),0)</f>
        <v>-2.9149723525435049E-2</v>
      </c>
    </row>
    <row r="7" spans="2:62">
      <c r="B7" s="214">
        <v>43405</v>
      </c>
      <c r="C7" s="230">
        <f>IFERROR(((Data!C7-Data!C6)/Data!C6),0)</f>
        <v>3.2573914045607083E-2</v>
      </c>
      <c r="D7" s="230">
        <f>IFERROR(((Data!D7-Data!D6)/Data!D6),0)</f>
        <v>-3.9921871603156862E-2</v>
      </c>
      <c r="E7" s="231">
        <f>IFERROR(((Data!E7-Data!E6)/Data!E6),0)</f>
        <v>0.15797123635684551</v>
      </c>
      <c r="F7" s="231">
        <f>IFERROR(((Data!F7-Data!F6)/Data!F6),0)</f>
        <v>3.2905333294750795E-2</v>
      </c>
      <c r="G7" s="231">
        <f>IFERROR(((Data!G7-Data!G6)/Data!G6),0)</f>
        <v>0</v>
      </c>
      <c r="H7" s="232">
        <f>IFERROR(((Data!H7-Data!H6)/Data!H6),0)</f>
        <v>0.10257753853787123</v>
      </c>
      <c r="I7" s="232">
        <f>IFERROR(((Data!I7-Data!I6)/Data!I6),0)</f>
        <v>0.11335174174913563</v>
      </c>
      <c r="J7" s="232">
        <f>IFERROR(((Data!J7-Data!J6)/Data!J6),0)</f>
        <v>7.4433470527969128E-2</v>
      </c>
      <c r="K7" s="232">
        <f>IFERROR(((Data!K7-Data!K6)/Data!K6),0)</f>
        <v>0.11127176943767457</v>
      </c>
      <c r="L7" s="232">
        <f>IFERROR(((Data!L7-Data!L6)/Data!L6),0)</f>
        <v>2.4985264575555978E-2</v>
      </c>
      <c r="M7" s="233">
        <f>IFERROR(((Data!M7-Data!M6)/Data!M6),0)</f>
        <v>-0.15105557033015929</v>
      </c>
      <c r="N7" s="233">
        <f>IFERROR(((Data!N7-Data!N6)/Data!N6),0)</f>
        <v>7.0699541922622081E-2</v>
      </c>
      <c r="O7" s="233">
        <f>IFERROR(((Data!O7-Data!O6)/Data!O6),0)</f>
        <v>2.419310614539532E-2</v>
      </c>
      <c r="P7" s="233">
        <f>IFERROR(((Data!P7-Data!P6)/Data!P6),0)</f>
        <v>0</v>
      </c>
      <c r="Q7" s="233">
        <f>IFERROR(((Data!Q7-Data!Q6)/Data!Q6),0)</f>
        <v>-6.3276635657997626E-2</v>
      </c>
      <c r="R7" s="234">
        <f>IFERROR(((Data!R7-Data!R6)/Data!R6),0)</f>
        <v>0.10404622541891903</v>
      </c>
      <c r="S7" s="234">
        <f>IFERROR(((Data!S7-Data!S6)/Data!S6),0)</f>
        <v>0</v>
      </c>
      <c r="T7" s="234">
        <f>IFERROR(((Data!T7-Data!T6)/Data!T6),0)</f>
        <v>8.1032108601247724E-2</v>
      </c>
      <c r="U7" s="234">
        <f>IFERROR(((Data!U7-Data!U6)/Data!U6),0)</f>
        <v>0.15999995952883814</v>
      </c>
      <c r="V7" s="235">
        <f>IFERROR(((Data!V7-Data!V6)/Data!V6),0)</f>
        <v>0</v>
      </c>
      <c r="W7" s="236">
        <f>IFERROR(((Data!W7-Data!W6)/Data!W6),0)</f>
        <v>0.17906677533080576</v>
      </c>
      <c r="X7" s="236">
        <f>IFERROR(((Data!X7-Data!X6)/Data!X6),0)</f>
        <v>-5.8784727754242613E-3</v>
      </c>
      <c r="Y7" s="236">
        <f>IFERROR(((Data!Y7-Data!Y6)/Data!Y6),0)</f>
        <v>6.5708534453686351E-2</v>
      </c>
      <c r="Z7" s="236">
        <f>IFERROR(((Data!Z7-Data!Z6)/Data!Z6),0)</f>
        <v>0.14245991436734651</v>
      </c>
      <c r="AA7" s="236">
        <f>IFERROR(((Data!AA7-Data!AA6)/Data!AA6),0)</f>
        <v>-3.4768243881846288E-2</v>
      </c>
      <c r="AB7" s="237">
        <f>IFERROR(((Data!AB7-Data!AB6)/Data!AB6),0)</f>
        <v>0.18466159539612326</v>
      </c>
      <c r="AC7" s="237">
        <f>IFERROR(((Data!AC7-Data!AC6)/Data!AC6),0)</f>
        <v>0.10296722215788302</v>
      </c>
      <c r="AD7" s="237">
        <f>IFERROR(((Data!AD7-Data!AD6)/Data!AD6),0)</f>
        <v>0.14295306866874394</v>
      </c>
      <c r="AE7" s="237">
        <f>IFERROR(((Data!AE7-Data!AE6)/Data!AE6),0)</f>
        <v>-2.2222239316447973E-2</v>
      </c>
      <c r="AF7" s="237">
        <f>IFERROR(((Data!AF7-Data!AF6)/Data!AF6),0)</f>
        <v>1.7663592158333821E-2</v>
      </c>
      <c r="AG7" s="238">
        <f>IFERROR(((Data!AG7-Data!AG6)/Data!AG6),0)</f>
        <v>1.7669421863307742E-2</v>
      </c>
      <c r="AH7" s="238">
        <f>IFERROR(((Data!AH7-Data!AH6)/Data!AH6),0)</f>
        <v>-1.7018750400880901E-2</v>
      </c>
      <c r="AI7" s="238">
        <f>IFERROR(((Data!AI7-Data!AI6)/Data!AI6),0)</f>
        <v>-1.053192532476489E-2</v>
      </c>
      <c r="AJ7" s="238">
        <f>IFERROR(((Data!AJ7-Data!AJ6)/Data!AJ6),0)</f>
        <v>0</v>
      </c>
      <c r="AK7" s="238">
        <f>IFERROR(((Data!AK7-Data!AK6)/Data!AK6),0)</f>
        <v>0</v>
      </c>
      <c r="AL7" s="239">
        <f>IFERROR(((Data!AL7-Data!AL6)/Data!AL6),0)</f>
        <v>8.3130160961391128E-2</v>
      </c>
      <c r="AM7" s="239">
        <f>IFERROR(((Data!AM7-Data!AM6)/Data!AM6),0)</f>
        <v>-9.0971838580730061E-2</v>
      </c>
      <c r="AN7" s="239">
        <f>IFERROR(((Data!AN7-Data!AN6)/Data!AN6),0)</f>
        <v>0</v>
      </c>
      <c r="AO7" s="239">
        <f>IFERROR(((Data!AO7-Data!AO6)/Data!AO6),0)</f>
        <v>-7.3883797420437033E-2</v>
      </c>
      <c r="AP7" s="239">
        <f>IFERROR(((Data!AP7-Data!AP6)/Data!AP6),0)</f>
        <v>-6.4164577824808153E-2</v>
      </c>
      <c r="AQ7" s="240">
        <f>IFERROR(((Data!AQ7-Data!AQ6)/Data!AQ6),0)</f>
        <v>0.11995337000539776</v>
      </c>
      <c r="AR7" s="240">
        <f>IFERROR(((Data!AR7-Data!AR6)/Data!AR6),0)</f>
        <v>0.20444716732855597</v>
      </c>
      <c r="AS7" s="240">
        <f>IFERROR(((Data!AS7-Data!AS6)/Data!AS6),0)</f>
        <v>0</v>
      </c>
      <c r="AT7" s="240">
        <f>IFERROR(((Data!AT7-Data!AT6)/Data!AT6),0)</f>
        <v>-5.8275020979020938E-2</v>
      </c>
      <c r="AU7" s="241">
        <f>IFERROR(((Data!AU7-Data!AU6)/Data!AU6),0)</f>
        <v>-1.7328476534295974E-2</v>
      </c>
      <c r="AV7" s="227">
        <f>IFERROR(((Data!AV7-Data!AV6)/Data!AV6),0)</f>
        <v>8.7753834485053986E-2</v>
      </c>
      <c r="AW7" s="227">
        <f>IFERROR(((Data!AW7-Data!AW6)/Data!AW6),0)</f>
        <v>6.0801028959168876E-2</v>
      </c>
      <c r="AX7" s="227">
        <f>IFERROR(((Data!AX7-Data!AX6)/Data!AX6),0)</f>
        <v>-4.9163155724773505E-2</v>
      </c>
      <c r="AY7" s="227">
        <f>IFERROR(((Data!AY7-Data!AY6)/Data!AY6),0)</f>
        <v>0</v>
      </c>
      <c r="AZ7" s="227">
        <f>IFERROR(((Data!AZ7-Data!AZ6)/Data!AZ6),0)</f>
        <v>1.3243342325452573E-2</v>
      </c>
      <c r="BA7" s="228">
        <f>IFERROR(((Data!BA7-Data!BA6)/Data!BA6),0)</f>
        <v>-0.10531965919756743</v>
      </c>
      <c r="BB7" s="228">
        <f>IFERROR(((Data!BB7-Data!BB6)/Data!BB6),0)</f>
        <v>0.1188244938358571</v>
      </c>
      <c r="BC7" s="228">
        <f>IFERROR(((Data!BC7-Data!BC6)/Data!BC6),0)</f>
        <v>0</v>
      </c>
      <c r="BD7" s="228">
        <f>IFERROR(((Data!BD7-Data!BD6)/Data!BD6),0)</f>
        <v>0</v>
      </c>
      <c r="BE7" s="228">
        <f>IFERROR(((Data!BE7-Data!BE6)/Data!BE6),0)</f>
        <v>0</v>
      </c>
      <c r="BF7" s="229">
        <f>IFERROR(((Data!BF7-Data!BF6)/Data!BF6),0)</f>
        <v>0</v>
      </c>
      <c r="BG7" s="229">
        <f>IFERROR(((Data!BG7-Data!BG6)/Data!BG6),0)</f>
        <v>0.12374885781238967</v>
      </c>
      <c r="BH7" s="229">
        <f>IFERROR(((Data!BH7-Data!BH6)/Data!BH6),0)</f>
        <v>0.10230556140642295</v>
      </c>
      <c r="BI7" s="229">
        <f>IFERROR(((Data!BI7-Data!BI6)/Data!BI6),0)</f>
        <v>-5.046950979941673E-2</v>
      </c>
      <c r="BJ7" s="229">
        <f>IFERROR(((Data!BJ7-Data!BJ6)/Data!BJ6),0)</f>
        <v>-7.7007052964468248E-2</v>
      </c>
    </row>
    <row r="8" spans="2:62">
      <c r="B8" s="214">
        <v>43435</v>
      </c>
      <c r="C8" s="230">
        <f>IFERROR(((Data!C8-Data!C7)/Data!C7),0)</f>
        <v>1.6373640046473709E-2</v>
      </c>
      <c r="D8" s="230">
        <f>IFERROR(((Data!D8-Data!D7)/Data!D7),0)</f>
        <v>4.3617989552079701E-3</v>
      </c>
      <c r="E8" s="231">
        <f>IFERROR(((Data!E8-Data!E7)/Data!E7),0)</f>
        <v>-2.5595255538525947E-2</v>
      </c>
      <c r="F8" s="231">
        <f>IFERROR(((Data!F8-Data!F7)/Data!F7),0)</f>
        <v>2.7086701658551728E-2</v>
      </c>
      <c r="G8" s="231">
        <f>IFERROR(((Data!G8-Data!G7)/Data!G7),0)</f>
        <v>0</v>
      </c>
      <c r="H8" s="232">
        <f>IFERROR(((Data!H8-Data!H7)/Data!H7),0)</f>
        <v>1.8274879419743404E-2</v>
      </c>
      <c r="I8" s="232">
        <f>IFERROR(((Data!I8-Data!I7)/Data!I7),0)</f>
        <v>-3.1713371478913443E-3</v>
      </c>
      <c r="J8" s="232">
        <f>IFERROR(((Data!J8-Data!J7)/Data!J7),0)</f>
        <v>-9.3489004584474695E-3</v>
      </c>
      <c r="K8" s="232">
        <f>IFERROR(((Data!K8-Data!K7)/Data!K7),0)</f>
        <v>0.12743815013164755</v>
      </c>
      <c r="L8" s="232">
        <f>IFERROR(((Data!L8-Data!L7)/Data!L7),0)</f>
        <v>0.11872675871836995</v>
      </c>
      <c r="M8" s="233">
        <f>IFERROR(((Data!M8-Data!M7)/Data!M7),0)</f>
        <v>-0.12606586032871492</v>
      </c>
      <c r="N8" s="233">
        <f>IFERROR(((Data!N8-Data!N7)/Data!N7),0)</f>
        <v>-3.8828857368132123E-2</v>
      </c>
      <c r="O8" s="233">
        <f>IFERROR(((Data!O8-Data!O7)/Data!O7),0)</f>
        <v>-9.4479246934356165E-2</v>
      </c>
      <c r="P8" s="233">
        <f>IFERROR(((Data!P8-Data!P7)/Data!P7),0)</f>
        <v>0</v>
      </c>
      <c r="Q8" s="233">
        <f>IFERROR(((Data!Q8-Data!Q7)/Data!Q7),0)</f>
        <v>-6.0181818179811983E-2</v>
      </c>
      <c r="R8" s="234">
        <f>IFERROR(((Data!R8-Data!R7)/Data!R7),0)</f>
        <v>3.5253469875392383E-3</v>
      </c>
      <c r="S8" s="234">
        <f>IFERROR(((Data!S8-Data!S7)/Data!S7),0)</f>
        <v>0</v>
      </c>
      <c r="T8" s="234">
        <f>IFERROR(((Data!T8-Data!T7)/Data!T7),0)</f>
        <v>-3.088422368220657E-3</v>
      </c>
      <c r="U8" s="234">
        <f>IFERROR(((Data!U8-Data!U7)/Data!U7),0)</f>
        <v>1.3218348252468058E-2</v>
      </c>
      <c r="V8" s="235">
        <f>IFERROR(((Data!V8-Data!V7)/Data!V7),0)</f>
        <v>0</v>
      </c>
      <c r="W8" s="236">
        <f>IFERROR(((Data!W8-Data!W7)/Data!W7),0)</f>
        <v>-0.10481287700534761</v>
      </c>
      <c r="X8" s="236">
        <f>IFERROR(((Data!X8-Data!X7)/Data!X7),0)</f>
        <v>9.1983826801734624E-3</v>
      </c>
      <c r="Y8" s="236">
        <f>IFERROR(((Data!Y8-Data!Y7)/Data!Y7),0)</f>
        <v>1.9266814104876519E-3</v>
      </c>
      <c r="Z8" s="236">
        <f>IFERROR(((Data!Z8-Data!Z7)/Data!Z7),0)</f>
        <v>-5.1094821895179839E-2</v>
      </c>
      <c r="AA8" s="236">
        <f>IFERROR(((Data!AA8-Data!AA7)/Data!AA7),0)</f>
        <v>-1.7152658662092625E-2</v>
      </c>
      <c r="AB8" s="237">
        <f>IFERROR(((Data!AB8-Data!AB7)/Data!AB7),0)</f>
        <v>4.5413565809656796E-2</v>
      </c>
      <c r="AC8" s="237">
        <f>IFERROR(((Data!AC8-Data!AC7)/Data!AC7),0)</f>
        <v>3.5180566236087063E-2</v>
      </c>
      <c r="AD8" s="237">
        <f>IFERROR(((Data!AD8-Data!AD7)/Data!AD7),0)</f>
        <v>-2.1752796458644487E-3</v>
      </c>
      <c r="AE8" s="237">
        <f>IFERROR(((Data!AE8-Data!AE7)/Data!AE7),0)</f>
        <v>4.4949454024010543E-2</v>
      </c>
      <c r="AF8" s="237">
        <f>IFERROR(((Data!AF8-Data!AF7)/Data!AF7),0)</f>
        <v>6.9822396067804521E-2</v>
      </c>
      <c r="AG8" s="238">
        <f>IFERROR(((Data!AG8-Data!AG7)/Data!AG7),0)</f>
        <v>-3.8206454149408181E-2</v>
      </c>
      <c r="AH8" s="238">
        <f>IFERROR(((Data!AH8-Data!AH7)/Data!AH7),0)</f>
        <v>-1.2734988473821983E-2</v>
      </c>
      <c r="AI8" s="238">
        <f>IFERROR(((Data!AI8-Data!AI7)/Data!AI7),0)</f>
        <v>-3.5642836845063779E-3</v>
      </c>
      <c r="AJ8" s="238">
        <f>IFERROR(((Data!AJ8-Data!AJ7)/Data!AJ7),0)</f>
        <v>0</v>
      </c>
      <c r="AK8" s="238">
        <f>IFERROR(((Data!AK8-Data!AK7)/Data!AK7),0)</f>
        <v>0</v>
      </c>
      <c r="AL8" s="239">
        <f>IFERROR(((Data!AL8-Data!AL7)/Data!AL7),0)</f>
        <v>-2.486688202160401E-2</v>
      </c>
      <c r="AM8" s="239">
        <f>IFERROR(((Data!AM8-Data!AM7)/Data!AM7),0)</f>
        <v>3.1604438399083806E-2</v>
      </c>
      <c r="AN8" s="239">
        <f>IFERROR(((Data!AN8-Data!AN7)/Data!AN7),0)</f>
        <v>0</v>
      </c>
      <c r="AO8" s="239">
        <f>IFERROR(((Data!AO8-Data!AO7)/Data!AO7),0)</f>
        <v>-1.4793219842112529E-2</v>
      </c>
      <c r="AP8" s="239">
        <f>IFERROR(((Data!AP8-Data!AP7)/Data!AP7),0)</f>
        <v>5.5627345116308118E-2</v>
      </c>
      <c r="AQ8" s="240">
        <f>IFERROR(((Data!AQ8-Data!AQ7)/Data!AQ7),0)</f>
        <v>2.3916838260523463E-2</v>
      </c>
      <c r="AR8" s="240">
        <f>IFERROR(((Data!AR8-Data!AR7)/Data!AR7),0)</f>
        <v>1.5128206554859336E-2</v>
      </c>
      <c r="AS8" s="240">
        <f>IFERROR(((Data!AS8-Data!AS7)/Data!AS7),0)</f>
        <v>0</v>
      </c>
      <c r="AT8" s="240">
        <f>IFERROR(((Data!AT8-Data!AT7)/Data!AT7),0)</f>
        <v>4.9257406465053194E-2</v>
      </c>
      <c r="AU8" s="241">
        <f>IFERROR(((Data!AU8-Data!AU7)/Data!AU7),0)</f>
        <v>8.1557601106938896E-2</v>
      </c>
      <c r="AV8" s="227">
        <f>IFERROR(((Data!AV8-Data!AV7)/Data!AV7),0)</f>
        <v>3.7428786076490556E-2</v>
      </c>
      <c r="AW8" s="227">
        <f>IFERROR(((Data!AW8-Data!AW7)/Data!AW7),0)</f>
        <v>2.9726359649446504E-2</v>
      </c>
      <c r="AX8" s="227">
        <f>IFERROR(((Data!AX8-Data!AX7)/Data!AX7),0)</f>
        <v>1.1411161422947888E-2</v>
      </c>
      <c r="AY8" s="227">
        <f>IFERROR(((Data!AY8-Data!AY7)/Data!AY7),0)</f>
        <v>0</v>
      </c>
      <c r="AZ8" s="227">
        <f>IFERROR(((Data!AZ8-Data!AZ7)/Data!AZ7),0)</f>
        <v>2.6557013793681829E-2</v>
      </c>
      <c r="BA8" s="228">
        <f>IFERROR(((Data!BA8-Data!BA7)/Data!BA7),0)</f>
        <v>5.6456336734648019E-2</v>
      </c>
      <c r="BB8" s="228">
        <f>IFERROR(((Data!BB8-Data!BB7)/Data!BB7),0)</f>
        <v>-8.2377248013232023E-3</v>
      </c>
      <c r="BC8" s="228">
        <f>IFERROR(((Data!BC8-Data!BC7)/Data!BC7),0)</f>
        <v>0</v>
      </c>
      <c r="BD8" s="228">
        <f>IFERROR(((Data!BD8-Data!BD7)/Data!BD7),0)</f>
        <v>0</v>
      </c>
      <c r="BE8" s="228">
        <f>IFERROR(((Data!BE8-Data!BE7)/Data!BE7),0)</f>
        <v>0</v>
      </c>
      <c r="BF8" s="229">
        <f>IFERROR(((Data!BF8-Data!BF7)/Data!BF7),0)</f>
        <v>0</v>
      </c>
      <c r="BG8" s="229">
        <f>IFERROR(((Data!BG8-Data!BG7)/Data!BG7),0)</f>
        <v>5.936909574516475E-4</v>
      </c>
      <c r="BH8" s="229">
        <f>IFERROR(((Data!BH8-Data!BH7)/Data!BH7),0)</f>
        <v>-1.8801513228236772E-2</v>
      </c>
      <c r="BI8" s="229">
        <f>IFERROR(((Data!BI8-Data!BI7)/Data!BI7),0)</f>
        <v>0.10414086828268899</v>
      </c>
      <c r="BJ8" s="229">
        <f>IFERROR(((Data!BJ8-Data!BJ7)/Data!BJ7),0)</f>
        <v>1.887764388193305E-2</v>
      </c>
    </row>
    <row r="9" spans="2:62">
      <c r="B9" s="214">
        <v>43466</v>
      </c>
      <c r="C9" s="230">
        <f>IFERROR(((Data!C9-Data!C8)/Data!C8),0)</f>
        <v>-0.15400883116000644</v>
      </c>
      <c r="D9" s="230">
        <f>IFERROR(((Data!D9-Data!D8)/Data!D8),0)</f>
        <v>4.9218277039126283E-2</v>
      </c>
      <c r="E9" s="231">
        <f>IFERROR(((Data!E9-Data!E8)/Data!E8),0)</f>
        <v>-0.110421313672614</v>
      </c>
      <c r="F9" s="231">
        <f>IFERROR(((Data!F9-Data!F8)/Data!F8),0)</f>
        <v>-0.18742747132218826</v>
      </c>
      <c r="G9" s="231">
        <f>IFERROR(((Data!G9-Data!G8)/Data!G8),0)</f>
        <v>0</v>
      </c>
      <c r="H9" s="232">
        <f>IFERROR(((Data!H9-Data!H8)/Data!H8),0)</f>
        <v>-5.9700293518182837E-4</v>
      </c>
      <c r="I9" s="232">
        <f>IFERROR(((Data!I9-Data!I8)/Data!I8),0)</f>
        <v>-1.967772226252499E-2</v>
      </c>
      <c r="J9" s="232">
        <f>IFERROR(((Data!J9-Data!J8)/Data!J8),0)</f>
        <v>0.16583320541039609</v>
      </c>
      <c r="K9" s="232">
        <f>IFERROR(((Data!K9-Data!K8)/Data!K8),0)</f>
        <v>4.2675965060021477E-2</v>
      </c>
      <c r="L9" s="232">
        <f>IFERROR(((Data!L9-Data!L8)/Data!L8),0)</f>
        <v>-2.0763994931261371E-2</v>
      </c>
      <c r="M9" s="233">
        <f>IFERROR(((Data!M9-Data!M8)/Data!M8),0)</f>
        <v>-1.6376294277330852E-2</v>
      </c>
      <c r="N9" s="233">
        <f>IFERROR(((Data!N9-Data!N8)/Data!N8),0)</f>
        <v>3.9862337504014932E-2</v>
      </c>
      <c r="O9" s="233">
        <f>IFERROR(((Data!O9-Data!O8)/Data!O8),0)</f>
        <v>7.4834445527571902E-2</v>
      </c>
      <c r="P9" s="233">
        <f>IFERROR(((Data!P9-Data!P8)/Data!P8),0)</f>
        <v>0</v>
      </c>
      <c r="Q9" s="233">
        <f>IFERROR(((Data!Q9-Data!Q8)/Data!Q8),0)</f>
        <v>6.1421894682449116E-2</v>
      </c>
      <c r="R9" s="234">
        <f>IFERROR(((Data!R9-Data!R8)/Data!R8),0)</f>
        <v>-8.5735978687948883E-2</v>
      </c>
      <c r="S9" s="234">
        <f>IFERROR(((Data!S9-Data!S8)/Data!S8),0)</f>
        <v>0</v>
      </c>
      <c r="T9" s="234">
        <f>IFERROR(((Data!T9-Data!T8)/Data!T8),0)</f>
        <v>-7.1529068153532438E-2</v>
      </c>
      <c r="U9" s="234">
        <f>IFERROR(((Data!U9-Data!U8)/Data!U8),0)</f>
        <v>-9.7560914986910718E-2</v>
      </c>
      <c r="V9" s="235">
        <f>IFERROR(((Data!V9-Data!V8)/Data!V8),0)</f>
        <v>0</v>
      </c>
      <c r="W9" s="236">
        <f>IFERROR(((Data!W9-Data!W8)/Data!W8),0)</f>
        <v>-0.14934289841543122</v>
      </c>
      <c r="X9" s="236">
        <f>IFERROR(((Data!X9-Data!X8)/Data!X8),0)</f>
        <v>-7.1614485146384133E-2</v>
      </c>
      <c r="Y9" s="236">
        <f>IFERROR(((Data!Y9-Data!Y8)/Data!Y8),0)</f>
        <v>-3.8461522731509067E-2</v>
      </c>
      <c r="Z9" s="236">
        <f>IFERROR(((Data!Z9-Data!Z8)/Data!Z8),0)</f>
        <v>-5.2563901840545657E-2</v>
      </c>
      <c r="AA9" s="236">
        <f>IFERROR(((Data!AA9-Data!AA8)/Data!AA8),0)</f>
        <v>-7.5043630017451957E-2</v>
      </c>
      <c r="AB9" s="237">
        <f>IFERROR(((Data!AB9-Data!AB8)/Data!AB8),0)</f>
        <v>-8.8268251304686532E-2</v>
      </c>
      <c r="AC9" s="237">
        <f>IFERROR(((Data!AC9-Data!AC8)/Data!AC8),0)</f>
        <v>-6.7525624239197321E-2</v>
      </c>
      <c r="AD9" s="237">
        <f>IFERROR(((Data!AD9-Data!AD8)/Data!AD8),0)</f>
        <v>-0.11816722520548074</v>
      </c>
      <c r="AE9" s="237">
        <f>IFERROR(((Data!AE9-Data!AE8)/Data!AE8),0)</f>
        <v>-0.10584819812722629</v>
      </c>
      <c r="AF9" s="237">
        <f>IFERROR(((Data!AF9-Data!AF8)/Data!AF8),0)</f>
        <v>-0.11688787481354498</v>
      </c>
      <c r="AG9" s="238">
        <f>IFERROR(((Data!AG9-Data!AG8)/Data!AG8),0)</f>
        <v>6.3944274792044425E-2</v>
      </c>
      <c r="AH9" s="238">
        <f>IFERROR(((Data!AH9-Data!AH8)/Data!AH8),0)</f>
        <v>0.13749148601293323</v>
      </c>
      <c r="AI9" s="238">
        <f>IFERROR(((Data!AI9-Data!AI8)/Data!AI8),0)</f>
        <v>-0.14347321210805417</v>
      </c>
      <c r="AJ9" s="238">
        <f>IFERROR(((Data!AJ9-Data!AJ8)/Data!AJ8),0)</f>
        <v>0</v>
      </c>
      <c r="AK9" s="238">
        <f>IFERROR(((Data!AK9-Data!AK8)/Data!AK8),0)</f>
        <v>0</v>
      </c>
      <c r="AL9" s="239">
        <f>IFERROR(((Data!AL9-Data!AL8)/Data!AL8),0)</f>
        <v>-0.20201491687219653</v>
      </c>
      <c r="AM9" s="239">
        <f>IFERROR(((Data!AM9-Data!AM8)/Data!AM8),0)</f>
        <v>-0.12776639639580953</v>
      </c>
      <c r="AN9" s="239">
        <f>IFERROR(((Data!AN9-Data!AN8)/Data!AN8),0)</f>
        <v>0</v>
      </c>
      <c r="AO9" s="239">
        <f>IFERROR(((Data!AO9-Data!AO8)/Data!AO8),0)</f>
        <v>-5.6710033911801835E-2</v>
      </c>
      <c r="AP9" s="239">
        <f>IFERROR(((Data!AP9-Data!AP8)/Data!AP8),0)</f>
        <v>-0.1041666692197713</v>
      </c>
      <c r="AQ9" s="240">
        <f>IFERROR(((Data!AQ9-Data!AQ8)/Data!AQ8),0)</f>
        <v>-3.8253176001043325E-2</v>
      </c>
      <c r="AR9" s="240">
        <f>IFERROR(((Data!AR9-Data!AR8)/Data!AR8),0)</f>
        <v>1.9702018159572225E-2</v>
      </c>
      <c r="AS9" s="240">
        <f>IFERROR(((Data!AS9-Data!AS8)/Data!AS8),0)</f>
        <v>0</v>
      </c>
      <c r="AT9" s="240">
        <f>IFERROR(((Data!AT9-Data!AT8)/Data!AT8),0)</f>
        <v>-2.9016319270708066E-2</v>
      </c>
      <c r="AU9" s="241">
        <f>IFERROR(((Data!AU9-Data!AU8)/Data!AU8),0)</f>
        <v>-5.0271686148687107E-2</v>
      </c>
      <c r="AV9" s="227">
        <f>IFERROR(((Data!AV9-Data!AV8)/Data!AV8),0)</f>
        <v>-3.0994899610175361E-2</v>
      </c>
      <c r="AW9" s="227">
        <f>IFERROR(((Data!AW9-Data!AW8)/Data!AW8),0)</f>
        <v>4.2158025267028519E-2</v>
      </c>
      <c r="AX9" s="227">
        <f>IFERROR(((Data!AX9-Data!AX8)/Data!AX8),0)</f>
        <v>4.6277356780657565E-2</v>
      </c>
      <c r="AY9" s="227">
        <f>IFERROR(((Data!AY9-Data!AY8)/Data!AY8),0)</f>
        <v>0</v>
      </c>
      <c r="AZ9" s="227">
        <f>IFERROR(((Data!AZ9-Data!AZ8)/Data!AZ8),0)</f>
        <v>-4.0769311412294638E-2</v>
      </c>
      <c r="BA9" s="228">
        <f>IFERROR(((Data!BA9-Data!BA8)/Data!BA8),0)</f>
        <v>-4.8891193190001125E-2</v>
      </c>
      <c r="BB9" s="228">
        <f>IFERROR(((Data!BB9-Data!BB8)/Data!BB8),0)</f>
        <v>-2.7471179964574596E-2</v>
      </c>
      <c r="BC9" s="228">
        <f>IFERROR(((Data!BC9-Data!BC8)/Data!BC8),0)</f>
        <v>0</v>
      </c>
      <c r="BD9" s="228">
        <f>IFERROR(((Data!BD9-Data!BD8)/Data!BD8),0)</f>
        <v>0</v>
      </c>
      <c r="BE9" s="228">
        <f>IFERROR(((Data!BE9-Data!BE8)/Data!BE8),0)</f>
        <v>0</v>
      </c>
      <c r="BF9" s="229">
        <f>IFERROR(((Data!BF9-Data!BF8)/Data!BF8),0)</f>
        <v>0</v>
      </c>
      <c r="BG9" s="229">
        <f>IFERROR(((Data!BG9-Data!BG8)/Data!BG8),0)</f>
        <v>3.725697587618456E-2</v>
      </c>
      <c r="BH9" s="229">
        <f>IFERROR(((Data!BH9-Data!BH8)/Data!BH8),0)</f>
        <v>3.7506326863226663E-2</v>
      </c>
      <c r="BI9" s="229">
        <f>IFERROR(((Data!BI9-Data!BI8)/Data!BI8),0)</f>
        <v>-0.10243488987409614</v>
      </c>
      <c r="BJ9" s="229">
        <f>IFERROR(((Data!BJ9-Data!BJ8)/Data!BJ8),0)</f>
        <v>4.4995803688716786E-2</v>
      </c>
    </row>
    <row r="10" spans="2:62">
      <c r="B10" s="214">
        <v>43497</v>
      </c>
      <c r="C10" s="230">
        <f>IFERROR(((Data!C10-Data!C9)/Data!C9),0)</f>
        <v>-5.0216952274754229E-2</v>
      </c>
      <c r="D10" s="230">
        <f>IFERROR(((Data!D10-Data!D9)/Data!D9),0)</f>
        <v>-2.0695415743957567E-2</v>
      </c>
      <c r="E10" s="231">
        <f>IFERROR(((Data!E10-Data!E9)/Data!E9),0)</f>
        <v>2.8391237122003407E-2</v>
      </c>
      <c r="F10" s="231">
        <f>IFERROR(((Data!F10-Data!F9)/Data!F9),0)</f>
        <v>7.777107381025325E-2</v>
      </c>
      <c r="G10" s="231">
        <f>IFERROR(((Data!G10-Data!G9)/Data!G9),0)</f>
        <v>0</v>
      </c>
      <c r="H10" s="232">
        <f>IFERROR(((Data!H10-Data!H9)/Data!H9),0)</f>
        <v>-3.3963838326240448E-2</v>
      </c>
      <c r="I10" s="232">
        <f>IFERROR(((Data!I10-Data!I9)/Data!I9),0)</f>
        <v>-1.1537353913735502E-3</v>
      </c>
      <c r="J10" s="232">
        <f>IFERROR(((Data!J10-Data!J9)/Data!J9),0)</f>
        <v>-1.8195638375400551E-2</v>
      </c>
      <c r="K10" s="232">
        <f>IFERROR(((Data!K10-Data!K9)/Data!K9),0)</f>
        <v>-9.9557741160227042E-3</v>
      </c>
      <c r="L10" s="232">
        <f>IFERROR(((Data!L10-Data!L9)/Data!L9),0)</f>
        <v>-3.9528765999517483E-2</v>
      </c>
      <c r="M10" s="233">
        <f>IFERROR(((Data!M10-Data!M9)/Data!M9),0)</f>
        <v>5.1245785221939746E-2</v>
      </c>
      <c r="N10" s="233">
        <f>IFERROR(((Data!N10-Data!N9)/Data!N9),0)</f>
        <v>-3.2766129713672723E-2</v>
      </c>
      <c r="O10" s="233">
        <f>IFERROR(((Data!O10-Data!O9)/Data!O9),0)</f>
        <v>-9.6153800774021206E-2</v>
      </c>
      <c r="P10" s="233">
        <f>IFERROR(((Data!P10-Data!P9)/Data!P9),0)</f>
        <v>0</v>
      </c>
      <c r="Q10" s="233">
        <f>IFERROR(((Data!Q10-Data!Q9)/Data!Q9),0)</f>
        <v>-5.4666341124031161E-2</v>
      </c>
      <c r="R10" s="234">
        <f>IFERROR(((Data!R10-Data!R9)/Data!R9),0)</f>
        <v>-1.6244541932971666E-2</v>
      </c>
      <c r="S10" s="234">
        <f>IFERROR(((Data!S10-Data!S9)/Data!S9),0)</f>
        <v>0</v>
      </c>
      <c r="T10" s="234">
        <f>IFERROR(((Data!T10-Data!T9)/Data!T9),0)</f>
        <v>-9.0988020747062744E-4</v>
      </c>
      <c r="U10" s="234">
        <f>IFERROR(((Data!U10-Data!U9)/Data!U9),0)</f>
        <v>7.6052741257222764E-2</v>
      </c>
      <c r="V10" s="235">
        <f>IFERROR(((Data!V10-Data!V9)/Data!V9),0)</f>
        <v>0</v>
      </c>
      <c r="W10" s="236">
        <f>IFERROR(((Data!W10-Data!W9)/Data!W9),0)</f>
        <v>-7.162918941737019E-2</v>
      </c>
      <c r="X10" s="236">
        <f>IFERROR(((Data!X10-Data!X9)/Data!X9),0)</f>
        <v>-8.2047829076156986E-2</v>
      </c>
      <c r="Y10" s="236">
        <f>IFERROR(((Data!Y10-Data!Y9)/Data!Y9),0)</f>
        <v>-8.1999967780495606E-2</v>
      </c>
      <c r="Z10" s="236">
        <f>IFERROR(((Data!Z10-Data!Z9)/Data!Z9),0)</f>
        <v>-4.4655140153583343E-2</v>
      </c>
      <c r="AA10" s="236">
        <f>IFERROR(((Data!AA10-Data!AA9)/Data!AA9),0)</f>
        <v>-0.59433962264150941</v>
      </c>
      <c r="AB10" s="237">
        <f>IFERROR(((Data!AB10-Data!AB9)/Data!AB9),0)</f>
        <v>5.7634251661314563E-2</v>
      </c>
      <c r="AC10" s="237">
        <f>IFERROR(((Data!AC10-Data!AC9)/Data!AC9),0)</f>
        <v>1.0242990050503343E-2</v>
      </c>
      <c r="AD10" s="237">
        <f>IFERROR(((Data!AD10-Data!AD9)/Data!AD9),0)</f>
        <v>8.7274621475257261E-2</v>
      </c>
      <c r="AE10" s="237">
        <f>IFERROR(((Data!AE10-Data!AE9)/Data!AE9),0)</f>
        <v>6.0540503420157758E-2</v>
      </c>
      <c r="AF10" s="237">
        <f>IFERROR(((Data!AF10-Data!AF9)/Data!AF9),0)</f>
        <v>2.9645049103155307E-2</v>
      </c>
      <c r="AG10" s="238">
        <f>IFERROR(((Data!AG10-Data!AG9)/Data!AG9),0)</f>
        <v>-1.3106875231274009E-2</v>
      </c>
      <c r="AH10" s="238">
        <f>IFERROR(((Data!AH10-Data!AH9)/Data!AH9),0)</f>
        <v>-1.4960077113348669E-2</v>
      </c>
      <c r="AI10" s="238">
        <f>IFERROR(((Data!AI10-Data!AI9)/Data!AI9),0)</f>
        <v>1.2414288151732438E-2</v>
      </c>
      <c r="AJ10" s="238">
        <f>IFERROR(((Data!AJ10-Data!AJ9)/Data!AJ9),0)</f>
        <v>0</v>
      </c>
      <c r="AK10" s="238">
        <f>IFERROR(((Data!AK10-Data!AK9)/Data!AK9),0)</f>
        <v>0</v>
      </c>
      <c r="AL10" s="239">
        <f>IFERROR(((Data!AL10-Data!AL9)/Data!AL9),0)</f>
        <v>0.22751176667702291</v>
      </c>
      <c r="AM10" s="239">
        <f>IFERROR(((Data!AM10-Data!AM9)/Data!AM9),0)</f>
        <v>0.14742509933057621</v>
      </c>
      <c r="AN10" s="239">
        <f>IFERROR(((Data!AN10-Data!AN9)/Data!AN9),0)</f>
        <v>0</v>
      </c>
      <c r="AO10" s="239">
        <f>IFERROR(((Data!AO10-Data!AO9)/Data!AO9),0)</f>
        <v>-0.10631033930200974</v>
      </c>
      <c r="AP10" s="239">
        <f>IFERROR(((Data!AP10-Data!AP9)/Data!AP9),0)</f>
        <v>-0.12585494188385613</v>
      </c>
      <c r="AQ10" s="240">
        <f>IFERROR(((Data!AQ10-Data!AQ9)/Data!AQ9),0)</f>
        <v>-2.3583366174219085E-2</v>
      </c>
      <c r="AR10" s="240">
        <f>IFERROR(((Data!AR10-Data!AR9)/Data!AR9),0)</f>
        <v>-8.0752994467533021E-2</v>
      </c>
      <c r="AS10" s="240">
        <f>IFERROR(((Data!AS10-Data!AS9)/Data!AS9),0)</f>
        <v>0</v>
      </c>
      <c r="AT10" s="240">
        <f>IFERROR(((Data!AT10-Data!AT9)/Data!AT9),0)</f>
        <v>-2.186588969094511E-2</v>
      </c>
      <c r="AU10" s="241">
        <f>IFERROR(((Data!AU10-Data!AU9)/Data!AU9),0)</f>
        <v>8.798284440678561E-2</v>
      </c>
      <c r="AV10" s="227">
        <f>IFERROR(((Data!AV10-Data!AV9)/Data!AV9),0)</f>
        <v>-1.7354383674436705E-2</v>
      </c>
      <c r="AW10" s="227">
        <f>IFERROR(((Data!AW10-Data!AW9)/Data!AW9),0)</f>
        <v>-7.4631393457208248E-2</v>
      </c>
      <c r="AX10" s="227">
        <f>IFERROR(((Data!AX10-Data!AX9)/Data!AX9),0)</f>
        <v>-1.4134218930018479E-2</v>
      </c>
      <c r="AY10" s="227">
        <f>IFERROR(((Data!AY10-Data!AY9)/Data!AY9),0)</f>
        <v>0</v>
      </c>
      <c r="AZ10" s="227">
        <f>IFERROR(((Data!AZ10-Data!AZ9)/Data!AZ9),0)</f>
        <v>2.5356870338851034E-2</v>
      </c>
      <c r="BA10" s="228">
        <f>IFERROR(((Data!BA10-Data!BA9)/Data!BA9),0)</f>
        <v>-1.3747792142449894E-2</v>
      </c>
      <c r="BB10" s="228">
        <f>IFERROR(((Data!BB10-Data!BB9)/Data!BB9),0)</f>
        <v>9.9220992912789525E-3</v>
      </c>
      <c r="BC10" s="228">
        <f>IFERROR(((Data!BC10-Data!BC9)/Data!BC9),0)</f>
        <v>0</v>
      </c>
      <c r="BD10" s="228">
        <f>IFERROR(((Data!BD10-Data!BD9)/Data!BD9),0)</f>
        <v>0</v>
      </c>
      <c r="BE10" s="228">
        <f>IFERROR(((Data!BE10-Data!BE9)/Data!BE9),0)</f>
        <v>0</v>
      </c>
      <c r="BF10" s="229">
        <f>IFERROR(((Data!BF10-Data!BF9)/Data!BF9),0)</f>
        <v>0</v>
      </c>
      <c r="BG10" s="229">
        <f>IFERROR(((Data!BG10-Data!BG9)/Data!BG9),0)</f>
        <v>0.1158295460815828</v>
      </c>
      <c r="BH10" s="229">
        <f>IFERROR(((Data!BH10-Data!BH9)/Data!BH9),0)</f>
        <v>-7.2301526567032284E-3</v>
      </c>
      <c r="BI10" s="229">
        <f>IFERROR(((Data!BI10-Data!BI9)/Data!BI9),0)</f>
        <v>-6.0180950937183127E-2</v>
      </c>
      <c r="BJ10" s="229">
        <f>IFERROR(((Data!BJ10-Data!BJ9)/Data!BJ9),0)</f>
        <v>0.14009816703501082</v>
      </c>
    </row>
    <row r="11" spans="2:62">
      <c r="B11" s="214">
        <v>43525</v>
      </c>
      <c r="C11" s="230">
        <f>IFERROR(((Data!C11-Data!C10)/Data!C10),0)</f>
        <v>4.335048689999825E-2</v>
      </c>
      <c r="D11" s="230">
        <f>IFERROR(((Data!D11-Data!D10)/Data!D10),0)</f>
        <v>-1.8033195742120103E-2</v>
      </c>
      <c r="E11" s="231">
        <f>IFERROR(((Data!E11-Data!E10)/Data!E10),0)</f>
        <v>-2.3009854854383491E-2</v>
      </c>
      <c r="F11" s="231">
        <f>IFERROR(((Data!F11-Data!F10)/Data!F10),0)</f>
        <v>0.13541654572067177</v>
      </c>
      <c r="G11" s="231">
        <f>IFERROR(((Data!G11-Data!G10)/Data!G10),0)</f>
        <v>0</v>
      </c>
      <c r="H11" s="232">
        <f>IFERROR(((Data!H11-Data!H10)/Data!H10),0)</f>
        <v>0.10007439441789324</v>
      </c>
      <c r="I11" s="232">
        <f>IFERROR(((Data!I11-Data!I10)/Data!I10),0)</f>
        <v>0.11617045753976418</v>
      </c>
      <c r="J11" s="232">
        <f>IFERROR(((Data!J11-Data!J10)/Data!J10),0)</f>
        <v>9.5412648693798216E-2</v>
      </c>
      <c r="K11" s="232">
        <f>IFERROR(((Data!K11-Data!K10)/Data!K10),0)</f>
        <v>0.24022346368715083</v>
      </c>
      <c r="L11" s="232">
        <f>IFERROR(((Data!L11-Data!L10)/Data!L10),0)</f>
        <v>0.11665317004240335</v>
      </c>
      <c r="M11" s="233">
        <f>IFERROR(((Data!M11-Data!M10)/Data!M10),0)</f>
        <v>7.5704818520968803E-2</v>
      </c>
      <c r="N11" s="233">
        <f>IFERROR(((Data!N11-Data!N10)/Data!N10),0)</f>
        <v>5.6466503485921055E-2</v>
      </c>
      <c r="O11" s="233">
        <f>IFERROR(((Data!O11-Data!O10)/Data!O10),0)</f>
        <v>0.10323920014559169</v>
      </c>
      <c r="P11" s="233">
        <f>IFERROR(((Data!P11-Data!P10)/Data!P10),0)</f>
        <v>0</v>
      </c>
      <c r="Q11" s="233">
        <f>IFERROR(((Data!Q11-Data!Q10)/Data!Q10),0)</f>
        <v>1.3805654375301837E-2</v>
      </c>
      <c r="R11" s="234">
        <f>IFERROR(((Data!R11-Data!R10)/Data!R10),0)</f>
        <v>7.1425634790055662E-2</v>
      </c>
      <c r="S11" s="234">
        <f>IFERROR(((Data!S11-Data!S10)/Data!S10),0)</f>
        <v>0</v>
      </c>
      <c r="T11" s="234">
        <f>IFERROR(((Data!T11-Data!T10)/Data!T10),0)</f>
        <v>0.22920459820120873</v>
      </c>
      <c r="U11" s="234">
        <f>IFERROR(((Data!U11-Data!U10)/Data!U10),0)</f>
        <v>0.31834115289204523</v>
      </c>
      <c r="V11" s="235">
        <f>IFERROR(((Data!V11-Data!V10)/Data!V10),0)</f>
        <v>0</v>
      </c>
      <c r="W11" s="236">
        <f>IFERROR(((Data!W11-Data!W10)/Data!W10),0)</f>
        <v>0.12405455746004715</v>
      </c>
      <c r="X11" s="236">
        <f>IFERROR(((Data!X11-Data!X10)/Data!X10),0)</f>
        <v>0.12757835296279493</v>
      </c>
      <c r="Y11" s="236">
        <f>IFERROR(((Data!Y11-Data!Y10)/Data!Y10),0)</f>
        <v>0.10934677648592731</v>
      </c>
      <c r="Z11" s="236">
        <f>IFERROR(((Data!Z11-Data!Z10)/Data!Z10),0)</f>
        <v>7.082191271193145E-3</v>
      </c>
      <c r="AA11" s="236">
        <f>IFERROR(((Data!AA11-Data!AA10)/Data!AA10),0)</f>
        <v>5.5813953488372058E-2</v>
      </c>
      <c r="AB11" s="237">
        <f>IFERROR(((Data!AB11-Data!AB10)/Data!AB10),0)</f>
        <v>0.12504552733962612</v>
      </c>
      <c r="AC11" s="237">
        <f>IFERROR(((Data!AC11-Data!AC10)/Data!AC10),0)</f>
        <v>0.117538138114677</v>
      </c>
      <c r="AD11" s="237">
        <f>IFERROR(((Data!AD11-Data!AD10)/Data!AD10),0)</f>
        <v>4.4910507846841446E-2</v>
      </c>
      <c r="AE11" s="237">
        <f>IFERROR(((Data!AE11-Data!AE10)/Data!AE10),0)</f>
        <v>3.5678142637692923E-3</v>
      </c>
      <c r="AF11" s="237">
        <f>IFERROR(((Data!AF11-Data!AF10)/Data!AF10),0)</f>
        <v>0.16747763932753168</v>
      </c>
      <c r="AG11" s="238">
        <f>IFERROR(((Data!AG11-Data!AG10)/Data!AG10),0)</f>
        <v>9.1759578532435195E-3</v>
      </c>
      <c r="AH11" s="238">
        <f>IFERROR(((Data!AH11-Data!AH10)/Data!AH10),0)</f>
        <v>1.3005525174693843E-2</v>
      </c>
      <c r="AI11" s="238">
        <f>IFERROR(((Data!AI11-Data!AI10)/Data!AI10),0)</f>
        <v>8.8433003839808469E-2</v>
      </c>
      <c r="AJ11" s="238">
        <f>IFERROR(((Data!AJ11-Data!AJ10)/Data!AJ10),0)</f>
        <v>0</v>
      </c>
      <c r="AK11" s="238">
        <f>IFERROR(((Data!AK11-Data!AK10)/Data!AK10),0)</f>
        <v>0</v>
      </c>
      <c r="AL11" s="239">
        <f>IFERROR(((Data!AL11-Data!AL10)/Data!AL10),0)</f>
        <v>-4.5425320707903762E-2</v>
      </c>
      <c r="AM11" s="239">
        <f>IFERROR(((Data!AM11-Data!AM10)/Data!AM10),0)</f>
        <v>3.7111966169714954E-2</v>
      </c>
      <c r="AN11" s="239">
        <f>IFERROR(((Data!AN11-Data!AN10)/Data!AN10),0)</f>
        <v>0</v>
      </c>
      <c r="AO11" s="239">
        <f>IFERROR(((Data!AO11-Data!AO10)/Data!AO10),0)</f>
        <v>1.0655070624996873E-2</v>
      </c>
      <c r="AP11" s="239">
        <f>IFERROR(((Data!AP11-Data!AP10)/Data!AP10),0)</f>
        <v>0.11111107633455158</v>
      </c>
      <c r="AQ11" s="240">
        <f>IFERROR(((Data!AQ11-Data!AQ10)/Data!AQ10),0)</f>
        <v>0.11679890719679403</v>
      </c>
      <c r="AR11" s="240">
        <f>IFERROR(((Data!AR11-Data!AR10)/Data!AR10),0)</f>
        <v>0.10994326783475344</v>
      </c>
      <c r="AS11" s="240">
        <f>IFERROR(((Data!AS11-Data!AS10)/Data!AS10),0)</f>
        <v>0</v>
      </c>
      <c r="AT11" s="240">
        <f>IFERROR(((Data!AT11-Data!AT10)/Data!AT10),0)</f>
        <v>0.189518141345413</v>
      </c>
      <c r="AU11" s="241">
        <f>IFERROR(((Data!AU11-Data!AU10)/Data!AU10),0)</f>
        <v>6.0486506489684115E-2</v>
      </c>
      <c r="AV11" s="227">
        <f>IFERROR(((Data!AV11-Data!AV10)/Data!AV10),0)</f>
        <v>-1.4919295421396504E-2</v>
      </c>
      <c r="AW11" s="227">
        <f>IFERROR(((Data!AW11-Data!AW10)/Data!AW10),0)</f>
        <v>3.0188830583426609E-2</v>
      </c>
      <c r="AX11" s="227">
        <f>IFERROR(((Data!AX11-Data!AX10)/Data!AX10),0)</f>
        <v>7.1128427363615659E-2</v>
      </c>
      <c r="AY11" s="227">
        <f>IFERROR(((Data!AY11-Data!AY10)/Data!AY10),0)</f>
        <v>0</v>
      </c>
      <c r="AZ11" s="227">
        <f>IFERROR(((Data!AZ11-Data!AZ10)/Data!AZ10),0)</f>
        <v>-0.11717623339049342</v>
      </c>
      <c r="BA11" s="228">
        <f>IFERROR(((Data!BA11-Data!BA10)/Data!BA10),0)</f>
        <v>0.1344711414777878</v>
      </c>
      <c r="BB11" s="228">
        <f>IFERROR(((Data!BB11-Data!BB10)/Data!BB10),0)</f>
        <v>3.3697946067082769E-2</v>
      </c>
      <c r="BC11" s="228">
        <f>IFERROR(((Data!BC11-Data!BC10)/Data!BC10),0)</f>
        <v>0</v>
      </c>
      <c r="BD11" s="228">
        <f>IFERROR(((Data!BD11-Data!BD10)/Data!BD10),0)</f>
        <v>0</v>
      </c>
      <c r="BE11" s="228">
        <f>IFERROR(((Data!BE11-Data!BE10)/Data!BE10),0)</f>
        <v>0</v>
      </c>
      <c r="BF11" s="229">
        <f>IFERROR(((Data!BF11-Data!BF10)/Data!BF10),0)</f>
        <v>0</v>
      </c>
      <c r="BG11" s="229">
        <f>IFERROR(((Data!BG11-Data!BG10)/Data!BG10),0)</f>
        <v>9.2582083564748355E-2</v>
      </c>
      <c r="BH11" s="229">
        <f>IFERROR(((Data!BH11-Data!BH10)/Data!BH10),0)</f>
        <v>1.312720587317211E-2</v>
      </c>
      <c r="BI11" s="229">
        <f>IFERROR(((Data!BI11-Data!BI10)/Data!BI10),0)</f>
        <v>8.759117017085552E-2</v>
      </c>
      <c r="BJ11" s="229">
        <f>IFERROR(((Data!BJ11-Data!BJ10)/Data!BJ10),0)</f>
        <v>3.3765514615744403E-2</v>
      </c>
    </row>
    <row r="12" spans="2:62">
      <c r="B12" s="214">
        <v>43556</v>
      </c>
      <c r="C12" s="230">
        <f>IFERROR(((Data!C12-Data!C11)/Data!C11),0)</f>
        <v>-4.2439751941219482E-2</v>
      </c>
      <c r="D12" s="230">
        <f>IFERROR(((Data!D12-Data!D11)/Data!D11),0)</f>
        <v>0.22984220303700212</v>
      </c>
      <c r="E12" s="231">
        <f>IFERROR(((Data!E12-Data!E11)/Data!E11),0)</f>
        <v>-9.2154260284955242E-4</v>
      </c>
      <c r="F12" s="231">
        <f>IFERROR(((Data!F12-Data!F11)/Data!F11),0)</f>
        <v>-4.6371964608074703E-2</v>
      </c>
      <c r="G12" s="231">
        <f>IFERROR(((Data!G12-Data!G11)/Data!G11),0)</f>
        <v>0</v>
      </c>
      <c r="H12" s="232">
        <f>IFERROR(((Data!H12-Data!H11)/Data!H11),0)</f>
        <v>3.9003198617787373E-2</v>
      </c>
      <c r="I12" s="232">
        <f>IFERROR(((Data!I12-Data!I11)/Data!I11),0)</f>
        <v>-6.2519662418281531E-4</v>
      </c>
      <c r="J12" s="232">
        <f>IFERROR(((Data!J12-Data!J11)/Data!J11),0)</f>
        <v>-1.3380608086668331E-2</v>
      </c>
      <c r="K12" s="232">
        <f>IFERROR(((Data!K12-Data!K11)/Data!K11),0)</f>
        <v>-9.999998198198197E-2</v>
      </c>
      <c r="L12" s="232">
        <f>IFERROR(((Data!L12-Data!L11)/Data!L11),0)</f>
        <v>-1.0007367459726272E-2</v>
      </c>
      <c r="M12" s="233">
        <f>IFERROR(((Data!M12-Data!M11)/Data!M11),0)</f>
        <v>-4.4272769524372778E-2</v>
      </c>
      <c r="N12" s="233">
        <f>IFERROR(((Data!N12-Data!N11)/Data!N11),0)</f>
        <v>5.521088234713261E-2</v>
      </c>
      <c r="O12" s="233">
        <f>IFERROR(((Data!O12-Data!O11)/Data!O11),0)</f>
        <v>4.4373625836995507E-2</v>
      </c>
      <c r="P12" s="233">
        <f>IFERROR(((Data!P12-Data!P11)/Data!P11),0)</f>
        <v>0</v>
      </c>
      <c r="Q12" s="233">
        <f>IFERROR(((Data!Q12-Data!Q11)/Data!Q11),0)</f>
        <v>-1.3360794307052755E-2</v>
      </c>
      <c r="R12" s="234">
        <f>IFERROR(((Data!R12-Data!R11)/Data!R11),0)</f>
        <v>-2.6528346353736406E-2</v>
      </c>
      <c r="S12" s="234">
        <f>IFERROR(((Data!S12-Data!S11)/Data!S11),0)</f>
        <v>0</v>
      </c>
      <c r="T12" s="234">
        <f>IFERROR(((Data!T12-Data!T11)/Data!T11),0)</f>
        <v>-0.14670296741794542</v>
      </c>
      <c r="U12" s="234">
        <f>IFERROR(((Data!U12-Data!U11)/Data!U11),0)</f>
        <v>-0.12095699715065056</v>
      </c>
      <c r="V12" s="235">
        <f>IFERROR(((Data!V12-Data!V11)/Data!V11),0)</f>
        <v>0</v>
      </c>
      <c r="W12" s="236">
        <f>IFERROR(((Data!W12-Data!W11)/Data!W11),0)</f>
        <v>7.8061826214706503E-2</v>
      </c>
      <c r="X12" s="236">
        <f>IFERROR(((Data!X12-Data!X11)/Data!X11),0)</f>
        <v>-8.1300707548989049E-2</v>
      </c>
      <c r="Y12" s="236">
        <f>IFERROR(((Data!Y12-Data!Y11)/Data!Y11),0)</f>
        <v>-5.4655926457866461E-2</v>
      </c>
      <c r="Z12" s="236">
        <f>IFERROR(((Data!Z12-Data!Z11)/Data!Z11),0)</f>
        <v>-2.5316414262311366E-2</v>
      </c>
      <c r="AA12" s="236">
        <f>IFERROR(((Data!AA12-Data!AA11)/Data!AA11),0)</f>
        <v>-0.46696035242290751</v>
      </c>
      <c r="AB12" s="237">
        <f>IFERROR(((Data!AB12-Data!AB11)/Data!AB11),0)</f>
        <v>6.0095649148245077E-2</v>
      </c>
      <c r="AC12" s="237">
        <f>IFERROR(((Data!AC12-Data!AC11)/Data!AC11),0)</f>
        <v>-6.2898450848495213E-2</v>
      </c>
      <c r="AD12" s="237">
        <f>IFERROR(((Data!AD12-Data!AD11)/Data!AD11),0)</f>
        <v>0.15467617999650901</v>
      </c>
      <c r="AE12" s="237">
        <f>IFERROR(((Data!AE12-Data!AE11)/Data!AE11),0)</f>
        <v>6.3991902157154792E-2</v>
      </c>
      <c r="AF12" s="237">
        <f>IFERROR(((Data!AF12-Data!AF11)/Data!AF11),0)</f>
        <v>-4.8625575181781098E-3</v>
      </c>
      <c r="AG12" s="238">
        <f>IFERROR(((Data!AG12-Data!AG11)/Data!AG11),0)</f>
        <v>0.12924357438559284</v>
      </c>
      <c r="AH12" s="238">
        <f>IFERROR(((Data!AH12-Data!AH11)/Data!AH11),0)</f>
        <v>1.0082668819269591E-2</v>
      </c>
      <c r="AI12" s="238">
        <f>IFERROR(((Data!AI12-Data!AI11)/Data!AI11),0)</f>
        <v>-3.3952778089632013E-2</v>
      </c>
      <c r="AJ12" s="238">
        <f>IFERROR(((Data!AJ12-Data!AJ11)/Data!AJ11),0)</f>
        <v>0</v>
      </c>
      <c r="AK12" s="238">
        <f>IFERROR(((Data!AK12-Data!AK11)/Data!AK11),0)</f>
        <v>0</v>
      </c>
      <c r="AL12" s="239">
        <f>IFERROR(((Data!AL12-Data!AL11)/Data!AL11),0)</f>
        <v>-2.8956176891809619E-2</v>
      </c>
      <c r="AM12" s="239">
        <f>IFERROR(((Data!AM12-Data!AM11)/Data!AM11),0)</f>
        <v>-8.2042631270677027E-2</v>
      </c>
      <c r="AN12" s="239">
        <f>IFERROR(((Data!AN12-Data!AN11)/Data!AN11),0)</f>
        <v>0</v>
      </c>
      <c r="AO12" s="239">
        <f>IFERROR(((Data!AO12-Data!AO11)/Data!AO11),0)</f>
        <v>-3.2100664212851925E-2</v>
      </c>
      <c r="AP12" s="239">
        <f>IFERROR(((Data!AP12-Data!AP11)/Data!AP11),0)</f>
        <v>-6.4788704225352101E-2</v>
      </c>
      <c r="AQ12" s="240">
        <f>IFERROR(((Data!AQ12-Data!AQ11)/Data!AQ11),0)</f>
        <v>-3.5505867544128487E-3</v>
      </c>
      <c r="AR12" s="240">
        <f>IFERROR(((Data!AR12-Data!AR11)/Data!AR11),0)</f>
        <v>-8.3029797280637807E-2</v>
      </c>
      <c r="AS12" s="240">
        <f>IFERROR(((Data!AS12-Data!AS11)/Data!AS11),0)</f>
        <v>-4.6215306042315635E-2</v>
      </c>
      <c r="AT12" s="240">
        <f>IFERROR(((Data!AT12-Data!AT11)/Data!AT11),0)</f>
        <v>-1.6287268978932654E-2</v>
      </c>
      <c r="AU12" s="241">
        <f>IFERROR(((Data!AU12-Data!AU11)/Data!AU11),0)</f>
        <v>-7.0055819713432874E-2</v>
      </c>
      <c r="AV12" s="227">
        <f>IFERROR(((Data!AV12-Data!AV11)/Data!AV11),0)</f>
        <v>2.9821755118336454E-2</v>
      </c>
      <c r="AW12" s="227">
        <f>IFERROR(((Data!AW12-Data!AW11)/Data!AW11),0)</f>
        <v>-5.0774189559598983E-3</v>
      </c>
      <c r="AX12" s="227">
        <f>IFERROR(((Data!AX12-Data!AX11)/Data!AX11),0)</f>
        <v>1.0500230336353642E-2</v>
      </c>
      <c r="AY12" s="227">
        <f>IFERROR(((Data!AY12-Data!AY11)/Data!AY11),0)</f>
        <v>0</v>
      </c>
      <c r="AZ12" s="227">
        <f>IFERROR(((Data!AZ12-Data!AZ11)/Data!AZ11),0)</f>
        <v>6.2965491195636339E-2</v>
      </c>
      <c r="BA12" s="228">
        <f>IFERROR(((Data!BA12-Data!BA11)/Data!BA11),0)</f>
        <v>-3.6843831140276485E-2</v>
      </c>
      <c r="BB12" s="228">
        <f>IFERROR(((Data!BB12-Data!BB11)/Data!BB11),0)</f>
        <v>7.6917758257168262E-2</v>
      </c>
      <c r="BC12" s="228">
        <f>IFERROR(((Data!BC12-Data!BC11)/Data!BC11),0)</f>
        <v>0</v>
      </c>
      <c r="BD12" s="228">
        <f>IFERROR(((Data!BD12-Data!BD11)/Data!BD11),0)</f>
        <v>0</v>
      </c>
      <c r="BE12" s="228">
        <f>IFERROR(((Data!BE12-Data!BE11)/Data!BE11),0)</f>
        <v>0</v>
      </c>
      <c r="BF12" s="229">
        <f>IFERROR(((Data!BF12-Data!BF11)/Data!BF11),0)</f>
        <v>0</v>
      </c>
      <c r="BG12" s="229">
        <f>IFERROR(((Data!BG12-Data!BG11)/Data!BG11),0)</f>
        <v>1.0742087664679793E-2</v>
      </c>
      <c r="BH12" s="229">
        <f>IFERROR(((Data!BH12-Data!BH11)/Data!BH11),0)</f>
        <v>-6.6114550862877541E-2</v>
      </c>
      <c r="BI12" s="229">
        <f>IFERROR(((Data!BI12-Data!BI11)/Data!BI11),0)</f>
        <v>-9.7620462973645392E-2</v>
      </c>
      <c r="BJ12" s="229">
        <f>IFERROR(((Data!BJ12-Data!BJ11)/Data!BJ11),0)</f>
        <v>-2.1624587816947656E-2</v>
      </c>
    </row>
    <row r="13" spans="2:62">
      <c r="B13" s="214">
        <v>43586</v>
      </c>
      <c r="C13" s="230">
        <f>IFERROR(((Data!C13-Data!C12)/Data!C12),0)</f>
        <v>2.7121759622293572E-3</v>
      </c>
      <c r="D13" s="230">
        <f>IFERROR(((Data!D13-Data!D12)/Data!D12),0)</f>
        <v>-0.1945870120187842</v>
      </c>
      <c r="E13" s="231">
        <f>IFERROR(((Data!E13-Data!E12)/Data!E12),0)</f>
        <v>3.0518648577438186E-2</v>
      </c>
      <c r="F13" s="231">
        <f>IFERROR(((Data!F13-Data!F12)/Data!F12),0)</f>
        <v>0.11981813515380364</v>
      </c>
      <c r="G13" s="231">
        <f>IFERROR(((Data!G13-Data!G12)/Data!G12),0)</f>
        <v>0</v>
      </c>
      <c r="H13" s="232">
        <f>IFERROR(((Data!H13-Data!H12)/Data!H12),0)</f>
        <v>9.7796730640156537E-2</v>
      </c>
      <c r="I13" s="232">
        <f>IFERROR(((Data!I13-Data!I12)/Data!I12),0)</f>
        <v>4.6559726743598789E-2</v>
      </c>
      <c r="J13" s="232">
        <f>IFERROR(((Data!J13-Data!J12)/Data!J12),0)</f>
        <v>5.405236308678036E-2</v>
      </c>
      <c r="K13" s="232">
        <f>IFERROR(((Data!K13-Data!K12)/Data!K12),0)</f>
        <v>-9.1091069247426035E-2</v>
      </c>
      <c r="L13" s="232">
        <f>IFERROR(((Data!L13-Data!L12)/Data!L12),0)</f>
        <v>4.5364822123670219E-2</v>
      </c>
      <c r="M13" s="233">
        <f>IFERROR(((Data!M13-Data!M12)/Data!M12),0)</f>
        <v>-0.10444674749354654</v>
      </c>
      <c r="N13" s="233">
        <f>IFERROR(((Data!N13-Data!N12)/Data!N12),0)</f>
        <v>-8.705578327623674E-2</v>
      </c>
      <c r="O13" s="233">
        <f>IFERROR(((Data!O13-Data!O12)/Data!O12),0)</f>
        <v>-0.17904886123497121</v>
      </c>
      <c r="P13" s="233">
        <f>IFERROR(((Data!P13-Data!P12)/Data!P12),0)</f>
        <v>0</v>
      </c>
      <c r="Q13" s="233">
        <f>IFERROR(((Data!Q13-Data!Q12)/Data!Q12),0)</f>
        <v>-8.072862990158582E-3</v>
      </c>
      <c r="R13" s="234">
        <f>IFERROR(((Data!R13-Data!R12)/Data!R12),0)</f>
        <v>0.15498131553160996</v>
      </c>
      <c r="S13" s="234">
        <f>IFERROR(((Data!S13-Data!S12)/Data!S12),0)</f>
        <v>0</v>
      </c>
      <c r="T13" s="234">
        <f>IFERROR(((Data!T13-Data!T12)/Data!T12),0)</f>
        <v>0.10680168536163367</v>
      </c>
      <c r="U13" s="234">
        <f>IFERROR(((Data!U13-Data!U12)/Data!U12),0)</f>
        <v>-1.4616890389472221E-2</v>
      </c>
      <c r="V13" s="235">
        <f>IFERROR(((Data!V13-Data!V12)/Data!V12),0)</f>
        <v>0</v>
      </c>
      <c r="W13" s="236">
        <f>IFERROR(((Data!W13-Data!W12)/Data!W12),0)</f>
        <v>8.1148566320813145E-2</v>
      </c>
      <c r="X13" s="236">
        <f>IFERROR(((Data!X13-Data!X12)/Data!X12),0)</f>
        <v>1.4749138452218943E-2</v>
      </c>
      <c r="Y13" s="236">
        <f>IFERROR(((Data!Y13-Data!Y12)/Data!Y12),0)</f>
        <v>7.2804890845128797E-2</v>
      </c>
      <c r="Z13" s="236">
        <f>IFERROR(((Data!Z13-Data!Z12)/Data!Z12),0)</f>
        <v>0.10317447450420279</v>
      </c>
      <c r="AA13" s="236">
        <f>IFERROR(((Data!AA13-Data!AA12)/Data!AA12),0)</f>
        <v>0.23140495867768601</v>
      </c>
      <c r="AB13" s="237">
        <f>IFERROR(((Data!AB13-Data!AB12)/Data!AB12),0)</f>
        <v>9.243555846644988E-2</v>
      </c>
      <c r="AC13" s="237">
        <f>IFERROR(((Data!AC13-Data!AC12)/Data!AC12),0)</f>
        <v>4.5804856602954518E-2</v>
      </c>
      <c r="AD13" s="237">
        <f>IFERROR(((Data!AD13-Data!AD12)/Data!AD12),0)</f>
        <v>3.1039032662352539E-2</v>
      </c>
      <c r="AE13" s="237">
        <f>IFERROR(((Data!AE13-Data!AE12)/Data!AE12),0)</f>
        <v>0.15178997074546402</v>
      </c>
      <c r="AF13" s="237">
        <f>IFERROR(((Data!AF13-Data!AF12)/Data!AF12),0)</f>
        <v>6.8062633687347204E-2</v>
      </c>
      <c r="AG13" s="238">
        <f>IFERROR(((Data!AG13-Data!AG12)/Data!AG12),0)</f>
        <v>-2.822603596963132E-2</v>
      </c>
      <c r="AH13" s="238">
        <f>IFERROR(((Data!AH13-Data!AH12)/Data!AH12),0)</f>
        <v>-1.8100711046366128E-2</v>
      </c>
      <c r="AI13" s="238">
        <f>IFERROR(((Data!AI13-Data!AI12)/Data!AI12),0)</f>
        <v>-6.31987250898952E-2</v>
      </c>
      <c r="AJ13" s="238">
        <f>IFERROR(((Data!AJ13-Data!AJ12)/Data!AJ12),0)</f>
        <v>0</v>
      </c>
      <c r="AK13" s="238">
        <f>IFERROR(((Data!AK13-Data!AK12)/Data!AK12),0)</f>
        <v>0</v>
      </c>
      <c r="AL13" s="239">
        <f>IFERROR(((Data!AL13-Data!AL12)/Data!AL12),0)</f>
        <v>-0.17371703457584203</v>
      </c>
      <c r="AM13" s="239">
        <f>IFERROR(((Data!AM13-Data!AM12)/Data!AM12),0)</f>
        <v>-4.3709269248062566E-2</v>
      </c>
      <c r="AN13" s="239">
        <f>IFERROR(((Data!AN13-Data!AN12)/Data!AN12),0)</f>
        <v>0</v>
      </c>
      <c r="AO13" s="239">
        <f>IFERROR(((Data!AO13-Data!AO12)/Data!AO12),0)</f>
        <v>-5.7389036839410913E-2</v>
      </c>
      <c r="AP13" s="239">
        <f>IFERROR(((Data!AP13-Data!AP12)/Data!AP12),0)</f>
        <v>-4.2168733669616473E-2</v>
      </c>
      <c r="AQ13" s="240">
        <f>IFERROR(((Data!AQ13-Data!AQ12)/Data!AQ12),0)</f>
        <v>1.8140489000395683E-2</v>
      </c>
      <c r="AR13" s="240">
        <f>IFERROR(((Data!AR13-Data!AR12)/Data!AR12),0)</f>
        <v>-2.2504655491627321E-2</v>
      </c>
      <c r="AS13" s="240">
        <f>IFERROR(((Data!AS13-Data!AS12)/Data!AS12),0)</f>
        <v>8.4485109446121018E-2</v>
      </c>
      <c r="AT13" s="240">
        <f>IFERROR(((Data!AT13-Data!AT12)/Data!AT12),0)</f>
        <v>-3.5873566721563818E-2</v>
      </c>
      <c r="AU13" s="241">
        <f>IFERROR(((Data!AU13-Data!AU12)/Data!AU12),0)</f>
        <v>2.0000266666666752E-3</v>
      </c>
      <c r="AV13" s="227">
        <f>IFERROR(((Data!AV13-Data!AV12)/Data!AV12),0)</f>
        <v>1.7522901819811899E-2</v>
      </c>
      <c r="AW13" s="227">
        <f>IFERROR(((Data!AW13-Data!AW12)/Data!AW12),0)</f>
        <v>5.6766958102040854E-2</v>
      </c>
      <c r="AX13" s="227">
        <f>IFERROR(((Data!AX13-Data!AX12)/Data!AX12),0)</f>
        <v>6.5372692632497592E-2</v>
      </c>
      <c r="AY13" s="227">
        <f>IFERROR(((Data!AY13-Data!AY12)/Data!AY12),0)</f>
        <v>0</v>
      </c>
      <c r="AZ13" s="227">
        <f>IFERROR(((Data!AZ13-Data!AZ12)/Data!AZ12),0)</f>
        <v>3.4109811727630973E-2</v>
      </c>
      <c r="BA13" s="228">
        <f>IFERROR(((Data!BA13-Data!BA12)/Data!BA12),0)</f>
        <v>0.28112476700166084</v>
      </c>
      <c r="BB13" s="228">
        <f>IFERROR(((Data!BB13-Data!BB12)/Data!BB12),0)</f>
        <v>7.0074634267131952E-2</v>
      </c>
      <c r="BC13" s="228">
        <f>IFERROR(((Data!BC13-Data!BC12)/Data!BC12),0)</f>
        <v>0</v>
      </c>
      <c r="BD13" s="228">
        <f>IFERROR(((Data!BD13-Data!BD12)/Data!BD12),0)</f>
        <v>0</v>
      </c>
      <c r="BE13" s="228">
        <f>IFERROR(((Data!BE13-Data!BE12)/Data!BE12),0)</f>
        <v>0</v>
      </c>
      <c r="BF13" s="229">
        <f>IFERROR(((Data!BF13-Data!BF12)/Data!BF12),0)</f>
        <v>0</v>
      </c>
      <c r="BG13" s="229">
        <f>IFERROR(((Data!BG13-Data!BG12)/Data!BG12),0)</f>
        <v>3.0748544998433141E-2</v>
      </c>
      <c r="BH13" s="229">
        <f>IFERROR(((Data!BH13-Data!BH12)/Data!BH12),0)</f>
        <v>-6.7925773445867615E-2</v>
      </c>
      <c r="BI13" s="229">
        <f>IFERROR(((Data!BI13-Data!BI12)/Data!BI12),0)</f>
        <v>2.4340865072068958E-2</v>
      </c>
      <c r="BJ13" s="229">
        <f>IFERROR(((Data!BJ13-Data!BJ12)/Data!BJ12),0)</f>
        <v>-2.3621971971944083E-2</v>
      </c>
    </row>
    <row r="14" spans="2:62">
      <c r="B14" s="214">
        <v>43617</v>
      </c>
      <c r="C14" s="230">
        <f>IFERROR(((Data!C14-Data!C13)/Data!C13),0)</f>
        <v>1.2827350633566598E-2</v>
      </c>
      <c r="D14" s="230">
        <f>IFERROR(((Data!D14-Data!D13)/Data!D13),0)</f>
        <v>-5.8227167635137307E-2</v>
      </c>
      <c r="E14" s="231">
        <f>IFERROR(((Data!E14-Data!E13)/Data!E13),0)</f>
        <v>-4.8792955782116031E-2</v>
      </c>
      <c r="F14" s="231">
        <f>IFERROR(((Data!F14-Data!F13)/Data!F13),0)</f>
        <v>4.686000498144275E-3</v>
      </c>
      <c r="G14" s="231">
        <f>IFERROR(((Data!G14-Data!G13)/Data!G13),0)</f>
        <v>0</v>
      </c>
      <c r="H14" s="232">
        <f>IFERROR(((Data!H14-Data!H13)/Data!H13),0)</f>
        <v>-2.9596234762646494E-2</v>
      </c>
      <c r="I14" s="232">
        <f>IFERROR(((Data!I14-Data!I13)/Data!I13),0)</f>
        <v>7.5866121039994744E-3</v>
      </c>
      <c r="J14" s="232">
        <f>IFERROR(((Data!J14-Data!J13)/Data!J13),0)</f>
        <v>3.092680233657532E-4</v>
      </c>
      <c r="K14" s="232">
        <f>IFERROR(((Data!K14-Data!K13)/Data!K13),0)</f>
        <v>-4.7356870160490318E-2</v>
      </c>
      <c r="L14" s="232">
        <f>IFERROR(((Data!L14-Data!L13)/Data!L13),0)</f>
        <v>2.8537778437004526E-2</v>
      </c>
      <c r="M14" s="233">
        <f>IFERROR(((Data!M14-Data!M13)/Data!M13),0)</f>
        <v>-2.1715115075469433E-2</v>
      </c>
      <c r="N14" s="233">
        <f>IFERROR(((Data!N14-Data!N13)/Data!N13),0)</f>
        <v>-4.7753260087898874E-2</v>
      </c>
      <c r="O14" s="233">
        <f>IFERROR(((Data!O14-Data!O13)/Data!O13),0)</f>
        <v>-9.5701985582701904E-2</v>
      </c>
      <c r="P14" s="233">
        <f>IFERROR(((Data!P14-Data!P13)/Data!P13),0)</f>
        <v>0</v>
      </c>
      <c r="Q14" s="233">
        <f>IFERROR(((Data!Q14-Data!Q13)/Data!Q13),0)</f>
        <v>-0.10580202258528464</v>
      </c>
      <c r="R14" s="234">
        <f>IFERROR(((Data!R14-Data!R13)/Data!R13),0)</f>
        <v>-2.7931105869637663E-3</v>
      </c>
      <c r="S14" s="234">
        <f>IFERROR(((Data!S14-Data!S13)/Data!S13),0)</f>
        <v>0</v>
      </c>
      <c r="T14" s="234">
        <f>IFERROR(((Data!T14-Data!T13)/Data!T13),0)</f>
        <v>-1.3859737700027413E-2</v>
      </c>
      <c r="U14" s="234">
        <f>IFERROR(((Data!U14-Data!U13)/Data!U13),0)</f>
        <v>-3.0690459848584498E-3</v>
      </c>
      <c r="V14" s="235">
        <f>IFERROR(((Data!V14-Data!V13)/Data!V13),0)</f>
        <v>0</v>
      </c>
      <c r="W14" s="236">
        <f>IFERROR(((Data!W14-Data!W13)/Data!W13),0)</f>
        <v>2.5404226914647294E-2</v>
      </c>
      <c r="X14" s="236">
        <f>IFERROR(((Data!X14-Data!X13)/Data!X13),0)</f>
        <v>2.9069847777708664E-3</v>
      </c>
      <c r="Y14" s="236">
        <f>IFERROR(((Data!Y14-Data!Y13)/Data!Y13),0)</f>
        <v>-9.9799748785108777E-3</v>
      </c>
      <c r="Z14" s="236">
        <f>IFERROR(((Data!Z14-Data!Z13)/Data!Z13),0)</f>
        <v>-3.6625114716571705E-2</v>
      </c>
      <c r="AA14" s="236">
        <f>IFERROR(((Data!AA14-Data!AA13)/Data!AA13),0)</f>
        <v>-0.44295302013422816</v>
      </c>
      <c r="AB14" s="237">
        <f>IFERROR(((Data!AB14-Data!AB13)/Data!AB13),0)</f>
        <v>9.345925701795807E-3</v>
      </c>
      <c r="AC14" s="237">
        <f>IFERROR(((Data!AC14-Data!AC13)/Data!AC13),0)</f>
        <v>-7.697300631099932E-2</v>
      </c>
      <c r="AD14" s="237">
        <f>IFERROR(((Data!AD14-Data!AD13)/Data!AD13),0)</f>
        <v>-4.2908884538270201E-2</v>
      </c>
      <c r="AE14" s="237">
        <f>IFERROR(((Data!AE14-Data!AE13)/Data!AE13),0)</f>
        <v>1.2847041837436169E-2</v>
      </c>
      <c r="AF14" s="237">
        <f>IFERROR(((Data!AF14-Data!AF13)/Data!AF13),0)</f>
        <v>-0.12908501249104065</v>
      </c>
      <c r="AG14" s="238">
        <f>IFERROR(((Data!AG14-Data!AG13)/Data!AG13),0)</f>
        <v>1.3953896424998625E-2</v>
      </c>
      <c r="AH14" s="238">
        <f>IFERROR(((Data!AH14-Data!AH13)/Data!AH13),0)</f>
        <v>-7.7940222987264015E-3</v>
      </c>
      <c r="AI14" s="238">
        <f>IFERROR(((Data!AI14-Data!AI13)/Data!AI13),0)</f>
        <v>1.5259445487070516E-2</v>
      </c>
      <c r="AJ14" s="238">
        <f>IFERROR(((Data!AJ14-Data!AJ13)/Data!AJ13),0)</f>
        <v>0</v>
      </c>
      <c r="AK14" s="238">
        <f>IFERROR(((Data!AK14-Data!AK13)/Data!AK13),0)</f>
        <v>0</v>
      </c>
      <c r="AL14" s="239">
        <f>IFERROR(((Data!AL14-Data!AL13)/Data!AL13),0)</f>
        <v>-5.259479534444781E-2</v>
      </c>
      <c r="AM14" s="239">
        <f>IFERROR(((Data!AM14-Data!AM13)/Data!AM13),0)</f>
        <v>-8.0579093302839341E-2</v>
      </c>
      <c r="AN14" s="239">
        <f>IFERROR(((Data!AN14-Data!AN13)/Data!AN13),0)</f>
        <v>0</v>
      </c>
      <c r="AO14" s="239">
        <f>IFERROR(((Data!AO14-Data!AO13)/Data!AO13),0)</f>
        <v>-2.8975590283077557E-2</v>
      </c>
      <c r="AP14" s="239">
        <f>IFERROR(((Data!AP14-Data!AP13)/Data!AP13),0)</f>
        <v>-0.14465402970610156</v>
      </c>
      <c r="AQ14" s="240">
        <f>IFERROR(((Data!AQ14-Data!AQ13)/Data!AQ13),0)</f>
        <v>2.5452806182947266E-3</v>
      </c>
      <c r="AR14" s="240">
        <f>IFERROR(((Data!AR14-Data!AR13)/Data!AR13),0)</f>
        <v>-8.9383006564029508E-3</v>
      </c>
      <c r="AS14" s="240">
        <f>IFERROR(((Data!AS14-Data!AS13)/Data!AS13),0)</f>
        <v>-8.9359823961503423E-2</v>
      </c>
      <c r="AT14" s="240">
        <f>IFERROR(((Data!AT14-Data!AT13)/Data!AT13),0)</f>
        <v>2.2897457974800247E-2</v>
      </c>
      <c r="AU14" s="241">
        <f>IFERROR(((Data!AU14-Data!AU13)/Data!AU13),0)</f>
        <v>-0.11044582540397006</v>
      </c>
      <c r="AV14" s="227">
        <f>IFERROR(((Data!AV14-Data!AV13)/Data!AV13),0)</f>
        <v>-5.0321662781274755E-4</v>
      </c>
      <c r="AW14" s="227">
        <f>IFERROR(((Data!AW14-Data!AW13)/Data!AW13),0)</f>
        <v>4.0712788704119714E-2</v>
      </c>
      <c r="AX14" s="227">
        <f>IFERROR(((Data!AX14-Data!AX13)/Data!AX13),0)</f>
        <v>1.4790786854669075E-2</v>
      </c>
      <c r="AY14" s="227">
        <f>IFERROR(((Data!AY14-Data!AY13)/Data!AY13),0)</f>
        <v>0</v>
      </c>
      <c r="AZ14" s="227">
        <f>IFERROR(((Data!AZ14-Data!AZ13)/Data!AZ13),0)</f>
        <v>-2.8567138087221448E-2</v>
      </c>
      <c r="BA14" s="228">
        <f>IFERROR(((Data!BA14-Data!BA13)/Data!BA13),0)</f>
        <v>7.6129442859872113E-3</v>
      </c>
      <c r="BB14" s="228">
        <f>IFERROR(((Data!BB14-Data!BB13)/Data!BB13),0)</f>
        <v>-3.1482958579750933E-2</v>
      </c>
      <c r="BC14" s="228">
        <f>IFERROR(((Data!BC14-Data!BC13)/Data!BC13),0)</f>
        <v>0</v>
      </c>
      <c r="BD14" s="228">
        <f>IFERROR(((Data!BD14-Data!BD13)/Data!BD13),0)</f>
        <v>0</v>
      </c>
      <c r="BE14" s="228">
        <f>IFERROR(((Data!BE14-Data!BE13)/Data!BE13),0)</f>
        <v>0</v>
      </c>
      <c r="BF14" s="229">
        <f>IFERROR(((Data!BF14-Data!BF13)/Data!BF13),0)</f>
        <v>0</v>
      </c>
      <c r="BG14" s="229">
        <f>IFERROR(((Data!BG14-Data!BG13)/Data!BG13),0)</f>
        <v>-5.4178600166824444E-2</v>
      </c>
      <c r="BH14" s="229">
        <f>IFERROR(((Data!BH14-Data!BH13)/Data!BH13),0)</f>
        <v>-9.3462487525382748E-2</v>
      </c>
      <c r="BI14" s="229">
        <f>IFERROR(((Data!BI14-Data!BI13)/Data!BI13),0)</f>
        <v>-3.8283942185706417E-2</v>
      </c>
      <c r="BJ14" s="229">
        <f>IFERROR(((Data!BJ14-Data!BJ13)/Data!BJ13),0)</f>
        <v>-0.11021505099041007</v>
      </c>
    </row>
    <row r="15" spans="2:62">
      <c r="B15" s="214">
        <v>43647</v>
      </c>
      <c r="C15" s="230">
        <f>IFERROR(((Data!C15-Data!C14)/Data!C14),0)</f>
        <v>-0.16075377805209895</v>
      </c>
      <c r="D15" s="230">
        <f>IFERROR(((Data!D15-Data!D14)/Data!D14),0)</f>
        <v>-0.16579508135495633</v>
      </c>
      <c r="E15" s="231">
        <f>IFERROR(((Data!E15-Data!E14)/Data!E14),0)</f>
        <v>-0.16296971033481042</v>
      </c>
      <c r="F15" s="231">
        <f>IFERROR(((Data!F15-Data!F14)/Data!F14),0)</f>
        <v>-3.9645593644152308E-2</v>
      </c>
      <c r="G15" s="231">
        <f>IFERROR(((Data!G15-Data!G14)/Data!G14),0)</f>
        <v>0</v>
      </c>
      <c r="H15" s="232">
        <f>IFERROR(((Data!H15-Data!H14)/Data!H14),0)</f>
        <v>2.8738835408168916E-2</v>
      </c>
      <c r="I15" s="232">
        <f>IFERROR(((Data!I15-Data!I14)/Data!I14),0)</f>
        <v>-7.2882108173776397E-2</v>
      </c>
      <c r="J15" s="232">
        <f>IFERROR(((Data!J15-Data!J14)/Data!J14),0)</f>
        <v>-0.16628528423095576</v>
      </c>
      <c r="K15" s="232">
        <f>IFERROR(((Data!K15-Data!K14)/Data!K14),0)</f>
        <v>-3.00577803468208E-2</v>
      </c>
      <c r="L15" s="232">
        <f>IFERROR(((Data!L15-Data!L14)/Data!L14),0)</f>
        <v>-0.11167167548768545</v>
      </c>
      <c r="M15" s="233">
        <f>IFERROR(((Data!M15-Data!M14)/Data!M14),0)</f>
        <v>6.4347147651452261E-2</v>
      </c>
      <c r="N15" s="233">
        <f>IFERROR(((Data!N15-Data!N14)/Data!N14),0)</f>
        <v>9.4689043155694076E-3</v>
      </c>
      <c r="O15" s="233">
        <f>IFERROR(((Data!O15-Data!O14)/Data!O14),0)</f>
        <v>-6.0521268789808888E-2</v>
      </c>
      <c r="P15" s="233">
        <f>IFERROR(((Data!P15-Data!P14)/Data!P14),0)</f>
        <v>0</v>
      </c>
      <c r="Q15" s="233">
        <f>IFERROR(((Data!Q15-Data!Q14)/Data!Q14),0)</f>
        <v>-1.4679912795911416E-2</v>
      </c>
      <c r="R15" s="234">
        <f>IFERROR(((Data!R15-Data!R14)/Data!R14),0)</f>
        <v>-0.10681155773509295</v>
      </c>
      <c r="S15" s="234">
        <f>IFERROR(((Data!S15-Data!S14)/Data!S14),0)</f>
        <v>0</v>
      </c>
      <c r="T15" s="234">
        <f>IFERROR(((Data!T15-Data!T14)/Data!T14),0)</f>
        <v>-5.5157747009854E-2</v>
      </c>
      <c r="U15" s="234">
        <f>IFERROR(((Data!U15-Data!U14)/Data!U14),0)</f>
        <v>-0.24935856436515583</v>
      </c>
      <c r="V15" s="235">
        <f>IFERROR(((Data!V15-Data!V14)/Data!V14),0)</f>
        <v>0</v>
      </c>
      <c r="W15" s="236">
        <f>IFERROR(((Data!W15-Data!W14)/Data!W14),0)</f>
        <v>5.4053984051622317E-2</v>
      </c>
      <c r="X15" s="236">
        <f>IFERROR(((Data!X15-Data!X14)/Data!X14),0)</f>
        <v>-8.7668123958991623E-2</v>
      </c>
      <c r="Y15" s="236">
        <f>IFERROR(((Data!Y15-Data!Y14)/Data!Y14),0)</f>
        <v>-0.10685474886740567</v>
      </c>
      <c r="Z15" s="236">
        <f>IFERROR(((Data!Z15-Data!Z14)/Data!Z14),0)</f>
        <v>-6.3136526719567737E-2</v>
      </c>
      <c r="AA15" s="236">
        <f>IFERROR(((Data!AA15-Data!AA14)/Data!AA14),0)</f>
        <v>-0.14457831325301215</v>
      </c>
      <c r="AB15" s="237">
        <f>IFERROR(((Data!AB15-Data!AB14)/Data!AB14),0)</f>
        <v>-7.5915991944842304E-2</v>
      </c>
      <c r="AC15" s="237">
        <f>IFERROR(((Data!AC15-Data!AC14)/Data!AC14),0)</f>
        <v>-5.1444671440543627E-2</v>
      </c>
      <c r="AD15" s="237">
        <f>IFERROR(((Data!AD15-Data!AD14)/Data!AD14),0)</f>
        <v>-4.5864144150529779E-2</v>
      </c>
      <c r="AE15" s="237">
        <f>IFERROR(((Data!AE15-Data!AE14)/Data!AE14),0)</f>
        <v>-0.16612109354338775</v>
      </c>
      <c r="AF15" s="237">
        <f>IFERROR(((Data!AF15-Data!AF14)/Data!AF14),0)</f>
        <v>-0.19774847621479777</v>
      </c>
      <c r="AG15" s="238">
        <f>IFERROR(((Data!AG15-Data!AG14)/Data!AG14),0)</f>
        <v>-1.6390494894918516E-3</v>
      </c>
      <c r="AH15" s="238">
        <f>IFERROR(((Data!AH15-Data!AH14)/Data!AH14),0)</f>
        <v>9.953729408154896E-2</v>
      </c>
      <c r="AI15" s="238">
        <f>IFERROR(((Data!AI15-Data!AI14)/Data!AI14),0)</f>
        <v>-0.28031432132475653</v>
      </c>
      <c r="AJ15" s="238">
        <f>IFERROR(((Data!AJ15-Data!AJ14)/Data!AJ14),0)</f>
        <v>0</v>
      </c>
      <c r="AK15" s="238">
        <f>IFERROR(((Data!AK15-Data!AK14)/Data!AK14),0)</f>
        <v>0</v>
      </c>
      <c r="AL15" s="239">
        <f>IFERROR(((Data!AL15-Data!AL14)/Data!AL14),0)</f>
        <v>6.7769005910777169E-2</v>
      </c>
      <c r="AM15" s="239">
        <f>IFERROR(((Data!AM15-Data!AM14)/Data!AM14),0)</f>
        <v>-6.4072102078678722E-2</v>
      </c>
      <c r="AN15" s="239">
        <f>IFERROR(((Data!AN15-Data!AN14)/Data!AN14),0)</f>
        <v>0</v>
      </c>
      <c r="AO15" s="239">
        <f>IFERROR(((Data!AO15-Data!AO14)/Data!AO14),0)</f>
        <v>-4.1563103463730766E-2</v>
      </c>
      <c r="AP15" s="239">
        <f>IFERROR(((Data!AP15-Data!AP14)/Data!AP14),0)</f>
        <v>-0.21875002872242541</v>
      </c>
      <c r="AQ15" s="240">
        <f>IFERROR(((Data!AQ15-Data!AQ14)/Data!AQ14),0)</f>
        <v>-8.7493041509938668E-2</v>
      </c>
      <c r="AR15" s="240">
        <f>IFERROR(((Data!AR15-Data!AR14)/Data!AR14),0)</f>
        <v>-9.4561359735849893E-2</v>
      </c>
      <c r="AS15" s="240">
        <f>IFERROR(((Data!AS15-Data!AS14)/Data!AS14),0)</f>
        <v>6.9192700643772179E-3</v>
      </c>
      <c r="AT15" s="240">
        <f>IFERROR(((Data!AT15-Data!AT14)/Data!AT14),0)</f>
        <v>-2.6259142953478247E-2</v>
      </c>
      <c r="AU15" s="241">
        <f>IFERROR(((Data!AU15-Data!AU14)/Data!AU14),0)</f>
        <v>-0.10545997323739635</v>
      </c>
      <c r="AV15" s="227">
        <f>IFERROR(((Data!AV15-Data!AV14)/Data!AV14),0)</f>
        <v>-2.7114769179722772E-2</v>
      </c>
      <c r="AW15" s="227">
        <f>IFERROR(((Data!AW15-Data!AW14)/Data!AW14),0)</f>
        <v>-1.9869671071652134E-2</v>
      </c>
      <c r="AX15" s="227">
        <f>IFERROR(((Data!AX15-Data!AX14)/Data!AX14),0)</f>
        <v>1.2199130111398351E-2</v>
      </c>
      <c r="AY15" s="227">
        <f>IFERROR(((Data!AY15-Data!AY14)/Data!AY14),0)</f>
        <v>0</v>
      </c>
      <c r="AZ15" s="227">
        <f>IFERROR(((Data!AZ15-Data!AZ14)/Data!AZ14),0)</f>
        <v>-0.21267247614693294</v>
      </c>
      <c r="BA15" s="228">
        <f>IFERROR(((Data!BA15-Data!BA14)/Data!BA14),0)</f>
        <v>-8.7110919218206573E-2</v>
      </c>
      <c r="BB15" s="228">
        <f>IFERROR(((Data!BB15-Data!BB14)/Data!BB14),0)</f>
        <v>-7.1058767581306359E-2</v>
      </c>
      <c r="BC15" s="228">
        <f>IFERROR(((Data!BC15-Data!BC14)/Data!BC14),0)</f>
        <v>0</v>
      </c>
      <c r="BD15" s="228">
        <f>IFERROR(((Data!BD15-Data!BD14)/Data!BD14),0)</f>
        <v>0</v>
      </c>
      <c r="BE15" s="228">
        <f>IFERROR(((Data!BE15-Data!BE14)/Data!BE14),0)</f>
        <v>0</v>
      </c>
      <c r="BF15" s="229">
        <f>IFERROR(((Data!BF15-Data!BF14)/Data!BF14),0)</f>
        <v>0</v>
      </c>
      <c r="BG15" s="229">
        <f>IFERROR(((Data!BG15-Data!BG14)/Data!BG14),0)</f>
        <v>-4.7549226128572569E-2</v>
      </c>
      <c r="BH15" s="229">
        <f>IFERROR(((Data!BH15-Data!BH14)/Data!BH14),0)</f>
        <v>-0.11692834207678073</v>
      </c>
      <c r="BI15" s="229">
        <f>IFERROR(((Data!BI15-Data!BI14)/Data!BI14),0)</f>
        <v>0.13308199294649553</v>
      </c>
      <c r="BJ15" s="229">
        <f>IFERROR(((Data!BJ15-Data!BJ14)/Data!BJ14),0)</f>
        <v>-0.15725875616442567</v>
      </c>
    </row>
    <row r="16" spans="2:62">
      <c r="B16" s="214">
        <v>43678</v>
      </c>
      <c r="C16" s="230">
        <f>IFERROR(((Data!C16-Data!C15)/Data!C15),0)</f>
        <v>-2.5136003029705756E-2</v>
      </c>
      <c r="D16" s="230">
        <f>IFERROR(((Data!D16-Data!D15)/Data!D15),0)</f>
        <v>-0.13938058701202441</v>
      </c>
      <c r="E16" s="231">
        <f>IFERROR(((Data!E16-Data!E15)/Data!E15),0)</f>
        <v>0.11957690919507091</v>
      </c>
      <c r="F16" s="231">
        <f>IFERROR(((Data!F16-Data!F15)/Data!F15),0)</f>
        <v>-0.20044032569146764</v>
      </c>
      <c r="G16" s="231">
        <f>IFERROR(((Data!G16-Data!G15)/Data!G15),0)</f>
        <v>0</v>
      </c>
      <c r="H16" s="232">
        <f>IFERROR(((Data!H16-Data!H15)/Data!H15),0)</f>
        <v>-5.7470033749815477E-2</v>
      </c>
      <c r="I16" s="232">
        <f>IFERROR(((Data!I16-Data!I15)/Data!I15),0)</f>
        <v>-1.052551517409968E-2</v>
      </c>
      <c r="J16" s="232">
        <f>IFERROR(((Data!J16-Data!J15)/Data!J15),0)</f>
        <v>-1.3908175189346363E-2</v>
      </c>
      <c r="K16" s="232">
        <f>IFERROR(((Data!K16-Data!K15)/Data!K15),0)</f>
        <v>3.8140595038364825E-2</v>
      </c>
      <c r="L16" s="232">
        <f>IFERROR(((Data!L16-Data!L15)/Data!L15),0)</f>
        <v>4.8270649381460792E-2</v>
      </c>
      <c r="M16" s="233">
        <f>IFERROR(((Data!M16-Data!M15)/Data!M15),0)</f>
        <v>5.5418876483532081E-2</v>
      </c>
      <c r="N16" s="233">
        <f>IFERROR(((Data!N16-Data!N15)/Data!N15),0)</f>
        <v>9.7420630800801257E-4</v>
      </c>
      <c r="O16" s="233">
        <f>IFERROR(((Data!O16-Data!O15)/Data!O15),0)</f>
        <v>5.1553543167976806E-2</v>
      </c>
      <c r="P16" s="233">
        <f>IFERROR(((Data!P16-Data!P15)/Data!P15),0)</f>
        <v>0</v>
      </c>
      <c r="Q16" s="233">
        <f>IFERROR(((Data!Q16-Data!Q15)/Data!Q15),0)</f>
        <v>8.0104709347362635E-2</v>
      </c>
      <c r="R16" s="234">
        <f>IFERROR(((Data!R16-Data!R15)/Data!R15),0)</f>
        <v>-3.0179591485164664E-2</v>
      </c>
      <c r="S16" s="234">
        <f>IFERROR(((Data!S16-Data!S15)/Data!S15),0)</f>
        <v>0</v>
      </c>
      <c r="T16" s="234">
        <f>IFERROR(((Data!T16-Data!T15)/Data!T15),0)</f>
        <v>-4.5530202452379681E-2</v>
      </c>
      <c r="U16" s="234">
        <f>IFERROR(((Data!U16-Data!U15)/Data!U15),0)</f>
        <v>-0.24948751864521596</v>
      </c>
      <c r="V16" s="235">
        <f>IFERROR(((Data!V16-Data!V15)/Data!V15),0)</f>
        <v>0</v>
      </c>
      <c r="W16" s="236">
        <f>IFERROR(((Data!W16-Data!W15)/Data!W15),0)</f>
        <v>-8.5469446270714459E-3</v>
      </c>
      <c r="X16" s="236">
        <f>IFERROR(((Data!X16-Data!X15)/Data!X15),0)</f>
        <v>-6.2757915502069134E-2</v>
      </c>
      <c r="Y16" s="236">
        <f>IFERROR(((Data!Y16-Data!Y15)/Data!Y15),0)</f>
        <v>4.9661486810266706E-2</v>
      </c>
      <c r="Z16" s="236">
        <f>IFERROR(((Data!Z16-Data!Z15)/Data!Z15),0)</f>
        <v>-1.4492731951102822E-2</v>
      </c>
      <c r="AA16" s="236">
        <f>IFERROR(((Data!AA16-Data!AA15)/Data!AA15),0)</f>
        <v>-8.4507042253521084E-2</v>
      </c>
      <c r="AB16" s="237">
        <f>IFERROR(((Data!AB16-Data!AB15)/Data!AB15),0)</f>
        <v>-7.7319934742363192E-2</v>
      </c>
      <c r="AC16" s="237">
        <f>IFERROR(((Data!AC16-Data!AC15)/Data!AC15),0)</f>
        <v>2.2288425611752625E-3</v>
      </c>
      <c r="AD16" s="237">
        <f>IFERROR(((Data!AD16-Data!AD15)/Data!AD15),0)</f>
        <v>-6.5394806508463466E-2</v>
      </c>
      <c r="AE16" s="237">
        <f>IFERROR(((Data!AE16-Data!AE15)/Data!AE15),0)</f>
        <v>-5.5937209361006837E-2</v>
      </c>
      <c r="AF16" s="237">
        <f>IFERROR(((Data!AF16-Data!AF15)/Data!AF15),0)</f>
        <v>2.3386235322371014E-3</v>
      </c>
      <c r="AG16" s="238">
        <f>IFERROR(((Data!AG16-Data!AG15)/Data!AG15),0)</f>
        <v>2.6829530038364528E-2</v>
      </c>
      <c r="AH16" s="238">
        <f>IFERROR(((Data!AH16-Data!AH15)/Data!AH15),0)</f>
        <v>2.6774993036083359E-2</v>
      </c>
      <c r="AI16" s="238">
        <f>IFERROR(((Data!AI16-Data!AI15)/Data!AI15),0)</f>
        <v>2.4206373831832544E-2</v>
      </c>
      <c r="AJ16" s="238">
        <f>IFERROR(((Data!AJ16-Data!AJ15)/Data!AJ15),0)</f>
        <v>0</v>
      </c>
      <c r="AK16" s="238">
        <f>IFERROR(((Data!AK16-Data!AK15)/Data!AK15),0)</f>
        <v>0</v>
      </c>
      <c r="AL16" s="239">
        <f>IFERROR(((Data!AL16-Data!AL15)/Data!AL15),0)</f>
        <v>4.220441702119701E-2</v>
      </c>
      <c r="AM16" s="239">
        <f>IFERROR(((Data!AM16-Data!AM15)/Data!AM15),0)</f>
        <v>-7.2161718294443344E-2</v>
      </c>
      <c r="AN16" s="239">
        <f>IFERROR(((Data!AN16-Data!AN15)/Data!AN15),0)</f>
        <v>0</v>
      </c>
      <c r="AO16" s="239">
        <f>IFERROR(((Data!AO16-Data!AO15)/Data!AO15),0)</f>
        <v>0.12527812305920472</v>
      </c>
      <c r="AP16" s="239">
        <f>IFERROR(((Data!AP16-Data!AP15)/Data!AP15),0)</f>
        <v>6.5882352941176406E-2</v>
      </c>
      <c r="AQ16" s="240">
        <f>IFERROR(((Data!AQ16-Data!AQ15)/Data!AQ15),0)</f>
        <v>-3.000692746345748E-2</v>
      </c>
      <c r="AR16" s="240">
        <f>IFERROR(((Data!AR16-Data!AR15)/Data!AR15),0)</f>
        <v>-2.8674923465672204E-2</v>
      </c>
      <c r="AS16" s="240">
        <f>IFERROR(((Data!AS16-Data!AS15)/Data!AS15),0)</f>
        <v>-8.449160864266636E-2</v>
      </c>
      <c r="AT16" s="240">
        <f>IFERROR(((Data!AT16-Data!AT15)/Data!AT15),0)</f>
        <v>-4.2440377139780369E-2</v>
      </c>
      <c r="AU16" s="241">
        <f>IFERROR(((Data!AU16-Data!AU15)/Data!AU15),0)</f>
        <v>-9.6989951454681464E-2</v>
      </c>
      <c r="AV16" s="227">
        <f>IFERROR(((Data!AV16-Data!AV15)/Data!AV15),0)</f>
        <v>8.9913884267897121E-2</v>
      </c>
      <c r="AW16" s="227">
        <f>IFERROR(((Data!AW16-Data!AW15)/Data!AW15),0)</f>
        <v>0.10271604823324733</v>
      </c>
      <c r="AX16" s="227">
        <f>IFERROR(((Data!AX16-Data!AX15)/Data!AX15),0)</f>
        <v>1.1503948140333895E-2</v>
      </c>
      <c r="AY16" s="227">
        <f>IFERROR(((Data!AY16-Data!AY15)/Data!AY15),0)</f>
        <v>0</v>
      </c>
      <c r="AZ16" s="227">
        <f>IFERROR(((Data!AZ16-Data!AZ15)/Data!AZ15),0)</f>
        <v>-2.4643820635692631E-2</v>
      </c>
      <c r="BA16" s="228">
        <f>IFERROR(((Data!BA16-Data!BA15)/Data!BA15),0)</f>
        <v>1.9471416300612286E-3</v>
      </c>
      <c r="BB16" s="228">
        <f>IFERROR(((Data!BB16-Data!BB15)/Data!BB15),0)</f>
        <v>7.212147513865276E-2</v>
      </c>
      <c r="BC16" s="228">
        <f>IFERROR(((Data!BC16-Data!BC15)/Data!BC15),0)</f>
        <v>0</v>
      </c>
      <c r="BD16" s="228">
        <f>IFERROR(((Data!BD16-Data!BD15)/Data!BD15),0)</f>
        <v>0</v>
      </c>
      <c r="BE16" s="228">
        <f>IFERROR(((Data!BE16-Data!BE15)/Data!BE15),0)</f>
        <v>0</v>
      </c>
      <c r="BF16" s="229">
        <f>IFERROR(((Data!BF16-Data!BF15)/Data!BF15),0)</f>
        <v>0</v>
      </c>
      <c r="BG16" s="229">
        <f>IFERROR(((Data!BG16-Data!BG15)/Data!BG15),0)</f>
        <v>-5.3842997707993202E-2</v>
      </c>
      <c r="BH16" s="229">
        <f>IFERROR(((Data!BH16-Data!BH15)/Data!BH15),0)</f>
        <v>2.6822825429238192E-2</v>
      </c>
      <c r="BI16" s="229">
        <f>IFERROR(((Data!BI16-Data!BI15)/Data!BI15),0)</f>
        <v>-1.661432280257048E-2</v>
      </c>
      <c r="BJ16" s="229">
        <f>IFERROR(((Data!BJ16-Data!BJ15)/Data!BJ15),0)</f>
        <v>4.1131992967155272E-2</v>
      </c>
    </row>
    <row r="17" spans="2:62">
      <c r="B17" s="214">
        <v>43709</v>
      </c>
      <c r="C17" s="230">
        <f>IFERROR(((Data!C17-Data!C16)/Data!C16),0)</f>
        <v>3.4701211874935203E-2</v>
      </c>
      <c r="D17" s="230">
        <f>IFERROR(((Data!D17-Data!D16)/Data!D16),0)</f>
        <v>6.4266945602450476E-3</v>
      </c>
      <c r="E17" s="231">
        <f>IFERROR(((Data!E17-Data!E16)/Data!E16),0)</f>
        <v>0.11197782194529933</v>
      </c>
      <c r="F17" s="231">
        <f>IFERROR(((Data!F17-Data!F16)/Data!F16),0)</f>
        <v>0.11616986219793454</v>
      </c>
      <c r="G17" s="231">
        <f>IFERROR(((Data!G17-Data!G16)/Data!G16),0)</f>
        <v>0</v>
      </c>
      <c r="H17" s="232">
        <f>IFERROR(((Data!H17-Data!H16)/Data!H16),0)</f>
        <v>0.14880020163417229</v>
      </c>
      <c r="I17" s="232">
        <f>IFERROR(((Data!I17-Data!I16)/Data!I16),0)</f>
        <v>0.10431721287946626</v>
      </c>
      <c r="J17" s="232">
        <f>IFERROR(((Data!J17-Data!J16)/Data!J16),0)</f>
        <v>3.1781866398086125E-2</v>
      </c>
      <c r="K17" s="232">
        <f>IFERROR(((Data!K17-Data!K16)/Data!K16),0)</f>
        <v>-7.692303276516721E-2</v>
      </c>
      <c r="L17" s="232">
        <f>IFERROR(((Data!L17-Data!L16)/Data!L16),0)</f>
        <v>7.954952321268273E-2</v>
      </c>
      <c r="M17" s="233">
        <f>IFERROR(((Data!M17-Data!M16)/Data!M16),0)</f>
        <v>-0.12970599775569924</v>
      </c>
      <c r="N17" s="233">
        <f>IFERROR(((Data!N17-Data!N16)/Data!N16),0)</f>
        <v>5.6598258915741759E-2</v>
      </c>
      <c r="O17" s="233">
        <f>IFERROR(((Data!O17-Data!O16)/Data!O16),0)</f>
        <v>-1.9477349354864358E-2</v>
      </c>
      <c r="P17" s="233">
        <f>IFERROR(((Data!P17-Data!P16)/Data!P16),0)</f>
        <v>0</v>
      </c>
      <c r="Q17" s="233">
        <f>IFERROR(((Data!Q17-Data!Q16)/Data!Q16),0)</f>
        <v>4.3540973595993612E-2</v>
      </c>
      <c r="R17" s="234">
        <f>IFERROR(((Data!R17-Data!R16)/Data!R16),0)</f>
        <v>0.1099189087513736</v>
      </c>
      <c r="S17" s="234">
        <f>IFERROR(((Data!S17-Data!S16)/Data!S16),0)</f>
        <v>0</v>
      </c>
      <c r="T17" s="234">
        <f>IFERROR(((Data!T17-Data!T16)/Data!T16),0)</f>
        <v>-7.463568713026017E-2</v>
      </c>
      <c r="U17" s="234">
        <f>IFERROR(((Data!U17-Data!U16)/Data!U16),0)</f>
        <v>2.3724577107888285E-2</v>
      </c>
      <c r="V17" s="235">
        <f>IFERROR(((Data!V17-Data!V16)/Data!V16),0)</f>
        <v>0</v>
      </c>
      <c r="W17" s="236">
        <f>IFERROR(((Data!W17-Data!W16)/Data!W16),0)</f>
        <v>0.2553878769229363</v>
      </c>
      <c r="X17" s="236">
        <f>IFERROR(((Data!X17-Data!X16)/Data!X16),0)</f>
        <v>0.10132150155035653</v>
      </c>
      <c r="Y17" s="236">
        <f>IFERROR(((Data!Y17-Data!Y16)/Data!Y16),0)</f>
        <v>-4.0860349002008023E-2</v>
      </c>
      <c r="Z17" s="236">
        <f>IFERROR(((Data!Z17-Data!Z16)/Data!Z16),0)</f>
        <v>5.1161895021226457E-2</v>
      </c>
      <c r="AA17" s="236">
        <f>IFERROR(((Data!AA17-Data!AA16)/Data!AA16),0)</f>
        <v>-0.32307692307692304</v>
      </c>
      <c r="AB17" s="237">
        <f>IFERROR(((Data!AB17-Data!AB16)/Data!AB16),0)</f>
        <v>1.6924489903788434E-2</v>
      </c>
      <c r="AC17" s="237">
        <f>IFERROR(((Data!AC17-Data!AC16)/Data!AC16),0)</f>
        <v>7.9069694073219121E-3</v>
      </c>
      <c r="AD17" s="237">
        <f>IFERROR(((Data!AD17-Data!AD16)/Data!AD16),0)</f>
        <v>7.1318367247928463E-2</v>
      </c>
      <c r="AE17" s="237">
        <f>IFERROR(((Data!AE17-Data!AE16)/Data!AE16),0)</f>
        <v>-2.0790075986007836E-2</v>
      </c>
      <c r="AF17" s="237">
        <f>IFERROR(((Data!AF17-Data!AF16)/Data!AF16),0)</f>
        <v>-3.266529302902671E-3</v>
      </c>
      <c r="AG17" s="238">
        <f>IFERROR(((Data!AG17-Data!AG16)/Data!AG16),0)</f>
        <v>-7.0941884092738008E-2</v>
      </c>
      <c r="AH17" s="238">
        <f>IFERROR(((Data!AH17-Data!AH16)/Data!AH16),0)</f>
        <v>-1.1351022797064909E-2</v>
      </c>
      <c r="AI17" s="238">
        <f>IFERROR(((Data!AI17-Data!AI16)/Data!AI16),0)</f>
        <v>7.1174447520609613E-2</v>
      </c>
      <c r="AJ17" s="238">
        <f>IFERROR(((Data!AJ17-Data!AJ16)/Data!AJ16),0)</f>
        <v>0</v>
      </c>
      <c r="AK17" s="238">
        <f>IFERROR(((Data!AK17-Data!AK16)/Data!AK16),0)</f>
        <v>0</v>
      </c>
      <c r="AL17" s="239">
        <f>IFERROR(((Data!AL17-Data!AL16)/Data!AL16),0)</f>
        <v>-0.28839459374065213</v>
      </c>
      <c r="AM17" s="239">
        <f>IFERROR(((Data!AM17-Data!AM16)/Data!AM16),0)</f>
        <v>8.4232818275933249E-2</v>
      </c>
      <c r="AN17" s="239">
        <f>IFERROR(((Data!AN17-Data!AN16)/Data!AN16),0)</f>
        <v>0</v>
      </c>
      <c r="AO17" s="239">
        <f>IFERROR(((Data!AO17-Data!AO16)/Data!AO16),0)</f>
        <v>2.4044795590055491E-2</v>
      </c>
      <c r="AP17" s="239">
        <f>IFERROR(((Data!AP17-Data!AP16)/Data!AP16),0)</f>
        <v>-5.9602693156732847E-2</v>
      </c>
      <c r="AQ17" s="240">
        <f>IFERROR(((Data!AQ17-Data!AQ16)/Data!AQ16),0)</f>
        <v>0.14964019072972523</v>
      </c>
      <c r="AR17" s="240">
        <f>IFERROR(((Data!AR17-Data!AR16)/Data!AR16),0)</f>
        <v>0.14949979614179515</v>
      </c>
      <c r="AS17" s="240">
        <f>IFERROR(((Data!AS17-Data!AS16)/Data!AS16),0)</f>
        <v>7.7618558629439255E-2</v>
      </c>
      <c r="AT17" s="240">
        <f>IFERROR(((Data!AT17-Data!AT16)/Data!AT16),0)</f>
        <v>9.6952912615771991E-2</v>
      </c>
      <c r="AU17" s="241">
        <f>IFERROR(((Data!AU17-Data!AU16)/Data!AU16),0)</f>
        <v>5.6481462962962956E-2</v>
      </c>
      <c r="AV17" s="227">
        <f>IFERROR(((Data!AV17-Data!AV16)/Data!AV16),0)</f>
        <v>5.3164299498337807E-2</v>
      </c>
      <c r="AW17" s="227">
        <f>IFERROR(((Data!AW17-Data!AW16)/Data!AW16),0)</f>
        <v>9.5444316693678921E-2</v>
      </c>
      <c r="AX17" s="227">
        <f>IFERROR(((Data!AX17-Data!AX16)/Data!AX16),0)</f>
        <v>-2.6675878157433129E-2</v>
      </c>
      <c r="AY17" s="227">
        <f>IFERROR(((Data!AY17-Data!AY16)/Data!AY16),0)</f>
        <v>0</v>
      </c>
      <c r="AZ17" s="227">
        <f>IFERROR(((Data!AZ17-Data!AZ16)/Data!AZ16),0)</f>
        <v>-3.0201414614444498E-2</v>
      </c>
      <c r="BA17" s="228">
        <f>IFERROR(((Data!BA17-Data!BA16)/Data!BA16),0)</f>
        <v>7.1086917106415057E-2</v>
      </c>
      <c r="BB17" s="228">
        <f>IFERROR(((Data!BB17-Data!BB16)/Data!BB16),0)</f>
        <v>0.15752201111055963</v>
      </c>
      <c r="BC17" s="228">
        <f>IFERROR(((Data!BC17-Data!BC16)/Data!BC16),0)</f>
        <v>0</v>
      </c>
      <c r="BD17" s="228">
        <f>IFERROR(((Data!BD17-Data!BD16)/Data!BD16),0)</f>
        <v>0</v>
      </c>
      <c r="BE17" s="228">
        <f>IFERROR(((Data!BE17-Data!BE16)/Data!BE16),0)</f>
        <v>0</v>
      </c>
      <c r="BF17" s="229">
        <f>IFERROR(((Data!BF17-Data!BF16)/Data!BF16),0)</f>
        <v>0</v>
      </c>
      <c r="BG17" s="229">
        <f>IFERROR(((Data!BG17-Data!BG16)/Data!BG16),0)</f>
        <v>7.2354469916984757E-2</v>
      </c>
      <c r="BH17" s="229">
        <f>IFERROR(((Data!BH17-Data!BH16)/Data!BH16),0)</f>
        <v>6.9456788819381998E-2</v>
      </c>
      <c r="BI17" s="229">
        <f>IFERROR(((Data!BI17-Data!BI16)/Data!BI16),0)</f>
        <v>0.12878554673723458</v>
      </c>
      <c r="BJ17" s="229">
        <f>IFERROR(((Data!BJ17-Data!BJ16)/Data!BJ16),0)</f>
        <v>0.10064611445031639</v>
      </c>
    </row>
    <row r="18" spans="2:62">
      <c r="B18" s="214">
        <v>43739</v>
      </c>
      <c r="C18" s="230">
        <f>IFERROR(((Data!C18-Data!C17)/Data!C17),0)</f>
        <v>0.10837981624278741</v>
      </c>
      <c r="D18" s="230">
        <f>IFERROR(((Data!D18-Data!D17)/Data!D17),0)</f>
        <v>0.51298436628238053</v>
      </c>
      <c r="E18" s="231">
        <f>IFERROR(((Data!E18-Data!E17)/Data!E17),0)</f>
        <v>0.12561429489953929</v>
      </c>
      <c r="F18" s="231">
        <f>IFERROR(((Data!F18-Data!F17)/Data!F17),0)</f>
        <v>-8.2310688547985109E-3</v>
      </c>
      <c r="G18" s="231">
        <f>IFERROR(((Data!G18-Data!G17)/Data!G17),0)</f>
        <v>-1.303362284058881E-2</v>
      </c>
      <c r="H18" s="232">
        <f>IFERROR(((Data!H18-Data!H17)/Data!H17),0)</f>
        <v>-4.2537058624245824E-2</v>
      </c>
      <c r="I18" s="232">
        <f>IFERROR(((Data!I18-Data!I17)/Data!I17),0)</f>
        <v>2.3626779829671357E-3</v>
      </c>
      <c r="J18" s="232">
        <f>IFERROR(((Data!J18-Data!J17)/Data!J17),0)</f>
        <v>7.4963498016440117E-2</v>
      </c>
      <c r="K18" s="232">
        <f>IFERROR(((Data!K18-Data!K17)/Data!K17),0)</f>
        <v>0.11069653953491196</v>
      </c>
      <c r="L18" s="232">
        <f>IFERROR(((Data!L18-Data!L17)/Data!L17),0)</f>
        <v>-3.0871260269567824E-2</v>
      </c>
      <c r="M18" s="233">
        <f>IFERROR(((Data!M18-Data!M17)/Data!M17),0)</f>
        <v>0.11285135119156377</v>
      </c>
      <c r="N18" s="233">
        <f>IFERROR(((Data!N18-Data!N17)/Data!N17),0)</f>
        <v>2.995641739813128E-2</v>
      </c>
      <c r="O18" s="233">
        <f>IFERROR(((Data!O18-Data!O17)/Data!O17),0)</f>
        <v>-0.20229190811438372</v>
      </c>
      <c r="P18" s="233">
        <f>IFERROR(((Data!P18-Data!P17)/Data!P17),0)</f>
        <v>0</v>
      </c>
      <c r="Q18" s="233">
        <f>IFERROR(((Data!Q18-Data!Q17)/Data!Q17),0)</f>
        <v>4.2276921844087684E-2</v>
      </c>
      <c r="R18" s="234">
        <f>IFERROR(((Data!R18-Data!R17)/Data!R17),0)</f>
        <v>-8.1380517710694089E-4</v>
      </c>
      <c r="S18" s="234">
        <f>IFERROR(((Data!S18-Data!S17)/Data!S17),0)</f>
        <v>0</v>
      </c>
      <c r="T18" s="234">
        <f>IFERROR(((Data!T18-Data!T17)/Data!T17),0)</f>
        <v>0.17802058710799809</v>
      </c>
      <c r="U18" s="234">
        <f>IFERROR(((Data!U18-Data!U17)/Data!U17),0)</f>
        <v>4.9954586428429551E-2</v>
      </c>
      <c r="V18" s="235">
        <f>IFERROR(((Data!V18-Data!V17)/Data!V17),0)</f>
        <v>0</v>
      </c>
      <c r="W18" s="236">
        <f>IFERROR(((Data!W18-Data!W17)/Data!W17),0)</f>
        <v>0.53991411158798275</v>
      </c>
      <c r="X18" s="236">
        <f>IFERROR(((Data!X18-Data!X17)/Data!X17),0)</f>
        <v>-5.1200078310467224E-2</v>
      </c>
      <c r="Y18" s="236">
        <f>IFERROR(((Data!Y18-Data!Y17)/Data!Y17),0)</f>
        <v>8.7372667784302582E-2</v>
      </c>
      <c r="Z18" s="236">
        <f>IFERROR(((Data!Z18-Data!Z17)/Data!Z17),0)</f>
        <v>4.8833894223235558E-2</v>
      </c>
      <c r="AA18" s="236">
        <f>IFERROR(((Data!AA18-Data!AA17)/Data!AA17),0)</f>
        <v>0.5227272727272726</v>
      </c>
      <c r="AB18" s="237">
        <f>IFERROR(((Data!AB18-Data!AB17)/Data!AB17),0)</f>
        <v>5.3731887379987242E-2</v>
      </c>
      <c r="AC18" s="237">
        <f>IFERROR(((Data!AC18-Data!AC17)/Data!AC17),0)</f>
        <v>-8.0901623868214253E-3</v>
      </c>
      <c r="AD18" s="237">
        <f>IFERROR(((Data!AD18-Data!AD17)/Data!AD17),0)</f>
        <v>-4.5620520889070315E-2</v>
      </c>
      <c r="AE18" s="237">
        <f>IFERROR(((Data!AE18-Data!AE17)/Data!AE17),0)</f>
        <v>2.3354676397062478E-2</v>
      </c>
      <c r="AF18" s="237">
        <f>IFERROR(((Data!AF18-Data!AF17)/Data!AF17),0)</f>
        <v>-0.12615926121612275</v>
      </c>
      <c r="AG18" s="238">
        <f>IFERROR(((Data!AG18-Data!AG17)/Data!AG17),0)</f>
        <v>8.1146102259042993E-2</v>
      </c>
      <c r="AH18" s="238">
        <f>IFERROR(((Data!AH18-Data!AH17)/Data!AH17),0)</f>
        <v>-0.14901022687984541</v>
      </c>
      <c r="AI18" s="238">
        <f>IFERROR(((Data!AI18-Data!AI17)/Data!AI17),0)</f>
        <v>0.20922853331180438</v>
      </c>
      <c r="AJ18" s="238">
        <f>IFERROR(((Data!AJ18-Data!AJ17)/Data!AJ17),0)</f>
        <v>0</v>
      </c>
      <c r="AK18" s="238">
        <f>IFERROR(((Data!AK18-Data!AK17)/Data!AK17),0)</f>
        <v>0</v>
      </c>
      <c r="AL18" s="239">
        <f>IFERROR(((Data!AL18-Data!AL17)/Data!AL17),0)</f>
        <v>-1.8455642865781389E-2</v>
      </c>
      <c r="AM18" s="239">
        <f>IFERROR(((Data!AM18-Data!AM17)/Data!AM17),0)</f>
        <v>0.11561255774773997</v>
      </c>
      <c r="AN18" s="239">
        <f>IFERROR(((Data!AN18-Data!AN17)/Data!AN17),0)</f>
        <v>0</v>
      </c>
      <c r="AO18" s="239">
        <f>IFERROR(((Data!AO18-Data!AO17)/Data!AO17),0)</f>
        <v>4.4114397803286291E-2</v>
      </c>
      <c r="AP18" s="239">
        <f>IFERROR(((Data!AP18-Data!AP17)/Data!AP17),0)</f>
        <v>0.11032869062576008</v>
      </c>
      <c r="AQ18" s="240">
        <f>IFERROR(((Data!AQ18-Data!AQ17)/Data!AQ17),0)</f>
        <v>-4.8810977512587853E-2</v>
      </c>
      <c r="AR18" s="240">
        <f>IFERROR(((Data!AR18-Data!AR17)/Data!AR17),0)</f>
        <v>-8.3675113419386341E-2</v>
      </c>
      <c r="AS18" s="240">
        <f>IFERROR(((Data!AS18-Data!AS17)/Data!AS17),0)</f>
        <v>3.0552457865079135E-2</v>
      </c>
      <c r="AT18" s="240">
        <f>IFERROR(((Data!AT18-Data!AT17)/Data!AT17),0)</f>
        <v>-8.9435969296816936E-2</v>
      </c>
      <c r="AU18" s="241">
        <f>IFERROR(((Data!AU18-Data!AU17)/Data!AU17),0)</f>
        <v>7.0990343049786908E-2</v>
      </c>
      <c r="AV18" s="227">
        <f>IFERROR(((Data!AV18-Data!AV17)/Data!AV17),0)</f>
        <v>9.7580455303551514E-2</v>
      </c>
      <c r="AW18" s="227">
        <f>IFERROR(((Data!AW18-Data!AW17)/Data!AW17),0)</f>
        <v>7.6124922986992138E-2</v>
      </c>
      <c r="AX18" s="227">
        <f>IFERROR(((Data!AX18-Data!AX17)/Data!AX17),0)</f>
        <v>-6.3289975003042211E-3</v>
      </c>
      <c r="AY18" s="227">
        <f>IFERROR(((Data!AY18-Data!AY17)/Data!AY17),0)</f>
        <v>0</v>
      </c>
      <c r="AZ18" s="227">
        <f>IFERROR(((Data!AZ18-Data!AZ17)/Data!AZ17),0)</f>
        <v>2.3407406350125011E-2</v>
      </c>
      <c r="BA18" s="228">
        <f>IFERROR(((Data!BA18-Data!BA17)/Data!BA17),0)</f>
        <v>9.0950874025081258E-2</v>
      </c>
      <c r="BB18" s="228">
        <f>IFERROR(((Data!BB18-Data!BB17)/Data!BB17),0)</f>
        <v>-2.0742620865089503E-2</v>
      </c>
      <c r="BC18" s="228">
        <f>IFERROR(((Data!BC18-Data!BC17)/Data!BC17),0)</f>
        <v>0</v>
      </c>
      <c r="BD18" s="228">
        <f>IFERROR(((Data!BD18-Data!BD17)/Data!BD17),0)</f>
        <v>0</v>
      </c>
      <c r="BE18" s="228">
        <f>IFERROR(((Data!BE18-Data!BE17)/Data!BE17),0)</f>
        <v>0</v>
      </c>
      <c r="BF18" s="229">
        <f>IFERROR(((Data!BF18-Data!BF17)/Data!BF17),0)</f>
        <v>0</v>
      </c>
      <c r="BG18" s="229">
        <f>IFERROR(((Data!BG18-Data!BG17)/Data!BG17),0)</f>
        <v>-1.2418180375811336E-2</v>
      </c>
      <c r="BH18" s="229">
        <f>IFERROR(((Data!BH18-Data!BH17)/Data!BH17),0)</f>
        <v>7.2405734024634544E-2</v>
      </c>
      <c r="BI18" s="229">
        <f>IFERROR(((Data!BI18-Data!BI17)/Data!BI17),0)</f>
        <v>-5.1398104992727345E-2</v>
      </c>
      <c r="BJ18" s="229">
        <f>IFERROR(((Data!BJ18-Data!BJ17)/Data!BJ17),0)</f>
        <v>-8.0736090892478199E-2</v>
      </c>
    </row>
    <row r="19" spans="2:62">
      <c r="B19" s="214">
        <v>43770</v>
      </c>
      <c r="C19" s="230">
        <f>IFERROR(((Data!C19-Data!C18)/Data!C18),0)</f>
        <v>-0.12515460180350246</v>
      </c>
      <c r="D19" s="230">
        <f>IFERROR(((Data!D19-Data!D18)/Data!D18),0)</f>
        <v>-9.1164919787245821E-2</v>
      </c>
      <c r="E19" s="231">
        <f>IFERROR(((Data!E19-Data!E18)/Data!E18),0)</f>
        <v>-4.1478149567328426E-2</v>
      </c>
      <c r="F19" s="231">
        <f>IFERROR(((Data!F19-Data!F18)/Data!F18),0)</f>
        <v>3.9653115645142338E-2</v>
      </c>
      <c r="G19" s="231">
        <f>IFERROR(((Data!G19-Data!G18)/Data!G18),0)</f>
        <v>-4.477341524730015E-2</v>
      </c>
      <c r="H19" s="232">
        <f>IFERROR(((Data!H19-Data!H18)/Data!H18),0)</f>
        <v>2.5849523036904441E-2</v>
      </c>
      <c r="I19" s="232">
        <f>IFERROR(((Data!I19-Data!I18)/Data!I18),0)</f>
        <v>3.6249808153269406E-2</v>
      </c>
      <c r="J19" s="232">
        <f>IFERROR(((Data!J19-Data!J18)/Data!J18),0)</f>
        <v>3.6666602496077962E-3</v>
      </c>
      <c r="K19" s="232">
        <f>IFERROR(((Data!K19-Data!K18)/Data!K18),0)</f>
        <v>4.927202466866628E-2</v>
      </c>
      <c r="L19" s="232">
        <f>IFERROR(((Data!L19-Data!L18)/Data!L18),0)</f>
        <v>6.0877967156837604E-2</v>
      </c>
      <c r="M19" s="233">
        <f>IFERROR(((Data!M19-Data!M18)/Data!M18),0)</f>
        <v>3.7955820057071758E-2</v>
      </c>
      <c r="N19" s="233">
        <f>IFERROR(((Data!N19-Data!N18)/Data!N18),0)</f>
        <v>4.6942491966937575E-2</v>
      </c>
      <c r="O19" s="233">
        <f>IFERROR(((Data!O19-Data!O18)/Data!O18),0)</f>
        <v>-4.2460495293393845E-2</v>
      </c>
      <c r="P19" s="233">
        <f>IFERROR(((Data!P19-Data!P18)/Data!P18),0)</f>
        <v>0</v>
      </c>
      <c r="Q19" s="233">
        <f>IFERROR(((Data!Q19-Data!Q18)/Data!Q18),0)</f>
        <v>-0.12937442994702875</v>
      </c>
      <c r="R19" s="234">
        <f>IFERROR(((Data!R19-Data!R18)/Data!R18),0)</f>
        <v>-9.6738107512137808E-2</v>
      </c>
      <c r="S19" s="234">
        <f>IFERROR(((Data!S19-Data!S18)/Data!S18),0)</f>
        <v>0</v>
      </c>
      <c r="T19" s="234">
        <f>IFERROR(((Data!T19-Data!T18)/Data!T18),0)</f>
        <v>0.19858142814464558</v>
      </c>
      <c r="U19" s="234">
        <f>IFERROR(((Data!U19-Data!U18)/Data!U18),0)</f>
        <v>2.8546745234873883E-2</v>
      </c>
      <c r="V19" s="235">
        <f>IFERROR(((Data!V19-Data!V18)/Data!V18),0)</f>
        <v>0</v>
      </c>
      <c r="W19" s="236">
        <f>IFERROR(((Data!W19-Data!W18)/Data!W18),0)</f>
        <v>0.5284282116531176</v>
      </c>
      <c r="X19" s="236">
        <f>IFERROR(((Data!X19-Data!X18)/Data!X18),0)</f>
        <v>-3.2883589325006811E-2</v>
      </c>
      <c r="Y19" s="236">
        <f>IFERROR(((Data!Y19-Data!Y18)/Data!Y18),0)</f>
        <v>1.2765906982193306E-2</v>
      </c>
      <c r="Z19" s="236">
        <f>IFERROR(((Data!Z19-Data!Z18)/Data!Z18),0)</f>
        <v>-5.4204250726140588E-2</v>
      </c>
      <c r="AA19" s="236">
        <f>IFERROR(((Data!AA19-Data!AA18)/Data!AA18),0)</f>
        <v>8.9552238805970089E-2</v>
      </c>
      <c r="AB19" s="237">
        <f>IFERROR(((Data!AB19-Data!AB18)/Data!AB18),0)</f>
        <v>5.4941454615826488E-2</v>
      </c>
      <c r="AC19" s="237">
        <f>IFERROR(((Data!AC19-Data!AC18)/Data!AC18),0)</f>
        <v>1.1616367178212109E-2</v>
      </c>
      <c r="AD19" s="237">
        <f>IFERROR(((Data!AD19-Data!AD18)/Data!AD18),0)</f>
        <v>2.7973491459077703E-2</v>
      </c>
      <c r="AE19" s="237">
        <f>IFERROR(((Data!AE19-Data!AE18)/Data!AE18),0)</f>
        <v>-4.4605864868629504E-2</v>
      </c>
      <c r="AF19" s="237">
        <f>IFERROR(((Data!AF19-Data!AF18)/Data!AF18),0)</f>
        <v>-4.3811573296645444E-2</v>
      </c>
      <c r="AG19" s="238">
        <f>IFERROR(((Data!AG19-Data!AG18)/Data!AG18),0)</f>
        <v>-7.7309597363412849E-2</v>
      </c>
      <c r="AH19" s="238">
        <f>IFERROR(((Data!AH19-Data!AH18)/Data!AH18),0)</f>
        <v>3.9292625416628695E-2</v>
      </c>
      <c r="AI19" s="238">
        <f>IFERROR(((Data!AI19-Data!AI18)/Data!AI18),0)</f>
        <v>-1.4652895929932465E-2</v>
      </c>
      <c r="AJ19" s="238">
        <f>IFERROR(((Data!AJ19-Data!AJ18)/Data!AJ18),0)</f>
        <v>0</v>
      </c>
      <c r="AK19" s="238">
        <f>IFERROR(((Data!AK19-Data!AK18)/Data!AK18),0)</f>
        <v>0</v>
      </c>
      <c r="AL19" s="239">
        <f>IFERROR(((Data!AL19-Data!AL18)/Data!AL18),0)</f>
        <v>0.12452025857098704</v>
      </c>
      <c r="AM19" s="239">
        <f>IFERROR(((Data!AM19-Data!AM18)/Data!AM18),0)</f>
        <v>-8.4099812001206184E-2</v>
      </c>
      <c r="AN19" s="239">
        <f>IFERROR(((Data!AN19-Data!AN18)/Data!AN18),0)</f>
        <v>0</v>
      </c>
      <c r="AO19" s="239">
        <f>IFERROR(((Data!AO19-Data!AO18)/Data!AO18),0)</f>
        <v>-6.6626920931603814E-2</v>
      </c>
      <c r="AP19" s="239">
        <f>IFERROR(((Data!AP19-Data!AP18)/Data!AP18),0)</f>
        <v>0.22832976744186054</v>
      </c>
      <c r="AQ19" s="240">
        <f>IFERROR(((Data!AQ19-Data!AQ18)/Data!AQ18),0)</f>
        <v>-1.7105312037971172E-2</v>
      </c>
      <c r="AR19" s="240">
        <f>IFERROR(((Data!AR19-Data!AR18)/Data!AR18),0)</f>
        <v>-4.1778650036059573E-2</v>
      </c>
      <c r="AS19" s="240">
        <f>IFERROR(((Data!AS19-Data!AS18)/Data!AS18),0)</f>
        <v>9.0476227342549967E-2</v>
      </c>
      <c r="AT19" s="240">
        <f>IFERROR(((Data!AT19-Data!AT18)/Data!AT18),0)</f>
        <v>-1.0862017288000488E-2</v>
      </c>
      <c r="AU19" s="241">
        <f>IFERROR(((Data!AU19-Data!AU18)/Data!AU18),0)</f>
        <v>3.191491102831133E-2</v>
      </c>
      <c r="AV19" s="227">
        <f>IFERROR(((Data!AV19-Data!AV18)/Data!AV18),0)</f>
        <v>-5.9517276248129088E-2</v>
      </c>
      <c r="AW19" s="227">
        <f>IFERROR(((Data!AW19-Data!AW18)/Data!AW18),0)</f>
        <v>-3.2986365686508978E-2</v>
      </c>
      <c r="AX19" s="227">
        <f>IFERROR(((Data!AX19-Data!AX18)/Data!AX18),0)</f>
        <v>0.1661692282997326</v>
      </c>
      <c r="AY19" s="227">
        <f>IFERROR(((Data!AY19-Data!AY18)/Data!AY18),0)</f>
        <v>0</v>
      </c>
      <c r="AZ19" s="227">
        <f>IFERROR(((Data!AZ19-Data!AZ18)/Data!AZ18),0)</f>
        <v>-2.1081935867227251E-2</v>
      </c>
      <c r="BA19" s="228">
        <f>IFERROR(((Data!BA19-Data!BA18)/Data!BA18),0)</f>
        <v>-0.12738039822118316</v>
      </c>
      <c r="BB19" s="228">
        <f>IFERROR(((Data!BB19-Data!BB18)/Data!BB18),0)</f>
        <v>-1.1179543916032967E-2</v>
      </c>
      <c r="BC19" s="228">
        <f>IFERROR(((Data!BC19-Data!BC18)/Data!BC18),0)</f>
        <v>0</v>
      </c>
      <c r="BD19" s="228">
        <f>IFERROR(((Data!BD19-Data!BD18)/Data!BD18),0)</f>
        <v>0</v>
      </c>
      <c r="BE19" s="228">
        <f>IFERROR(((Data!BE19-Data!BE18)/Data!BE18),0)</f>
        <v>0</v>
      </c>
      <c r="BF19" s="229">
        <f>IFERROR(((Data!BF19-Data!BF18)/Data!BF18),0)</f>
        <v>0</v>
      </c>
      <c r="BG19" s="229">
        <f>IFERROR(((Data!BG19-Data!BG18)/Data!BG18),0)</f>
        <v>-3.889686384437252E-2</v>
      </c>
      <c r="BH19" s="229">
        <f>IFERROR(((Data!BH19-Data!BH18)/Data!BH18),0)</f>
        <v>3.407161427974803E-2</v>
      </c>
      <c r="BI19" s="229">
        <f>IFERROR(((Data!BI19-Data!BI18)/Data!BI18),0)</f>
        <v>0.10270910667251955</v>
      </c>
      <c r="BJ19" s="229">
        <f>IFERROR(((Data!BJ19-Data!BJ18)/Data!BJ18),0)</f>
        <v>-0.23769153113428668</v>
      </c>
    </row>
    <row r="20" spans="2:62">
      <c r="B20" s="214">
        <v>43800</v>
      </c>
      <c r="C20" s="230">
        <f>IFERROR(((Data!C20-Data!C19)/Data!C19),0)</f>
        <v>1.8847209653834996E-3</v>
      </c>
      <c r="D20" s="230">
        <f>IFERROR(((Data!D20-Data!D19)/Data!D19),0)</f>
        <v>0.14643965462598457</v>
      </c>
      <c r="E20" s="231">
        <f>IFERROR(((Data!E20-Data!E19)/Data!E19),0)</f>
        <v>1.6940795321111857E-2</v>
      </c>
      <c r="F20" s="231">
        <f>IFERROR(((Data!F20-Data!F19)/Data!F19),0)</f>
        <v>7.16693482671137E-2</v>
      </c>
      <c r="G20" s="231">
        <f>IFERROR(((Data!G20-Data!G19)/Data!G19),0)</f>
        <v>3.4379219918203377E-2</v>
      </c>
      <c r="H20" s="232">
        <f>IFERROR(((Data!H20-Data!H19)/Data!H19),0)</f>
        <v>4.2812002195578951E-2</v>
      </c>
      <c r="I20" s="232">
        <f>IFERROR(((Data!I20-Data!I19)/Data!I19),0)</f>
        <v>-2.2354926548800781E-3</v>
      </c>
      <c r="J20" s="232">
        <f>IFERROR(((Data!J20-Data!J19)/Data!J19),0)</f>
        <v>2.0364068586299154E-2</v>
      </c>
      <c r="K20" s="232">
        <f>IFERROR(((Data!K20-Data!K19)/Data!K19),0)</f>
        <v>-3.6285935380402763E-2</v>
      </c>
      <c r="L20" s="232">
        <f>IFERROR(((Data!L20-Data!L19)/Data!L19),0)</f>
        <v>4.0702721565416884E-2</v>
      </c>
      <c r="M20" s="233">
        <f>IFERROR(((Data!M20-Data!M19)/Data!M19),0)</f>
        <v>-3.8457322745900864E-2</v>
      </c>
      <c r="N20" s="233">
        <f>IFERROR(((Data!N20-Data!N19)/Data!N19),0)</f>
        <v>-1.3487344341670551E-2</v>
      </c>
      <c r="O20" s="233">
        <f>IFERROR(((Data!O20-Data!O19)/Data!O19),0)</f>
        <v>1.830964604428742E-2</v>
      </c>
      <c r="P20" s="233">
        <f>IFERROR(((Data!P20-Data!P19)/Data!P19),0)</f>
        <v>0</v>
      </c>
      <c r="Q20" s="233">
        <f>IFERROR(((Data!Q20-Data!Q19)/Data!Q19),0)</f>
        <v>-2.5883081067642724E-2</v>
      </c>
      <c r="R20" s="234">
        <f>IFERROR(((Data!R20-Data!R19)/Data!R19),0)</f>
        <v>-2.4313418969258808E-2</v>
      </c>
      <c r="S20" s="234">
        <f>IFERROR(((Data!S20-Data!S19)/Data!S19),0)</f>
        <v>0</v>
      </c>
      <c r="T20" s="234">
        <f>IFERROR(((Data!T20-Data!T19)/Data!T19),0)</f>
        <v>5.097859191075671E-2</v>
      </c>
      <c r="U20" s="234">
        <f>IFERROR(((Data!U20-Data!U19)/Data!U19),0)</f>
        <v>-5.8032002919739333E-2</v>
      </c>
      <c r="V20" s="235">
        <f>IFERROR(((Data!V20-Data!V19)/Data!V19),0)</f>
        <v>0</v>
      </c>
      <c r="W20" s="236">
        <f>IFERROR(((Data!W20-Data!W19)/Data!W19),0)</f>
        <v>0.21407724081354151</v>
      </c>
      <c r="X20" s="236">
        <f>IFERROR(((Data!X20-Data!X19)/Data!X19),0)</f>
        <v>-1.4821269022643581E-2</v>
      </c>
      <c r="Y20" s="236">
        <f>IFERROR(((Data!Y20-Data!Y19)/Data!Y19),0)</f>
        <v>6.3026014279217489E-3</v>
      </c>
      <c r="Z20" s="236">
        <f>IFERROR(((Data!Z20-Data!Z19)/Data!Z19),0)</f>
        <v>5.804556907829625E-2</v>
      </c>
      <c r="AA20" s="236">
        <f>IFERROR(((Data!AA20-Data!AA19)/Data!AA19),0)</f>
        <v>-4.1095890410958881E-2</v>
      </c>
      <c r="AB20" s="237">
        <f>IFERROR(((Data!AB20-Data!AB19)/Data!AB19),0)</f>
        <v>-3.0128702387638789E-2</v>
      </c>
      <c r="AC20" s="237">
        <f>IFERROR(((Data!AC20-Data!AC19)/Data!AC19),0)</f>
        <v>-4.1045701437763406E-2</v>
      </c>
      <c r="AD20" s="237">
        <f>IFERROR(((Data!AD20-Data!AD19)/Data!AD19),0)</f>
        <v>-5.002221988308643E-2</v>
      </c>
      <c r="AE20" s="237">
        <f>IFERROR(((Data!AE20-Data!AE19)/Data!AE19),0)</f>
        <v>-3.8002176561028979E-2</v>
      </c>
      <c r="AF20" s="237">
        <f>IFERROR(((Data!AF20-Data!AF19)/Data!AF19),0)</f>
        <v>-1.4318431914884475E-2</v>
      </c>
      <c r="AG20" s="238">
        <f>IFERROR(((Data!AG20-Data!AG19)/Data!AG19),0)</f>
        <v>5.2818688773254505E-2</v>
      </c>
      <c r="AH20" s="238">
        <f>IFERROR(((Data!AH20-Data!AH19)/Data!AH19),0)</f>
        <v>4.9975108772902413E-2</v>
      </c>
      <c r="AI20" s="238">
        <f>IFERROR(((Data!AI20-Data!AI19)/Data!AI19),0)</f>
        <v>2.3545408386626748E-2</v>
      </c>
      <c r="AJ20" s="238">
        <f>IFERROR(((Data!AJ20-Data!AJ19)/Data!AJ19),0)</f>
        <v>0</v>
      </c>
      <c r="AK20" s="238">
        <f>IFERROR(((Data!AK20-Data!AK19)/Data!AK19),0)</f>
        <v>0</v>
      </c>
      <c r="AL20" s="239">
        <f>IFERROR(((Data!AL20-Data!AL19)/Data!AL19),0)</f>
        <v>-2.900438888314844E-3</v>
      </c>
      <c r="AM20" s="239">
        <f>IFERROR(((Data!AM20-Data!AM19)/Data!AM19),0)</f>
        <v>-8.0686530694562858E-2</v>
      </c>
      <c r="AN20" s="239">
        <f>IFERROR(((Data!AN20-Data!AN19)/Data!AN19),0)</f>
        <v>0</v>
      </c>
      <c r="AO20" s="239">
        <f>IFERROR(((Data!AO20-Data!AO19)/Data!AO19),0)</f>
        <v>-0.14074746231675231</v>
      </c>
      <c r="AP20" s="239">
        <f>IFERROR(((Data!AP20-Data!AP19)/Data!AP19),0)</f>
        <v>-0.16867467017812982</v>
      </c>
      <c r="AQ20" s="240">
        <f>IFERROR(((Data!AQ20-Data!AQ19)/Data!AQ19),0)</f>
        <v>-2.9450997539685591E-2</v>
      </c>
      <c r="AR20" s="240">
        <f>IFERROR(((Data!AR20-Data!AR19)/Data!AR19),0)</f>
        <v>-0.11149181278137797</v>
      </c>
      <c r="AS20" s="240">
        <f>IFERROR(((Data!AS20-Data!AS19)/Data!AS19),0)</f>
        <v>-1.6903788694617651E-2</v>
      </c>
      <c r="AT20" s="240">
        <f>IFERROR(((Data!AT20-Data!AT19)/Data!AT19),0)</f>
        <v>6.2149539732727514E-2</v>
      </c>
      <c r="AU20" s="241">
        <f>IFERROR(((Data!AU20-Data!AU19)/Data!AU19),0)</f>
        <v>1.5067422919388156E-2</v>
      </c>
      <c r="AV20" s="227">
        <f>IFERROR(((Data!AV20-Data!AV19)/Data!AV19),0)</f>
        <v>-5.5176041814491712E-2</v>
      </c>
      <c r="AW20" s="227">
        <f>IFERROR(((Data!AW20-Data!AW19)/Data!AW19),0)</f>
        <v>2.2927862861598969E-2</v>
      </c>
      <c r="AX20" s="227">
        <f>IFERROR(((Data!AX20-Data!AX19)/Data!AX19),0)</f>
        <v>-2.0187859006997405E-2</v>
      </c>
      <c r="AY20" s="227">
        <f>IFERROR(((Data!AY20-Data!AY19)/Data!AY19),0)</f>
        <v>0</v>
      </c>
      <c r="AZ20" s="227">
        <f>IFERROR(((Data!AZ20-Data!AZ19)/Data!AZ19),0)</f>
        <v>-4.0633971419627081E-2</v>
      </c>
      <c r="BA20" s="228">
        <f>IFERROR(((Data!BA20-Data!BA19)/Data!BA19),0)</f>
        <v>-2.9582944686403646E-2</v>
      </c>
      <c r="BB20" s="228">
        <f>IFERROR(((Data!BB20-Data!BB19)/Data!BB19),0)</f>
        <v>-1.6336738599127563E-2</v>
      </c>
      <c r="BC20" s="228">
        <f>IFERROR(((Data!BC20-Data!BC19)/Data!BC19),0)</f>
        <v>0</v>
      </c>
      <c r="BD20" s="228">
        <f>IFERROR(((Data!BD20-Data!BD19)/Data!BD19),0)</f>
        <v>0</v>
      </c>
      <c r="BE20" s="228">
        <f>IFERROR(((Data!BE20-Data!BE19)/Data!BE19),0)</f>
        <v>0</v>
      </c>
      <c r="BF20" s="229">
        <f>IFERROR(((Data!BF20-Data!BF19)/Data!BF19),0)</f>
        <v>0</v>
      </c>
      <c r="BG20" s="229">
        <f>IFERROR(((Data!BG20-Data!BG19)/Data!BG19),0)</f>
        <v>1.9624840783414258E-2</v>
      </c>
      <c r="BH20" s="229">
        <f>IFERROR(((Data!BH20-Data!BH19)/Data!BH19),0)</f>
        <v>-4.131741642620642E-2</v>
      </c>
      <c r="BI20" s="229">
        <f>IFERROR(((Data!BI20-Data!BI19)/Data!BI19),0)</f>
        <v>-9.1792434682749433E-2</v>
      </c>
      <c r="BJ20" s="229">
        <f>IFERROR(((Data!BJ20-Data!BJ19)/Data!BJ19),0)</f>
        <v>1.8216106108736103E-2</v>
      </c>
    </row>
    <row r="21" spans="2:62">
      <c r="B21" s="214">
        <v>43831</v>
      </c>
      <c r="C21" s="230">
        <f>IFERROR(((Data!C21-Data!C20)/Data!C20),0)</f>
        <v>6.6974066751489536E-2</v>
      </c>
      <c r="D21" s="230">
        <f>IFERROR(((Data!D21-Data!D20)/Data!D20),0)</f>
        <v>-4.6178708377741316E-2</v>
      </c>
      <c r="E21" s="231">
        <f>IFERROR(((Data!E21-Data!E20)/Data!E20),0)</f>
        <v>-6.1762105441864348E-2</v>
      </c>
      <c r="F21" s="231">
        <f>IFERROR(((Data!F21-Data!F20)/Data!F20),0)</f>
        <v>0.12017874975783813</v>
      </c>
      <c r="G21" s="231">
        <f>IFERROR(((Data!G21-Data!G20)/Data!G20),0)</f>
        <v>0.16189544427266139</v>
      </c>
      <c r="H21" s="232">
        <f>IFERROR(((Data!H21-Data!H20)/Data!H20),0)</f>
        <v>4.3934275760839385E-3</v>
      </c>
      <c r="I21" s="232">
        <f>IFERROR(((Data!I21-Data!I20)/Data!I20),0)</f>
        <v>-3.6003343603434164E-2</v>
      </c>
      <c r="J21" s="232">
        <f>IFERROR(((Data!J21-Data!J20)/Data!J20),0)</f>
        <v>-3.2886908766291745E-2</v>
      </c>
      <c r="K21" s="232">
        <f>IFERROR(((Data!K21-Data!K20)/Data!K20),0)</f>
        <v>-9.8560372156794154E-2</v>
      </c>
      <c r="L21" s="232">
        <f>IFERROR(((Data!L21-Data!L20)/Data!L20),0)</f>
        <v>-1.1540956614526098E-2</v>
      </c>
      <c r="M21" s="233">
        <f>IFERROR(((Data!M21-Data!M20)/Data!M20),0)</f>
        <v>4.0457332637872838E-3</v>
      </c>
      <c r="N21" s="233">
        <f>IFERROR(((Data!N21-Data!N20)/Data!N20),0)</f>
        <v>8.347383314226639E-2</v>
      </c>
      <c r="O21" s="233">
        <f>IFERROR(((Data!O21-Data!O20)/Data!O20),0)</f>
        <v>5.3737516578295126E-2</v>
      </c>
      <c r="P21" s="233">
        <f>IFERROR(((Data!P21-Data!P20)/Data!P20),0)</f>
        <v>0</v>
      </c>
      <c r="Q21" s="233">
        <f>IFERROR(((Data!Q21-Data!Q20)/Data!Q20),0)</f>
        <v>2.938423784842573E-2</v>
      </c>
      <c r="R21" s="234">
        <f>IFERROR(((Data!R21-Data!R20)/Data!R20),0)</f>
        <v>5.4768354480885816E-2</v>
      </c>
      <c r="S21" s="234">
        <f>IFERROR(((Data!S21-Data!S20)/Data!S20),0)</f>
        <v>0</v>
      </c>
      <c r="T21" s="234">
        <f>IFERROR(((Data!T21-Data!T20)/Data!T20),0)</f>
        <v>0.12797765599710181</v>
      </c>
      <c r="U21" s="234">
        <f>IFERROR(((Data!U21-Data!U20)/Data!U20),0)</f>
        <v>-2.23213760779831E-2</v>
      </c>
      <c r="V21" s="235">
        <f>IFERROR(((Data!V21-Data!V20)/Data!V20),0)</f>
        <v>0</v>
      </c>
      <c r="W21" s="236">
        <f>IFERROR(((Data!W21-Data!W20)/Data!W20),0)</f>
        <v>0.13817963601405173</v>
      </c>
      <c r="X21" s="236">
        <f>IFERROR(((Data!X21-Data!X20)/Data!X20),0)</f>
        <v>2.8318562187715272E-2</v>
      </c>
      <c r="Y21" s="236">
        <f>IFERROR(((Data!Y21-Data!Y20)/Data!Y20),0)</f>
        <v>2.2964539679153635E-2</v>
      </c>
      <c r="Z21" s="236">
        <f>IFERROR(((Data!Z21-Data!Z20)/Data!Z20),0)</f>
        <v>0.11041656825939912</v>
      </c>
      <c r="AA21" s="236">
        <f>IFERROR(((Data!AA21-Data!AA20)/Data!AA20),0)</f>
        <v>-0.5</v>
      </c>
      <c r="AB21" s="237">
        <f>IFERROR(((Data!AB21-Data!AB20)/Data!AB20),0)</f>
        <v>0.12978568609421495</v>
      </c>
      <c r="AC21" s="237">
        <f>IFERROR(((Data!AC21-Data!AC20)/Data!AC20),0)</f>
        <v>4.2038288989773832E-2</v>
      </c>
      <c r="AD21" s="237">
        <f>IFERROR(((Data!AD21-Data!AD20)/Data!AD20),0)</f>
        <v>9.1459670790151562E-2</v>
      </c>
      <c r="AE21" s="237">
        <f>IFERROR(((Data!AE21-Data!AE20)/Data!AE20),0)</f>
        <v>-5.9255092832835699E-2</v>
      </c>
      <c r="AF21" s="237">
        <f>IFERROR(((Data!AF21-Data!AF20)/Data!AF20),0)</f>
        <v>2.9633872884109853E-2</v>
      </c>
      <c r="AG21" s="238">
        <f>IFERROR(((Data!AG21-Data!AG20)/Data!AG20),0)</f>
        <v>-3.823380345614185E-2</v>
      </c>
      <c r="AH21" s="238">
        <f>IFERROR(((Data!AH21-Data!AH20)/Data!AH20),0)</f>
        <v>6.127318087649003E-2</v>
      </c>
      <c r="AI21" s="238">
        <f>IFERROR(((Data!AI21-Data!AI20)/Data!AI20),0)</f>
        <v>0.14922208530182846</v>
      </c>
      <c r="AJ21" s="238">
        <f>IFERROR(((Data!AJ21-Data!AJ20)/Data!AJ20),0)</f>
        <v>0</v>
      </c>
      <c r="AK21" s="238">
        <f>IFERROR(((Data!AK21-Data!AK20)/Data!AK20),0)</f>
        <v>0</v>
      </c>
      <c r="AL21" s="239">
        <f>IFERROR(((Data!AL21-Data!AL20)/Data!AL20),0)</f>
        <v>-7.8884413406193357E-2</v>
      </c>
      <c r="AM21" s="239">
        <f>IFERROR(((Data!AM21-Data!AM20)/Data!AM20),0)</f>
        <v>7.4128505993101376E-2</v>
      </c>
      <c r="AN21" s="239">
        <f>IFERROR(((Data!AN21-Data!AN20)/Data!AN20),0)</f>
        <v>0</v>
      </c>
      <c r="AO21" s="239">
        <f>IFERROR(((Data!AO21-Data!AO20)/Data!AO20),0)</f>
        <v>1.2424953479925305E-2</v>
      </c>
      <c r="AP21" s="239">
        <f>IFERROR(((Data!AP21-Data!AP20)/Data!AP20),0)</f>
        <v>9.9378840579710193E-2</v>
      </c>
      <c r="AQ21" s="240">
        <f>IFERROR(((Data!AQ21-Data!AQ20)/Data!AQ20),0)</f>
        <v>-1.8620867191075346E-2</v>
      </c>
      <c r="AR21" s="240">
        <f>IFERROR(((Data!AR21-Data!AR20)/Data!AR20),0)</f>
        <v>-1.7875773687743502E-2</v>
      </c>
      <c r="AS21" s="240">
        <f>IFERROR(((Data!AS21-Data!AS20)/Data!AS20),0)</f>
        <v>-5.4592398179943387E-2</v>
      </c>
      <c r="AT21" s="240">
        <f>IFERROR(((Data!AT21-Data!AT20)/Data!AT20),0)</f>
        <v>5.3673548012602344E-2</v>
      </c>
      <c r="AU21" s="241">
        <f>IFERROR(((Data!AU21-Data!AU20)/Data!AU20),0)</f>
        <v>-0.140625</v>
      </c>
      <c r="AV21" s="227">
        <f>IFERROR(((Data!AV21-Data!AV20)/Data!AV20),0)</f>
        <v>5.7852305078976853E-2</v>
      </c>
      <c r="AW21" s="227">
        <f>IFERROR(((Data!AW21-Data!AW20)/Data!AW20),0)</f>
        <v>4.2859002704076853E-2</v>
      </c>
      <c r="AX21" s="227">
        <f>IFERROR(((Data!AX21-Data!AX20)/Data!AX20),0)</f>
        <v>8.2557046499964856E-2</v>
      </c>
      <c r="AY21" s="227">
        <f>IFERROR(((Data!AY21-Data!AY20)/Data!AY20),0)</f>
        <v>0</v>
      </c>
      <c r="AZ21" s="227">
        <f>IFERROR(((Data!AZ21-Data!AZ20)/Data!AZ20),0)</f>
        <v>-5.061408664062389E-2</v>
      </c>
      <c r="BA21" s="228">
        <f>IFERROR(((Data!BA21-Data!BA20)/Data!BA20),0)</f>
        <v>-9.395299424318912E-2</v>
      </c>
      <c r="BB21" s="228">
        <f>IFERROR(((Data!BB21-Data!BB20)/Data!BB20),0)</f>
        <v>2.5158288112663112E-2</v>
      </c>
      <c r="BC21" s="228">
        <f>IFERROR(((Data!BC21-Data!BC20)/Data!BC20),0)</f>
        <v>0</v>
      </c>
      <c r="BD21" s="228">
        <f>IFERROR(((Data!BD21-Data!BD20)/Data!BD20),0)</f>
        <v>0</v>
      </c>
      <c r="BE21" s="228">
        <f>IFERROR(((Data!BE21-Data!BE20)/Data!BE20),0)</f>
        <v>0</v>
      </c>
      <c r="BF21" s="229">
        <f>IFERROR(((Data!BF21-Data!BF20)/Data!BF20),0)</f>
        <v>0</v>
      </c>
      <c r="BG21" s="229">
        <f>IFERROR(((Data!BG21-Data!BG20)/Data!BG20),0)</f>
        <v>-9.9144500289238477E-2</v>
      </c>
      <c r="BH21" s="229">
        <f>IFERROR(((Data!BH21-Data!BH20)/Data!BH20),0)</f>
        <v>0.1592287188251145</v>
      </c>
      <c r="BI21" s="229">
        <f>IFERROR(((Data!BI21-Data!BI20)/Data!BI20),0)</f>
        <v>0.3998214857971612</v>
      </c>
      <c r="BJ21" s="229">
        <f>IFERROR(((Data!BJ21-Data!BJ20)/Data!BJ20),0)</f>
        <v>8.2713851515882911E-2</v>
      </c>
    </row>
    <row r="22" spans="2:62">
      <c r="B22" s="214">
        <v>43862</v>
      </c>
      <c r="C22" s="230">
        <f>IFERROR(((Data!C22-Data!C21)/Data!C21),0)</f>
        <v>-0.19412859555460912</v>
      </c>
      <c r="D22" s="230">
        <f>IFERROR(((Data!D22-Data!D21)/Data!D21),0)</f>
        <v>-0.26981887638839835</v>
      </c>
      <c r="E22" s="231">
        <f>IFERROR(((Data!E22-Data!E21)/Data!E21),0)</f>
        <v>-9.1183924026826749E-2</v>
      </c>
      <c r="F22" s="231">
        <f>IFERROR(((Data!F22-Data!F21)/Data!F21),0)</f>
        <v>-8.3493234619834752E-2</v>
      </c>
      <c r="G22" s="231">
        <f>IFERROR(((Data!G22-Data!G21)/Data!G21),0)</f>
        <v>-0.15112075633719577</v>
      </c>
      <c r="H22" s="232">
        <f>IFERROR(((Data!H22-Data!H21)/Data!H21),0)</f>
        <v>-4.220488518666176E-2</v>
      </c>
      <c r="I22" s="232">
        <f>IFERROR(((Data!I22-Data!I21)/Data!I21),0)</f>
        <v>-3.9672175861504379E-2</v>
      </c>
      <c r="J22" s="232">
        <f>IFERROR(((Data!J22-Data!J21)/Data!J21),0)</f>
        <v>-4.3877658076015687E-2</v>
      </c>
      <c r="K22" s="232">
        <f>IFERROR(((Data!K22-Data!K21)/Data!K21),0)</f>
        <v>-9.5823142608768008E-2</v>
      </c>
      <c r="L22" s="232">
        <f>IFERROR(((Data!L22-Data!L21)/Data!L21),0)</f>
        <v>-6.9189151788690936E-2</v>
      </c>
      <c r="M22" s="233">
        <f>IFERROR(((Data!M22-Data!M21)/Data!M21),0)</f>
        <v>-0.14137695975140388</v>
      </c>
      <c r="N22" s="233">
        <f>IFERROR(((Data!N22-Data!N21)/Data!N21),0)</f>
        <v>-6.0170106022725635E-2</v>
      </c>
      <c r="O22" s="233">
        <f>IFERROR(((Data!O22-Data!O21)/Data!O21),0)</f>
        <v>5.0062340089173304E-2</v>
      </c>
      <c r="P22" s="233">
        <f>IFERROR(((Data!P22-Data!P21)/Data!P21),0)</f>
        <v>0</v>
      </c>
      <c r="Q22" s="233">
        <f>IFERROR(((Data!Q22-Data!Q21)/Data!Q21),0)</f>
        <v>-0.18918923151641462</v>
      </c>
      <c r="R22" s="234">
        <f>IFERROR(((Data!R22-Data!R21)/Data!R21),0)</f>
        <v>-0.13273219000717654</v>
      </c>
      <c r="S22" s="234">
        <f>IFERROR(((Data!S22-Data!S21)/Data!S21),0)</f>
        <v>0</v>
      </c>
      <c r="T22" s="234">
        <f>IFERROR(((Data!T22-Data!T21)/Data!T21),0)</f>
        <v>-0.22557118044879601</v>
      </c>
      <c r="U22" s="234">
        <f>IFERROR(((Data!U22-Data!U21)/Data!U21),0)</f>
        <v>-0.34977173765771657</v>
      </c>
      <c r="V22" s="235">
        <f>IFERROR(((Data!V22-Data!V21)/Data!V21),0)</f>
        <v>0</v>
      </c>
      <c r="W22" s="236">
        <f>IFERROR(((Data!W22-Data!W21)/Data!W21),0)</f>
        <v>-0.1821060994791148</v>
      </c>
      <c r="X22" s="236">
        <f>IFERROR(((Data!X22-Data!X21)/Data!X21),0)</f>
        <v>-0.19621341722300312</v>
      </c>
      <c r="Y22" s="236">
        <f>IFERROR(((Data!Y22-Data!Y21)/Data!Y21),0)</f>
        <v>-0.15918364681948657</v>
      </c>
      <c r="Z22" s="236">
        <f>IFERROR(((Data!Z22-Data!Z21)/Data!Z21),0)</f>
        <v>-0.17698556535976989</v>
      </c>
      <c r="AA22" s="236">
        <f>IFERROR(((Data!AA22-Data!AA21)/Data!AA21),0)</f>
        <v>0</v>
      </c>
      <c r="AB22" s="237">
        <f>IFERROR(((Data!AB22-Data!AB21)/Data!AB21),0)</f>
        <v>-1.4602226933382884E-2</v>
      </c>
      <c r="AC22" s="237">
        <f>IFERROR(((Data!AC22-Data!AC21)/Data!AC21),0)</f>
        <v>2.6895487675158286E-3</v>
      </c>
      <c r="AD22" s="237">
        <f>IFERROR(((Data!AD22-Data!AD21)/Data!AD21),0)</f>
        <v>-4.4496327895548853E-2</v>
      </c>
      <c r="AE22" s="237">
        <f>IFERROR(((Data!AE22-Data!AE21)/Data!AE21),0)</f>
        <v>3.7192542858452818E-2</v>
      </c>
      <c r="AF22" s="237">
        <f>IFERROR(((Data!AF22-Data!AF21)/Data!AF21),0)</f>
        <v>-0.11512420573936136</v>
      </c>
      <c r="AG22" s="238">
        <f>IFERROR(((Data!AG22-Data!AG21)/Data!AG21),0)</f>
        <v>-3.5765423019213004E-2</v>
      </c>
      <c r="AH22" s="238">
        <f>IFERROR(((Data!AH22-Data!AH21)/Data!AH21),0)</f>
        <v>-5.7026830140723003E-2</v>
      </c>
      <c r="AI22" s="238">
        <f>IFERROR(((Data!AI22-Data!AI21)/Data!AI21),0)</f>
        <v>-7.0006325859183496E-2</v>
      </c>
      <c r="AJ22" s="238">
        <f>IFERROR(((Data!AJ22-Data!AJ21)/Data!AJ21),0)</f>
        <v>0</v>
      </c>
      <c r="AK22" s="238">
        <f>IFERROR(((Data!AK22-Data!AK21)/Data!AK21),0)</f>
        <v>0</v>
      </c>
      <c r="AL22" s="239">
        <f>IFERROR(((Data!AL22-Data!AL21)/Data!AL21),0)</f>
        <v>-0.11090472506741868</v>
      </c>
      <c r="AM22" s="239">
        <f>IFERROR(((Data!AM22-Data!AM21)/Data!AM21),0)</f>
        <v>-0.12443358400755383</v>
      </c>
      <c r="AN22" s="239">
        <f>IFERROR(((Data!AN22-Data!AN21)/Data!AN21),0)</f>
        <v>0</v>
      </c>
      <c r="AO22" s="239">
        <f>IFERROR(((Data!AO22-Data!AO21)/Data!AO21),0)</f>
        <v>-0.11761092183299507</v>
      </c>
      <c r="AP22" s="239">
        <f>IFERROR(((Data!AP22-Data!AP21)/Data!AP21),0)</f>
        <v>2.4482185479555031E-2</v>
      </c>
      <c r="AQ22" s="240">
        <f>IFERROR(((Data!AQ22-Data!AQ21)/Data!AQ21),0)</f>
        <v>-5.1299935000846064E-2</v>
      </c>
      <c r="AR22" s="240">
        <f>IFERROR(((Data!AR22-Data!AR21)/Data!AR21),0)</f>
        <v>-7.6936156552047955E-2</v>
      </c>
      <c r="AS22" s="240">
        <f>IFERROR(((Data!AS22-Data!AS21)/Data!AS21),0)</f>
        <v>-4.2436921050686425E-3</v>
      </c>
      <c r="AT22" s="240">
        <f>IFERROR(((Data!AT22-Data!AT21)/Data!AT21),0)</f>
        <v>-0.11127355369441165</v>
      </c>
      <c r="AU22" s="241">
        <f>IFERROR(((Data!AU22-Data!AU21)/Data!AU21),0)</f>
        <v>-6.1818218181818194E-2</v>
      </c>
      <c r="AV22" s="227">
        <f>IFERROR(((Data!AV22-Data!AV21)/Data!AV21),0)</f>
        <v>6.9067084423345623E-2</v>
      </c>
      <c r="AW22" s="227">
        <f>IFERROR(((Data!AW22-Data!AW21)/Data!AW21),0)</f>
        <v>2.7305618861362083E-2</v>
      </c>
      <c r="AX22" s="227">
        <f>IFERROR(((Data!AX22-Data!AX21)/Data!AX21),0)</f>
        <v>5.9966104368378834E-2</v>
      </c>
      <c r="AY22" s="227">
        <f>IFERROR(((Data!AY22-Data!AY21)/Data!AY21),0)</f>
        <v>0</v>
      </c>
      <c r="AZ22" s="227">
        <f>IFERROR(((Data!AZ22-Data!AZ21)/Data!AZ21),0)</f>
        <v>-0.14209236605411796</v>
      </c>
      <c r="BA22" s="228">
        <f>IFERROR(((Data!BA22-Data!BA21)/Data!BA21),0)</f>
        <v>-0.18422511039074796</v>
      </c>
      <c r="BB22" s="228">
        <f>IFERROR(((Data!BB22-Data!BB21)/Data!BB21),0)</f>
        <v>0.18126390529776035</v>
      </c>
      <c r="BC22" s="228">
        <f>IFERROR(((Data!BC22-Data!BC21)/Data!BC21),0)</f>
        <v>0</v>
      </c>
      <c r="BD22" s="228">
        <f>IFERROR(((Data!BD22-Data!BD21)/Data!BD21),0)</f>
        <v>0</v>
      </c>
      <c r="BE22" s="228">
        <f>IFERROR(((Data!BE22-Data!BE21)/Data!BE21),0)</f>
        <v>0</v>
      </c>
      <c r="BF22" s="229">
        <f>IFERROR(((Data!BF22-Data!BF21)/Data!BF21),0)</f>
        <v>0</v>
      </c>
      <c r="BG22" s="229">
        <f>IFERROR(((Data!BG22-Data!BG21)/Data!BG21),0)</f>
        <v>-1.3009216149829337E-2</v>
      </c>
      <c r="BH22" s="229">
        <f>IFERROR(((Data!BH22-Data!BH21)/Data!BH21),0)</f>
        <v>6.1003225680412332E-2</v>
      </c>
      <c r="BI22" s="229">
        <f>IFERROR(((Data!BI22-Data!BI21)/Data!BI21),0)</f>
        <v>-4.8842713708488743E-2</v>
      </c>
      <c r="BJ22" s="229">
        <f>IFERROR(((Data!BJ22-Data!BJ21)/Data!BJ21),0)</f>
        <v>-9.816388237753558E-2</v>
      </c>
    </row>
    <row r="23" spans="2:62">
      <c r="B23" s="214">
        <v>43891</v>
      </c>
      <c r="C23" s="230">
        <f>IFERROR(((Data!C23-Data!C22)/Data!C22),0)</f>
        <v>-0.37654525139957779</v>
      </c>
      <c r="D23" s="230">
        <f>IFERROR(((Data!D23-Data!D22)/Data!D22),0)</f>
        <v>-0.44901122679370759</v>
      </c>
      <c r="E23" s="231">
        <f>IFERROR(((Data!E23-Data!E22)/Data!E22),0)</f>
        <v>-0.31748669143735603</v>
      </c>
      <c r="F23" s="231">
        <f>IFERROR(((Data!F23-Data!F22)/Data!F22),0)</f>
        <v>-0.39585638764536712</v>
      </c>
      <c r="G23" s="231">
        <f>IFERROR(((Data!G23-Data!G22)/Data!G22),0)</f>
        <v>-0.31421753140430642</v>
      </c>
      <c r="H23" s="232">
        <f>IFERROR(((Data!H23-Data!H22)/Data!H22),0)</f>
        <v>-0.20014187334801545</v>
      </c>
      <c r="I23" s="232">
        <f>IFERROR(((Data!I23-Data!I22)/Data!I22),0)</f>
        <v>-0.26811870125165821</v>
      </c>
      <c r="J23" s="232">
        <f>IFERROR(((Data!J23-Data!J22)/Data!J22),0)</f>
        <v>-0.45647495851859904</v>
      </c>
      <c r="K23" s="232">
        <f>IFERROR(((Data!K23-Data!K22)/Data!K22),0)</f>
        <v>-0.42663041920191352</v>
      </c>
      <c r="L23" s="232">
        <f>IFERROR(((Data!L23-Data!L22)/Data!L22),0)</f>
        <v>-0.40046459195869594</v>
      </c>
      <c r="M23" s="233">
        <f>IFERROR(((Data!M23-Data!M22)/Data!M22),0)</f>
        <v>-4.8422109960754071E-2</v>
      </c>
      <c r="N23" s="233">
        <f>IFERROR(((Data!N23-Data!N22)/Data!N22),0)</f>
        <v>6.6157513982904717E-2</v>
      </c>
      <c r="O23" s="233">
        <f>IFERROR(((Data!O23-Data!O22)/Data!O22),0)</f>
        <v>-0.17990014843723834</v>
      </c>
      <c r="P23" s="233">
        <f>IFERROR(((Data!P23-Data!P22)/Data!P22),0)</f>
        <v>0</v>
      </c>
      <c r="Q23" s="233">
        <f>IFERROR(((Data!Q23-Data!Q22)/Data!Q22),0)</f>
        <v>0.16741590006959156</v>
      </c>
      <c r="R23" s="234">
        <f>IFERROR(((Data!R23-Data!R22)/Data!R22),0)</f>
        <v>-0.31918658412284273</v>
      </c>
      <c r="S23" s="234">
        <f>IFERROR(((Data!S23-Data!S22)/Data!S22),0)</f>
        <v>0</v>
      </c>
      <c r="T23" s="234">
        <f>IFERROR(((Data!T23-Data!T22)/Data!T22),0)</f>
        <v>-0.31502752941697548</v>
      </c>
      <c r="U23" s="234">
        <f>IFERROR(((Data!U23-Data!U22)/Data!U22),0)</f>
        <v>-0.47331459955520011</v>
      </c>
      <c r="V23" s="235">
        <f>IFERROR(((Data!V23-Data!V22)/Data!V22),0)</f>
        <v>0</v>
      </c>
      <c r="W23" s="236">
        <f>IFERROR(((Data!W23-Data!W22)/Data!W22),0)</f>
        <v>-1.0971261909737219E-2</v>
      </c>
      <c r="X23" s="236">
        <f>IFERROR(((Data!X23-Data!X22)/Data!X22),0)</f>
        <v>-0.29657392394712823</v>
      </c>
      <c r="Y23" s="236">
        <f>IFERROR(((Data!Y23-Data!Y22)/Data!Y22),0)</f>
        <v>1.9760791094124461E-2</v>
      </c>
      <c r="Z23" s="236">
        <f>IFERROR(((Data!Z23-Data!Z22)/Data!Z22),0)</f>
        <v>-0.24164137939314523</v>
      </c>
      <c r="AA23" s="236">
        <f>IFERROR(((Data!AA23-Data!AA22)/Data!AA22),0)</f>
        <v>-0.2857142857142857</v>
      </c>
      <c r="AB23" s="237">
        <f>IFERROR(((Data!AB23-Data!AB22)/Data!AB22),0)</f>
        <v>-0.22253865185494573</v>
      </c>
      <c r="AC23" s="237">
        <f>IFERROR(((Data!AC23-Data!AC22)/Data!AC22),0)</f>
        <v>-0.24067291750609354</v>
      </c>
      <c r="AD23" s="237">
        <f>IFERROR(((Data!AD23-Data!AD22)/Data!AD22),0)</f>
        <v>-0.2310053251867655</v>
      </c>
      <c r="AE23" s="237">
        <f>IFERROR(((Data!AE23-Data!AE22)/Data!AE22),0)</f>
        <v>-0.20261664820087566</v>
      </c>
      <c r="AF23" s="237">
        <f>IFERROR(((Data!AF23-Data!AF22)/Data!AF22),0)</f>
        <v>-0.31250003463113085</v>
      </c>
      <c r="AG23" s="238">
        <f>IFERROR(((Data!AG23-Data!AG22)/Data!AG22),0)</f>
        <v>-8.701872803579408E-2</v>
      </c>
      <c r="AH23" s="238">
        <f>IFERROR(((Data!AH23-Data!AH22)/Data!AH22),0)</f>
        <v>-0.1232745043334858</v>
      </c>
      <c r="AI23" s="238">
        <f>IFERROR(((Data!AI23-Data!AI22)/Data!AI22),0)</f>
        <v>-0.28734079020342551</v>
      </c>
      <c r="AJ23" s="238">
        <f>IFERROR(((Data!AJ23-Data!AJ22)/Data!AJ22),0)</f>
        <v>0</v>
      </c>
      <c r="AK23" s="238">
        <f>IFERROR(((Data!AK23-Data!AK22)/Data!AK22),0)</f>
        <v>0</v>
      </c>
      <c r="AL23" s="239">
        <f>IFERROR(((Data!AL23-Data!AL22)/Data!AL22),0)</f>
        <v>-0.48203091934724951</v>
      </c>
      <c r="AM23" s="239">
        <f>IFERROR(((Data!AM23-Data!AM22)/Data!AM22),0)</f>
        <v>-0.30111333332182133</v>
      </c>
      <c r="AN23" s="239">
        <f>IFERROR(((Data!AN23-Data!AN22)/Data!AN22),0)</f>
        <v>0</v>
      </c>
      <c r="AO23" s="239">
        <f>IFERROR(((Data!AO23-Data!AO22)/Data!AO22),0)</f>
        <v>-0.22878991973199372</v>
      </c>
      <c r="AP23" s="239">
        <f>IFERROR(((Data!AP23-Data!AP22)/Data!AP22),0)</f>
        <v>-0.32536767186148263</v>
      </c>
      <c r="AQ23" s="240">
        <f>IFERROR(((Data!AQ23-Data!AQ22)/Data!AQ22),0)</f>
        <v>-0.44444444361022634</v>
      </c>
      <c r="AR23" s="240">
        <f>IFERROR(((Data!AR23-Data!AR22)/Data!AR22),0)</f>
        <v>-0.50094801467356376</v>
      </c>
      <c r="AS23" s="240">
        <f>IFERROR(((Data!AS23-Data!AS22)/Data!AS22),0)</f>
        <v>-0.37549469101978694</v>
      </c>
      <c r="AT23" s="240">
        <f>IFERROR(((Data!AT23-Data!AT22)/Data!AT22),0)</f>
        <v>-0.34343433446515859</v>
      </c>
      <c r="AU23" s="241">
        <f>IFERROR(((Data!AU23-Data!AU22)/Data!AU22),0)</f>
        <v>-0.5736433943272633</v>
      </c>
      <c r="AV23" s="227">
        <f>IFERROR(((Data!AV23-Data!AV22)/Data!AV22),0)</f>
        <v>5.6903314983332412E-2</v>
      </c>
      <c r="AW23" s="227">
        <f>IFERROR(((Data!AW23-Data!AW22)/Data!AW22),0)</f>
        <v>3.3066411888995541E-2</v>
      </c>
      <c r="AX23" s="227">
        <f>IFERROR(((Data!AX23-Data!AX22)/Data!AX22),0)</f>
        <v>-0.34885008169584836</v>
      </c>
      <c r="AY23" s="227">
        <f>IFERROR(((Data!AY23-Data!AY22)/Data!AY22),0)</f>
        <v>0</v>
      </c>
      <c r="AZ23" s="227">
        <f>IFERROR(((Data!AZ23-Data!AZ22)/Data!AZ22),0)</f>
        <v>-0.31123246612085465</v>
      </c>
      <c r="BA23" s="228">
        <f>IFERROR(((Data!BA23-Data!BA22)/Data!BA22),0)</f>
        <v>2.3323842347095586E-2</v>
      </c>
      <c r="BB23" s="228">
        <f>IFERROR(((Data!BB23-Data!BB22)/Data!BB22),0)</f>
        <v>-0.21728755342787462</v>
      </c>
      <c r="BC23" s="228">
        <f>IFERROR(((Data!BC23-Data!BC22)/Data!BC22),0)</f>
        <v>0</v>
      </c>
      <c r="BD23" s="228">
        <f>IFERROR(((Data!BD23-Data!BD22)/Data!BD22),0)</f>
        <v>0</v>
      </c>
      <c r="BE23" s="228">
        <f>IFERROR(((Data!BE23-Data!BE22)/Data!BE22),0)</f>
        <v>0</v>
      </c>
      <c r="BF23" s="229">
        <f>IFERROR(((Data!BF23-Data!BF22)/Data!BF22),0)</f>
        <v>-0.28104329391069544</v>
      </c>
      <c r="BG23" s="229">
        <f>IFERROR(((Data!BG23-Data!BG22)/Data!BG22),0)</f>
        <v>-0.37175294571075501</v>
      </c>
      <c r="BH23" s="229">
        <f>IFERROR(((Data!BH23-Data!BH22)/Data!BH22),0)</f>
        <v>-0.21133932977131281</v>
      </c>
      <c r="BI23" s="229">
        <f>IFERROR(((Data!BI23-Data!BI22)/Data!BI22),0)</f>
        <v>-0.21544974196878333</v>
      </c>
      <c r="BJ23" s="229">
        <f>IFERROR(((Data!BJ23-Data!BJ22)/Data!BJ22),0)</f>
        <v>-0.48475393679384421</v>
      </c>
    </row>
    <row r="24" spans="2:62">
      <c r="B24" s="214">
        <v>43922</v>
      </c>
      <c r="C24" s="230">
        <f>IFERROR(((Data!C24-Data!C23)/Data!C23),0)</f>
        <v>0.28671710347773693</v>
      </c>
      <c r="D24" s="230">
        <f>IFERROR(((Data!D24-Data!D23)/Data!D23),0)</f>
        <v>0.31245605364123108</v>
      </c>
      <c r="E24" s="231">
        <f>IFERROR(((Data!E24-Data!E23)/Data!E23),0)</f>
        <v>0.24963297323958869</v>
      </c>
      <c r="F24" s="231">
        <f>IFERROR(((Data!F24-Data!F23)/Data!F23),0)</f>
        <v>5.148258380798091E-2</v>
      </c>
      <c r="G24" s="231">
        <f>IFERROR(((Data!G24-Data!G23)/Data!G23),0)</f>
        <v>0.18496529062901146</v>
      </c>
      <c r="H24" s="232">
        <f>IFERROR(((Data!H24-Data!H23)/Data!H23),0)</f>
        <v>4.7181797951284792E-2</v>
      </c>
      <c r="I24" s="232">
        <f>IFERROR(((Data!I24-Data!I23)/Data!I23),0)</f>
        <v>0.1623157401688014</v>
      </c>
      <c r="J24" s="232">
        <f>IFERROR(((Data!J24-Data!J23)/Data!J23),0)</f>
        <v>0.17387849730509217</v>
      </c>
      <c r="K24" s="232">
        <f>IFERROR(((Data!K24-Data!K23)/Data!K23),0)</f>
        <v>3.7914691943127826E-2</v>
      </c>
      <c r="L24" s="232">
        <f>IFERROR(((Data!L24-Data!L23)/Data!L23),0)</f>
        <v>0.12279403660137353</v>
      </c>
      <c r="M24" s="233">
        <f>IFERROR(((Data!M24-Data!M23)/Data!M23),0)</f>
        <v>0.31833662489031689</v>
      </c>
      <c r="N24" s="233">
        <f>IFERROR(((Data!N24-Data!N23)/Data!N23),0)</f>
        <v>0.26133147821249719</v>
      </c>
      <c r="O24" s="233">
        <f>IFERROR(((Data!O24-Data!O23)/Data!O23),0)</f>
        <v>0.51482508885111755</v>
      </c>
      <c r="P24" s="233">
        <f>IFERROR(((Data!P24-Data!P23)/Data!P23),0)</f>
        <v>0</v>
      </c>
      <c r="Q24" s="233">
        <f>IFERROR(((Data!Q24-Data!Q23)/Data!Q23),0)</f>
        <v>-4.8764981399215611E-2</v>
      </c>
      <c r="R24" s="234">
        <f>IFERROR(((Data!R24-Data!R23)/Data!R23),0)</f>
        <v>0.12568949618797748</v>
      </c>
      <c r="S24" s="234">
        <f>IFERROR(((Data!S24-Data!S23)/Data!S23),0)</f>
        <v>0</v>
      </c>
      <c r="T24" s="234">
        <f>IFERROR(((Data!T24-Data!T23)/Data!T23),0)</f>
        <v>6.8388476142281801E-2</v>
      </c>
      <c r="U24" s="234">
        <f>IFERROR(((Data!U24-Data!U23)/Data!U23),0)</f>
        <v>0.3866667537657949</v>
      </c>
      <c r="V24" s="235">
        <f>IFERROR(((Data!V24-Data!V23)/Data!V23),0)</f>
        <v>0</v>
      </c>
      <c r="W24" s="236">
        <f>IFERROR(((Data!W24-Data!W23)/Data!W23),0)</f>
        <v>0.37324630995106034</v>
      </c>
      <c r="X24" s="236">
        <f>IFERROR(((Data!X24-Data!X23)/Data!X23),0)</f>
        <v>-3.5007548670182034E-2</v>
      </c>
      <c r="Y24" s="236">
        <f>IFERROR(((Data!Y24-Data!Y23)/Data!Y23),0)</f>
        <v>4.2606301884078331E-2</v>
      </c>
      <c r="Z24" s="236">
        <f>IFERROR(((Data!Z24-Data!Z23)/Data!Z23),0)</f>
        <v>0.18236478624004032</v>
      </c>
      <c r="AA24" s="236">
        <f>IFERROR(((Data!AA24-Data!AA23)/Data!AA23),0)</f>
        <v>0.83999999999999986</v>
      </c>
      <c r="AB24" s="237">
        <f>IFERROR(((Data!AB24-Data!AB23)/Data!AB23),0)</f>
        <v>0.12661039933977644</v>
      </c>
      <c r="AC24" s="237">
        <f>IFERROR(((Data!AC24-Data!AC23)/Data!AC23),0)</f>
        <v>0.10244031805395673</v>
      </c>
      <c r="AD24" s="237">
        <f>IFERROR(((Data!AD24-Data!AD23)/Data!AD23),0)</f>
        <v>8.9202863370853078E-2</v>
      </c>
      <c r="AE24" s="237">
        <f>IFERROR(((Data!AE24-Data!AE23)/Data!AE23),0)</f>
        <v>0.15627293745347218</v>
      </c>
      <c r="AF24" s="237">
        <f>IFERROR(((Data!AF24-Data!AF23)/Data!AF23),0)</f>
        <v>0.32098309740809228</v>
      </c>
      <c r="AG24" s="238">
        <f>IFERROR(((Data!AG24-Data!AG23)/Data!AG23),0)</f>
        <v>0.11120342593069793</v>
      </c>
      <c r="AH24" s="238">
        <f>IFERROR(((Data!AH24-Data!AH23)/Data!AH23),0)</f>
        <v>0.1153545002532687</v>
      </c>
      <c r="AI24" s="238">
        <f>IFERROR(((Data!AI24-Data!AI23)/Data!AI23),0)</f>
        <v>0.27618841678380451</v>
      </c>
      <c r="AJ24" s="238">
        <f>IFERROR(((Data!AJ24-Data!AJ23)/Data!AJ23),0)</f>
        <v>0</v>
      </c>
      <c r="AK24" s="238">
        <f>IFERROR(((Data!AK24-Data!AK23)/Data!AK23),0)</f>
        <v>0</v>
      </c>
      <c r="AL24" s="239">
        <f>IFERROR(((Data!AL24-Data!AL23)/Data!AL23),0)</f>
        <v>0.285598950704125</v>
      </c>
      <c r="AM24" s="239">
        <f>IFERROR(((Data!AM24-Data!AM23)/Data!AM23),0)</f>
        <v>0.40054770458693545</v>
      </c>
      <c r="AN24" s="239">
        <f>IFERROR(((Data!AN24-Data!AN23)/Data!AN23),0)</f>
        <v>0</v>
      </c>
      <c r="AO24" s="239">
        <f>IFERROR(((Data!AO24-Data!AO23)/Data!AO23),0)</f>
        <v>0.15569572066288839</v>
      </c>
      <c r="AP24" s="239">
        <f>IFERROR(((Data!AP24-Data!AP23)/Data!AP23),0)</f>
        <v>0.22888277929155301</v>
      </c>
      <c r="AQ24" s="240">
        <f>IFERROR(((Data!AQ24-Data!AQ23)/Data!AQ23),0)</f>
        <v>6.5333230876671838E-2</v>
      </c>
      <c r="AR24" s="240">
        <f>IFERROR(((Data!AR24-Data!AR23)/Data!AR23),0)</f>
        <v>0.14817619494959244</v>
      </c>
      <c r="AS24" s="240">
        <f>IFERROR(((Data!AS24-Data!AS23)/Data!AS23),0)</f>
        <v>-0.27955151195373662</v>
      </c>
      <c r="AT24" s="240">
        <f>IFERROR(((Data!AT24-Data!AT23)/Data!AT23),0)</f>
        <v>-5.8318434585143054E-2</v>
      </c>
      <c r="AU24" s="241">
        <f>IFERROR(((Data!AU24-Data!AU23)/Data!AU23),0)</f>
        <v>-0.19999999999999993</v>
      </c>
      <c r="AV24" s="227">
        <f>IFERROR(((Data!AV24-Data!AV23)/Data!AV23),0)</f>
        <v>-4.5029482258156714E-2</v>
      </c>
      <c r="AW24" s="227">
        <f>IFERROR(((Data!AW24-Data!AW23)/Data!AW23),0)</f>
        <v>9.9631286779220896E-2</v>
      </c>
      <c r="AX24" s="227">
        <f>IFERROR(((Data!AX24-Data!AX23)/Data!AX23),0)</f>
        <v>0.26461422716891353</v>
      </c>
      <c r="AY24" s="227">
        <f>IFERROR(((Data!AY24-Data!AY23)/Data!AY23),0)</f>
        <v>0</v>
      </c>
      <c r="AZ24" s="227">
        <f>IFERROR(((Data!AZ24-Data!AZ23)/Data!AZ23),0)</f>
        <v>9.4375268650632699E-2</v>
      </c>
      <c r="BA24" s="228">
        <f>IFERROR(((Data!BA24-Data!BA23)/Data!BA23),0)</f>
        <v>-3.1564705319615312E-2</v>
      </c>
      <c r="BB24" s="228">
        <f>IFERROR(((Data!BB24-Data!BB23)/Data!BB23),0)</f>
        <v>0.10635125324394668</v>
      </c>
      <c r="BC24" s="228">
        <f>IFERROR(((Data!BC24-Data!BC23)/Data!BC23),0)</f>
        <v>0</v>
      </c>
      <c r="BD24" s="228">
        <f>IFERROR(((Data!BD24-Data!BD23)/Data!BD23),0)</f>
        <v>0</v>
      </c>
      <c r="BE24" s="228">
        <f>IFERROR(((Data!BE24-Data!BE23)/Data!BE23),0)</f>
        <v>0</v>
      </c>
      <c r="BF24" s="229">
        <f>IFERROR(((Data!BF24-Data!BF23)/Data!BF23),0)</f>
        <v>0.31645924713067092</v>
      </c>
      <c r="BG24" s="229">
        <f>IFERROR(((Data!BG24-Data!BG23)/Data!BG23),0)</f>
        <v>0.28652370062628496</v>
      </c>
      <c r="BH24" s="229">
        <f>IFERROR(((Data!BH24-Data!BH23)/Data!BH23),0)</f>
        <v>0.24431748280299306</v>
      </c>
      <c r="BI24" s="229">
        <f>IFERROR(((Data!BI24-Data!BI23)/Data!BI23),0)</f>
        <v>0.21627771612524921</v>
      </c>
      <c r="BJ24" s="229">
        <f>IFERROR(((Data!BJ24-Data!BJ23)/Data!BJ23),0)</f>
        <v>0.38016328005927008</v>
      </c>
    </row>
    <row r="25" spans="2:62">
      <c r="B25" s="214">
        <v>43952</v>
      </c>
      <c r="C25" s="230">
        <f>IFERROR(((Data!C25-Data!C24)/Data!C24),0)</f>
        <v>0.19009951241423889</v>
      </c>
      <c r="D25" s="230">
        <f>IFERROR(((Data!D25-Data!D24)/Data!D24),0)</f>
        <v>-6.7024146249827055E-2</v>
      </c>
      <c r="E25" s="231">
        <f>IFERROR(((Data!E25-Data!E24)/Data!E24),0)</f>
        <v>4.7025380759291073E-2</v>
      </c>
      <c r="F25" s="231">
        <f>IFERROR(((Data!F25-Data!F24)/Data!F24),0)</f>
        <v>8.4592202612734022E-3</v>
      </c>
      <c r="G25" s="231">
        <f>IFERROR(((Data!G25-Data!G24)/Data!G24),0)</f>
        <v>-3.2955503567300384E-2</v>
      </c>
      <c r="H25" s="232">
        <f>IFERROR(((Data!H25-Data!H24)/Data!H24),0)</f>
        <v>-9.8143246372259033E-2</v>
      </c>
      <c r="I25" s="232">
        <f>IFERROR(((Data!I25-Data!I24)/Data!I24),0)</f>
        <v>-5.0059846289497743E-2</v>
      </c>
      <c r="J25" s="232">
        <f>IFERROR(((Data!J25-Data!J24)/Data!J24),0)</f>
        <v>-0.13474925844964258</v>
      </c>
      <c r="K25" s="232">
        <f>IFERROR(((Data!K25-Data!K24)/Data!K24),0)</f>
        <v>9.1324200913243305E-3</v>
      </c>
      <c r="L25" s="232">
        <f>IFERROR(((Data!L25-Data!L24)/Data!L24),0)</f>
        <v>-6.0616545988378991E-2</v>
      </c>
      <c r="M25" s="233">
        <f>IFERROR(((Data!M25-Data!M24)/Data!M24),0)</f>
        <v>2.1100187783183538E-2</v>
      </c>
      <c r="N25" s="233">
        <f>IFERROR(((Data!N25-Data!N24)/Data!N24),0)</f>
        <v>3.428350820836111E-2</v>
      </c>
      <c r="O25" s="233">
        <f>IFERROR(((Data!O25-Data!O24)/Data!O24),0)</f>
        <v>0.19141960845577852</v>
      </c>
      <c r="P25" s="233">
        <f>IFERROR(((Data!P25-Data!P24)/Data!P24),0)</f>
        <v>5.0910053073061019E-2</v>
      </c>
      <c r="Q25" s="233">
        <f>IFERROR(((Data!Q25-Data!Q24)/Data!Q24),0)</f>
        <v>-0.15042161528362619</v>
      </c>
      <c r="R25" s="234">
        <f>IFERROR(((Data!R25-Data!R24)/Data!R24),0)</f>
        <v>3.8660830992392696E-2</v>
      </c>
      <c r="S25" s="234">
        <f>IFERROR(((Data!S25-Data!S24)/Data!S24),0)</f>
        <v>0</v>
      </c>
      <c r="T25" s="234">
        <f>IFERROR(((Data!T25-Data!T24)/Data!T24),0)</f>
        <v>2.5876821450856662E-2</v>
      </c>
      <c r="U25" s="234">
        <f>IFERROR(((Data!U25-Data!U24)/Data!U24),0)</f>
        <v>-0.11730776578952448</v>
      </c>
      <c r="V25" s="235">
        <f>IFERROR(((Data!V25-Data!V24)/Data!V24),0)</f>
        <v>0</v>
      </c>
      <c r="W25" s="236">
        <f>IFERROR(((Data!W25-Data!W24)/Data!W24),0)</f>
        <v>0.18127825870199471</v>
      </c>
      <c r="X25" s="236">
        <f>IFERROR(((Data!X25-Data!X24)/Data!X24),0)</f>
        <v>0.15299672649686052</v>
      </c>
      <c r="Y25" s="236">
        <f>IFERROR(((Data!Y25-Data!Y24)/Data!Y24),0)</f>
        <v>-5.769224404844029E-2</v>
      </c>
      <c r="Z25" s="236">
        <f>IFERROR(((Data!Z25-Data!Z24)/Data!Z24),0)</f>
        <v>-5.7627141401873763E-2</v>
      </c>
      <c r="AA25" s="236">
        <f>IFERROR(((Data!AA25-Data!AA24)/Data!AA24),0)</f>
        <v>-0.17391304347826084</v>
      </c>
      <c r="AB25" s="237">
        <f>IFERROR(((Data!AB25-Data!AB24)/Data!AB24),0)</f>
        <v>5.5109590025810361E-2</v>
      </c>
      <c r="AC25" s="237">
        <f>IFERROR(((Data!AC25-Data!AC24)/Data!AC24),0)</f>
        <v>0.12672251548235053</v>
      </c>
      <c r="AD25" s="237">
        <f>IFERROR(((Data!AD25-Data!AD24)/Data!AD24),0)</f>
        <v>0.10484401184455684</v>
      </c>
      <c r="AE25" s="237">
        <f>IFERROR(((Data!AE25-Data!AE24)/Data!AE24),0)</f>
        <v>-6.3451774234069502E-2</v>
      </c>
      <c r="AF25" s="237">
        <f>IFERROR(((Data!AF25-Data!AF24)/Data!AF24),0)</f>
        <v>-9.1564629602383152E-2</v>
      </c>
      <c r="AG25" s="238">
        <f>IFERROR(((Data!AG25-Data!AG24)/Data!AG24),0)</f>
        <v>-2.0898934261208455E-2</v>
      </c>
      <c r="AH25" s="238">
        <f>IFERROR(((Data!AH25-Data!AH24)/Data!AH24),0)</f>
        <v>-3.4241716274426078E-2</v>
      </c>
      <c r="AI25" s="238">
        <f>IFERROR(((Data!AI25-Data!AI24)/Data!AI24),0)</f>
        <v>-4.726904745878166E-2</v>
      </c>
      <c r="AJ25" s="238">
        <f>IFERROR(((Data!AJ25-Data!AJ24)/Data!AJ24),0)</f>
        <v>0</v>
      </c>
      <c r="AK25" s="238">
        <f>IFERROR(((Data!AK25-Data!AK24)/Data!AK24),0)</f>
        <v>0</v>
      </c>
      <c r="AL25" s="239">
        <f>IFERROR(((Data!AL25-Data!AL24)/Data!AL24),0)</f>
        <v>0.15186703708471636</v>
      </c>
      <c r="AM25" s="239">
        <f>IFERROR(((Data!AM25-Data!AM24)/Data!AM24),0)</f>
        <v>2.2129798967100143E-3</v>
      </c>
      <c r="AN25" s="239">
        <f>IFERROR(((Data!AN25-Data!AN24)/Data!AN24),0)</f>
        <v>0</v>
      </c>
      <c r="AO25" s="239">
        <f>IFERROR(((Data!AO25-Data!AO24)/Data!AO24),0)</f>
        <v>-8.0104024899737752E-2</v>
      </c>
      <c r="AP25" s="239">
        <f>IFERROR(((Data!AP25-Data!AP24)/Data!AP24),0)</f>
        <v>6.6518849956490017E-2</v>
      </c>
      <c r="AQ25" s="240">
        <f>IFERROR(((Data!AQ25-Data!AQ24)/Data!AQ24),0)</f>
        <v>-5.3817270811524882E-2</v>
      </c>
      <c r="AR25" s="240">
        <f>IFERROR(((Data!AR25-Data!AR24)/Data!AR24),0)</f>
        <v>-0.12177360672119038</v>
      </c>
      <c r="AS25" s="240">
        <f>IFERROR(((Data!AS25-Data!AS24)/Data!AS24),0)</f>
        <v>-0.32070365384228039</v>
      </c>
      <c r="AT25" s="240">
        <f>IFERROR(((Data!AT25-Data!AT24)/Data!AT24),0)</f>
        <v>0.27431619203329011</v>
      </c>
      <c r="AU25" s="241">
        <f>IFERROR(((Data!AU25-Data!AU24)/Data!AU24),0)</f>
        <v>2.2727272727272645E-2</v>
      </c>
      <c r="AV25" s="227">
        <f>IFERROR(((Data!AV25-Data!AV24)/Data!AV24),0)</f>
        <v>-6.2710569138371003E-2</v>
      </c>
      <c r="AW25" s="227">
        <f>IFERROR(((Data!AW25-Data!AW24)/Data!AW24),0)</f>
        <v>-2.1414634653003538E-2</v>
      </c>
      <c r="AX25" s="227">
        <f>IFERROR(((Data!AX25-Data!AX24)/Data!AX24),0)</f>
        <v>-5.660518536762027E-2</v>
      </c>
      <c r="AY25" s="227">
        <f>IFERROR(((Data!AY25-Data!AY24)/Data!AY24),0)</f>
        <v>0</v>
      </c>
      <c r="AZ25" s="227">
        <f>IFERROR(((Data!AZ25-Data!AZ24)/Data!AZ24),0)</f>
        <v>-8.6236660635613249E-2</v>
      </c>
      <c r="BA25" s="228">
        <f>IFERROR(((Data!BA25-Data!BA24)/Data!BA24),0)</f>
        <v>-4.0222014519012146E-2</v>
      </c>
      <c r="BB25" s="228">
        <f>IFERROR(((Data!BB25-Data!BB24)/Data!BB24),0)</f>
        <v>-5.6992487356615745E-2</v>
      </c>
      <c r="BC25" s="228">
        <f>IFERROR(((Data!BC25-Data!BC24)/Data!BC24),0)</f>
        <v>0</v>
      </c>
      <c r="BD25" s="228">
        <f>IFERROR(((Data!BD25-Data!BD24)/Data!BD24),0)</f>
        <v>0</v>
      </c>
      <c r="BE25" s="228">
        <f>IFERROR(((Data!BE25-Data!BE24)/Data!BE24),0)</f>
        <v>0</v>
      </c>
      <c r="BF25" s="229">
        <f>IFERROR(((Data!BF25-Data!BF24)/Data!BF24),0)</f>
        <v>6.9093182398119943E-2</v>
      </c>
      <c r="BG25" s="229">
        <f>IFERROR(((Data!BG25-Data!BG24)/Data!BG24),0)</f>
        <v>-3.3805440725628452E-2</v>
      </c>
      <c r="BH25" s="229">
        <f>IFERROR(((Data!BH25-Data!BH24)/Data!BH24),0)</f>
        <v>0.24990149103279194</v>
      </c>
      <c r="BI25" s="229">
        <f>IFERROR(((Data!BI25-Data!BI24)/Data!BI24),0)</f>
        <v>-4.2115678972481467E-3</v>
      </c>
      <c r="BJ25" s="229">
        <f>IFERROR(((Data!BJ25-Data!BJ24)/Data!BJ24),0)</f>
        <v>7.9754524595718634E-2</v>
      </c>
    </row>
    <row r="26" spans="2:62">
      <c r="B26" s="214">
        <v>43983</v>
      </c>
      <c r="C26" s="230">
        <f>IFERROR(((Data!C26-Data!C25)/Data!C25),0)</f>
        <v>0.17039075528785455</v>
      </c>
      <c r="D26" s="230">
        <f>IFERROR(((Data!D26-Data!D25)/Data!D25),0)</f>
        <v>0.12931029582475967</v>
      </c>
      <c r="E26" s="231">
        <f>IFERROR(((Data!E26-Data!E25)/Data!E25),0)</f>
        <v>4.0546715122871335E-2</v>
      </c>
      <c r="F26" s="231">
        <f>IFERROR(((Data!F26-Data!F25)/Data!F25),0)</f>
        <v>0.37595318843734743</v>
      </c>
      <c r="G26" s="231">
        <f>IFERROR(((Data!G26-Data!G25)/Data!G25),0)</f>
        <v>0.11103837364616095</v>
      </c>
      <c r="H26" s="232">
        <f>IFERROR(((Data!H26-Data!H25)/Data!H25),0)</f>
        <v>0.11147868113734415</v>
      </c>
      <c r="I26" s="232">
        <f>IFERROR(((Data!I26-Data!I25)/Data!I25),0)</f>
        <v>0.12000202492604746</v>
      </c>
      <c r="J26" s="232">
        <f>IFERROR(((Data!J26-Data!J25)/Data!J25),0)</f>
        <v>5.6370855436263738E-2</v>
      </c>
      <c r="K26" s="232">
        <f>IFERROR(((Data!K26-Data!K25)/Data!K25),0)</f>
        <v>0.16289597285067867</v>
      </c>
      <c r="L26" s="232">
        <f>IFERROR(((Data!L26-Data!L25)/Data!L25),0)</f>
        <v>-0.10545720194018164</v>
      </c>
      <c r="M26" s="233">
        <f>IFERROR(((Data!M26-Data!M25)/Data!M25),0)</f>
        <v>-2.7411464719382227E-3</v>
      </c>
      <c r="N26" s="233">
        <f>IFERROR(((Data!N26-Data!N25)/Data!N25),0)</f>
        <v>-3.1022374927346451E-2</v>
      </c>
      <c r="O26" s="233">
        <f>IFERROR(((Data!O26-Data!O25)/Data!O25),0)</f>
        <v>3.4935917686530767E-2</v>
      </c>
      <c r="P26" s="233">
        <f>IFERROR(((Data!P26-Data!P25)/Data!P25),0)</f>
        <v>0.50914349973522099</v>
      </c>
      <c r="Q26" s="233">
        <f>IFERROR(((Data!Q26-Data!Q25)/Data!Q25),0)</f>
        <v>0.39023436535321754</v>
      </c>
      <c r="R26" s="234">
        <f>IFERROR(((Data!R26-Data!R25)/Data!R25),0)</f>
        <v>1.2228445840098563E-2</v>
      </c>
      <c r="S26" s="234">
        <f>IFERROR(((Data!S26-Data!S25)/Data!S25),0)</f>
        <v>0</v>
      </c>
      <c r="T26" s="234">
        <f>IFERROR(((Data!T26-Data!T25)/Data!T25),0)</f>
        <v>-1.7258605710958809E-2</v>
      </c>
      <c r="U26" s="234">
        <f>IFERROR(((Data!U26-Data!U25)/Data!U25),0)</f>
        <v>0.27015254162062019</v>
      </c>
      <c r="V26" s="235">
        <f>IFERROR(((Data!V26-Data!V25)/Data!V25),0)</f>
        <v>0</v>
      </c>
      <c r="W26" s="236">
        <f>IFERROR(((Data!W26-Data!W25)/Data!W25),0)</f>
        <v>0.44348349693925587</v>
      </c>
      <c r="X26" s="236">
        <f>IFERROR(((Data!X26-Data!X25)/Data!X25),0)</f>
        <v>0.22708630942285832</v>
      </c>
      <c r="Y26" s="236">
        <f>IFERROR(((Data!Y26-Data!Y25)/Data!Y25),0)</f>
        <v>2.0408280664920939E-2</v>
      </c>
      <c r="Z26" s="236">
        <f>IFERROR(((Data!Z26-Data!Z25)/Data!Z25),0)</f>
        <v>0.31115105529005327</v>
      </c>
      <c r="AA26" s="236">
        <f>IFERROR(((Data!AA26-Data!AA25)/Data!AA25),0)</f>
        <v>1.236842105263158</v>
      </c>
      <c r="AB26" s="237">
        <f>IFERROR(((Data!AB26-Data!AB25)/Data!AB25),0)</f>
        <v>0.1051789850030044</v>
      </c>
      <c r="AC26" s="237">
        <f>IFERROR(((Data!AC26-Data!AC25)/Data!AC25),0)</f>
        <v>1.9586197805339843E-2</v>
      </c>
      <c r="AD26" s="237">
        <f>IFERROR(((Data!AD26-Data!AD25)/Data!AD25),0)</f>
        <v>-2.8938692991258307E-3</v>
      </c>
      <c r="AE26" s="237">
        <f>IFERROR(((Data!AE26-Data!AE25)/Data!AE25),0)</f>
        <v>0.167344153088991</v>
      </c>
      <c r="AF26" s="237">
        <f>IFERROR(((Data!AF26-Data!AF25)/Data!AF25),0)</f>
        <v>0.11507947001976242</v>
      </c>
      <c r="AG26" s="238">
        <f>IFERROR(((Data!AG26-Data!AG25)/Data!AG25),0)</f>
        <v>5.5669662025698313E-2</v>
      </c>
      <c r="AH26" s="238">
        <f>IFERROR(((Data!AH26-Data!AH25)/Data!AH25),0)</f>
        <v>7.9548327365832658E-2</v>
      </c>
      <c r="AI26" s="238">
        <f>IFERROR(((Data!AI26-Data!AI25)/Data!AI25),0)</f>
        <v>0.17309442533392022</v>
      </c>
      <c r="AJ26" s="238">
        <f>IFERROR(((Data!AJ26-Data!AJ25)/Data!AJ25),0)</f>
        <v>0</v>
      </c>
      <c r="AK26" s="238">
        <f>IFERROR(((Data!AK26-Data!AK25)/Data!AK25),0)</f>
        <v>0</v>
      </c>
      <c r="AL26" s="239">
        <f>IFERROR(((Data!AL26-Data!AL25)/Data!AL25),0)</f>
        <v>-6.782887467780066E-2</v>
      </c>
      <c r="AM26" s="239">
        <f>IFERROR(((Data!AM26-Data!AM25)/Data!AM25),0)</f>
        <v>4.7798340735544058E-2</v>
      </c>
      <c r="AN26" s="239">
        <f>IFERROR(((Data!AN26-Data!AN25)/Data!AN25),0)</f>
        <v>0</v>
      </c>
      <c r="AO26" s="239">
        <f>IFERROR(((Data!AO26-Data!AO25)/Data!AO25),0)</f>
        <v>4.1277827998972255E-2</v>
      </c>
      <c r="AP26" s="239">
        <f>IFERROR(((Data!AP26-Data!AP25)/Data!AP25),0)</f>
        <v>0.69646572542477025</v>
      </c>
      <c r="AQ26" s="240">
        <f>IFERROR(((Data!AQ26-Data!AQ25)/Data!AQ25),0)</f>
        <v>5.6878306009329763E-2</v>
      </c>
      <c r="AR26" s="240">
        <f>IFERROR(((Data!AR26-Data!AR25)/Data!AR25),0)</f>
        <v>-4.2200490294524828E-2</v>
      </c>
      <c r="AS26" s="240">
        <f>IFERROR(((Data!AS26-Data!AS25)/Data!AS25),0)</f>
        <v>0.30677285245472402</v>
      </c>
      <c r="AT26" s="240">
        <f>IFERROR(((Data!AT26-Data!AT25)/Data!AT25),0)</f>
        <v>8.9444541428140064E-4</v>
      </c>
      <c r="AU26" s="241">
        <f>IFERROR(((Data!AU26-Data!AU25)/Data!AU25),0)</f>
        <v>0.26666661111111112</v>
      </c>
      <c r="AV26" s="227">
        <f>IFERROR(((Data!AV26-Data!AV25)/Data!AV25),0)</f>
        <v>5.9615491168081125E-2</v>
      </c>
      <c r="AW26" s="227">
        <f>IFERROR(((Data!AW26-Data!AW25)/Data!AW25),0)</f>
        <v>-1.3550445040478257E-2</v>
      </c>
      <c r="AX26" s="227">
        <f>IFERROR(((Data!AX26-Data!AX25)/Data!AX25),0)</f>
        <v>7.8049557477902168E-2</v>
      </c>
      <c r="AY26" s="227">
        <f>IFERROR(((Data!AY26-Data!AY25)/Data!AY25),0)</f>
        <v>0</v>
      </c>
      <c r="AZ26" s="227">
        <f>IFERROR(((Data!AZ26-Data!AZ25)/Data!AZ25),0)</f>
        <v>0.10343533486389313</v>
      </c>
      <c r="BA26" s="228">
        <f>IFERROR(((Data!BA26-Data!BA25)/Data!BA25),0)</f>
        <v>0.28106931455030709</v>
      </c>
      <c r="BB26" s="228">
        <f>IFERROR(((Data!BB26-Data!BB25)/Data!BB25),0)</f>
        <v>0.11162621574550939</v>
      </c>
      <c r="BC26" s="228">
        <f>IFERROR(((Data!BC26-Data!BC25)/Data!BC25),0)</f>
        <v>0</v>
      </c>
      <c r="BD26" s="228">
        <f>IFERROR(((Data!BD26-Data!BD25)/Data!BD25),0)</f>
        <v>0</v>
      </c>
      <c r="BE26" s="228">
        <f>IFERROR(((Data!BE26-Data!BE25)/Data!BE25),0)</f>
        <v>0</v>
      </c>
      <c r="BF26" s="229">
        <f>IFERROR(((Data!BF26-Data!BF25)/Data!BF25),0)</f>
        <v>5.3279359102586882E-2</v>
      </c>
      <c r="BG26" s="229">
        <f>IFERROR(((Data!BG26-Data!BG25)/Data!BG25),0)</f>
        <v>4.7677659522048374E-2</v>
      </c>
      <c r="BH26" s="229">
        <f>IFERROR(((Data!BH26-Data!BH25)/Data!BH25),0)</f>
        <v>0.10456836412406909</v>
      </c>
      <c r="BI26" s="229">
        <f>IFERROR(((Data!BI26-Data!BI25)/Data!BI25),0)</f>
        <v>0.2796051609381684</v>
      </c>
      <c r="BJ26" s="229">
        <f>IFERROR(((Data!BJ26-Data!BJ25)/Data!BJ25),0)</f>
        <v>0.6625633037462163</v>
      </c>
    </row>
    <row r="27" spans="2:62">
      <c r="B27" s="214">
        <v>44013</v>
      </c>
      <c r="C27" s="230">
        <f>IFERROR(((Data!C27-Data!C26)/Data!C26),0)</f>
        <v>0.18748779454234418</v>
      </c>
      <c r="D27" s="230">
        <f>IFERROR(((Data!D27-Data!D26)/Data!D26),0)</f>
        <v>6.5139990733345587E-2</v>
      </c>
      <c r="E27" s="231">
        <f>IFERROR(((Data!E27-Data!E26)/Data!E26),0)</f>
        <v>7.2701061533746267E-2</v>
      </c>
      <c r="F27" s="231">
        <f>IFERROR(((Data!F27-Data!F26)/Data!F26),0)</f>
        <v>1.5887798283138362E-2</v>
      </c>
      <c r="G27" s="231">
        <f>IFERROR(((Data!G27-Data!G26)/Data!G26),0)</f>
        <v>-4.9676133655427807E-2</v>
      </c>
      <c r="H27" s="232">
        <f>IFERROR(((Data!H27-Data!H26)/Data!H26),0)</f>
        <v>3.8958366522264783E-3</v>
      </c>
      <c r="I27" s="232">
        <f>IFERROR(((Data!I27-Data!I26)/Data!I26),0)</f>
        <v>-3.1008038474808892E-2</v>
      </c>
      <c r="J27" s="232">
        <f>IFERROR(((Data!J27-Data!J26)/Data!J26),0)</f>
        <v>6.147795760680503E-2</v>
      </c>
      <c r="K27" s="232">
        <f>IFERROR(((Data!K27-Data!K26)/Data!K26),0)</f>
        <v>3.5019414979789346E-2</v>
      </c>
      <c r="L27" s="232">
        <f>IFERROR(((Data!L27-Data!L26)/Data!L26),0)</f>
        <v>-8.2443609296458113E-4</v>
      </c>
      <c r="M27" s="233">
        <f>IFERROR(((Data!M27-Data!M26)/Data!M26),0)</f>
        <v>0.12422032451176511</v>
      </c>
      <c r="N27" s="233">
        <f>IFERROR(((Data!N27-Data!N26)/Data!N26),0)</f>
        <v>0.14603465978136262</v>
      </c>
      <c r="O27" s="233">
        <f>IFERROR(((Data!O27-Data!O26)/Data!O26),0)</f>
        <v>0.13334204051944479</v>
      </c>
      <c r="P27" s="233">
        <f>IFERROR(((Data!P27-Data!P26)/Data!P26),0)</f>
        <v>0.34619467641437535</v>
      </c>
      <c r="Q27" s="233">
        <f>IFERROR(((Data!Q27-Data!Q26)/Data!Q26),0)</f>
        <v>0.34266140615307883</v>
      </c>
      <c r="R27" s="234">
        <f>IFERROR(((Data!R27-Data!R26)/Data!R26),0)</f>
        <v>-3.2003426278438753E-2</v>
      </c>
      <c r="S27" s="234">
        <f>IFERROR(((Data!S27-Data!S26)/Data!S26),0)</f>
        <v>0</v>
      </c>
      <c r="T27" s="234">
        <f>IFERROR(((Data!T27-Data!T26)/Data!T26),0)</f>
        <v>-4.6605909892018592E-2</v>
      </c>
      <c r="U27" s="234">
        <f>IFERROR(((Data!U27-Data!U26)/Data!U26),0)</f>
        <v>-5.1457610696045587E-3</v>
      </c>
      <c r="V27" s="235">
        <f>IFERROR(((Data!V27-Data!V26)/Data!V26),0)</f>
        <v>0</v>
      </c>
      <c r="W27" s="236">
        <f>IFERROR(((Data!W27-Data!W26)/Data!W26),0)</f>
        <v>-5.0717602607480559E-2</v>
      </c>
      <c r="X27" s="236">
        <f>IFERROR(((Data!X27-Data!X26)/Data!X26),0)</f>
        <v>8.5841671834606476E-2</v>
      </c>
      <c r="Y27" s="236">
        <f>IFERROR(((Data!Y27-Data!Y26)/Data!Y26),0)</f>
        <v>1.4999921371307953E-2</v>
      </c>
      <c r="Z27" s="236">
        <f>IFERROR(((Data!Z27-Data!Z26)/Data!Z26),0)</f>
        <v>-4.938265418688198E-2</v>
      </c>
      <c r="AA27" s="236">
        <f>IFERROR(((Data!AA27-Data!AA26)/Data!AA26),0)</f>
        <v>-0.22352941176470592</v>
      </c>
      <c r="AB27" s="237">
        <f>IFERROR(((Data!AB27-Data!AB26)/Data!AB26),0)</f>
        <v>-5.8127514660488884E-2</v>
      </c>
      <c r="AC27" s="237">
        <f>IFERROR(((Data!AC27-Data!AC26)/Data!AC26),0)</f>
        <v>0.1368801883709081</v>
      </c>
      <c r="AD27" s="237">
        <f>IFERROR(((Data!AD27-Data!AD26)/Data!AD26),0)</f>
        <v>5.7466772063247282E-2</v>
      </c>
      <c r="AE27" s="237">
        <f>IFERROR(((Data!AE27-Data!AE26)/Data!AE26),0)</f>
        <v>3.1921067163759323E-2</v>
      </c>
      <c r="AF27" s="237">
        <f>IFERROR(((Data!AF27-Data!AF26)/Data!AF26),0)</f>
        <v>0.12526702463291142</v>
      </c>
      <c r="AG27" s="238">
        <f>IFERROR(((Data!AG27-Data!AG26)/Data!AG26),0)</f>
        <v>9.891525411814639E-2</v>
      </c>
      <c r="AH27" s="238">
        <f>IFERROR(((Data!AH27-Data!AH26)/Data!AH26),0)</f>
        <v>0.31258926108691532</v>
      </c>
      <c r="AI27" s="238">
        <f>IFERROR(((Data!AI27-Data!AI26)/Data!AI26),0)</f>
        <v>4.7587200714378761E-2</v>
      </c>
      <c r="AJ27" s="238">
        <f>IFERROR(((Data!AJ27-Data!AJ26)/Data!AJ26),0)</f>
        <v>0</v>
      </c>
      <c r="AK27" s="238">
        <f>IFERROR(((Data!AK27-Data!AK26)/Data!AK26),0)</f>
        <v>0</v>
      </c>
      <c r="AL27" s="239">
        <f>IFERROR(((Data!AL27-Data!AL26)/Data!AL26),0)</f>
        <v>-0.18907079922743333</v>
      </c>
      <c r="AM27" s="239">
        <f>IFERROR(((Data!AM27-Data!AM26)/Data!AM26),0)</f>
        <v>-4.0783549644726316E-2</v>
      </c>
      <c r="AN27" s="239">
        <f>IFERROR(((Data!AN27-Data!AN26)/Data!AN26),0)</f>
        <v>0</v>
      </c>
      <c r="AO27" s="239">
        <f>IFERROR(((Data!AO27-Data!AO26)/Data!AO26),0)</f>
        <v>0.10371994532231778</v>
      </c>
      <c r="AP27" s="239">
        <f>IFERROR(((Data!AP27-Data!AP26)/Data!AP26),0)</f>
        <v>-3.6763971489312793E-3</v>
      </c>
      <c r="AQ27" s="240">
        <f>IFERROR(((Data!AQ27-Data!AQ26)/Data!AQ26),0)</f>
        <v>-4.4430576324612024E-2</v>
      </c>
      <c r="AR27" s="240">
        <f>IFERROR(((Data!AR27-Data!AR26)/Data!AR26),0)</f>
        <v>2.0456309701915525E-2</v>
      </c>
      <c r="AS27" s="240">
        <f>IFERROR(((Data!AS27-Data!AS26)/Data!AS26),0)</f>
        <v>-2.5152401489765244E-2</v>
      </c>
      <c r="AT27" s="240">
        <f>IFERROR(((Data!AT27-Data!AT26)/Data!AT26),0)</f>
        <v>-6.0470695970139501E-2</v>
      </c>
      <c r="AU27" s="241">
        <f>IFERROR(((Data!AU27-Data!AU26)/Data!AU26),0)</f>
        <v>3.5087764696831863E-2</v>
      </c>
      <c r="AV27" s="227">
        <f>IFERROR(((Data!AV27-Data!AV26)/Data!AV26),0)</f>
        <v>2.0633861258411344E-2</v>
      </c>
      <c r="AW27" s="227">
        <f>IFERROR(((Data!AW27-Data!AW26)/Data!AW26),0)</f>
        <v>-3.4415726345087307E-2</v>
      </c>
      <c r="AX27" s="227">
        <f>IFERROR(((Data!AX27-Data!AX26)/Data!AX26),0)</f>
        <v>3.9870974418744362E-2</v>
      </c>
      <c r="AY27" s="227">
        <f>IFERROR(((Data!AY27-Data!AY26)/Data!AY26),0)</f>
        <v>0</v>
      </c>
      <c r="AZ27" s="227">
        <f>IFERROR(((Data!AZ27-Data!AZ26)/Data!AZ26),0)</f>
        <v>0.20116304715935118</v>
      </c>
      <c r="BA27" s="228">
        <f>IFERROR(((Data!BA27-Data!BA26)/Data!BA26),0)</f>
        <v>8.1218449610474641E-2</v>
      </c>
      <c r="BB27" s="228">
        <f>IFERROR(((Data!BB27-Data!BB26)/Data!BB26),0)</f>
        <v>-0.10088157295232029</v>
      </c>
      <c r="BC27" s="228">
        <f>IFERROR(((Data!BC27-Data!BC26)/Data!BC26),0)</f>
        <v>0</v>
      </c>
      <c r="BD27" s="228">
        <f>IFERROR(((Data!BD27-Data!BD26)/Data!BD26),0)</f>
        <v>0</v>
      </c>
      <c r="BE27" s="228">
        <f>IFERROR(((Data!BE27-Data!BE26)/Data!BE26),0)</f>
        <v>0</v>
      </c>
      <c r="BF27" s="229">
        <f>IFERROR(((Data!BF27-Data!BF26)/Data!BF26),0)</f>
        <v>-2.4287579675947756E-2</v>
      </c>
      <c r="BG27" s="229">
        <f>IFERROR(((Data!BG27-Data!BG26)/Data!BG26),0)</f>
        <v>0.12452964792739593</v>
      </c>
      <c r="BH27" s="229">
        <f>IFERROR(((Data!BH27-Data!BH26)/Data!BH26),0)</f>
        <v>-5.0003926882816505E-2</v>
      </c>
      <c r="BI27" s="229">
        <f>IFERROR(((Data!BI27-Data!BI26)/Data!BI26),0)</f>
        <v>7.7686044120908737E-2</v>
      </c>
      <c r="BJ27" s="229">
        <f>IFERROR(((Data!BJ27-Data!BJ26)/Data!BJ26),0)</f>
        <v>0.11942274196583486</v>
      </c>
    </row>
    <row r="28" spans="2:62">
      <c r="B28" s="214">
        <v>44044</v>
      </c>
      <c r="C28" s="230">
        <f>IFERROR(((Data!C28-Data!C27)/Data!C27),0)</f>
        <v>5.0349796170122861E-3</v>
      </c>
      <c r="D28" s="230">
        <f>IFERROR(((Data!D28-Data!D27)/Data!D27),0)</f>
        <v>0.36837065438635841</v>
      </c>
      <c r="E28" s="231">
        <f>IFERROR(((Data!E28-Data!E27)/Data!E27),0)</f>
        <v>9.2163962189799914E-2</v>
      </c>
      <c r="F28" s="231">
        <f>IFERROR(((Data!F28-Data!F27)/Data!F27),0)</f>
        <v>0.17148564740543207</v>
      </c>
      <c r="G28" s="231">
        <f>IFERROR(((Data!G28-Data!G27)/Data!G27),0)</f>
        <v>0.21714642013639493</v>
      </c>
      <c r="H28" s="232">
        <f>IFERROR(((Data!H28-Data!H27)/Data!H27),0)</f>
        <v>2.6066227899593231E-2</v>
      </c>
      <c r="I28" s="232">
        <f>IFERROR(((Data!I28-Data!I27)/Data!I27),0)</f>
        <v>8.0412308708305971E-2</v>
      </c>
      <c r="J28" s="232">
        <f>IFERROR(((Data!J28-Data!J27)/Data!J27),0)</f>
        <v>0.15081665326309068</v>
      </c>
      <c r="K28" s="232">
        <f>IFERROR(((Data!K28-Data!K27)/Data!K27),0)</f>
        <v>0.20300751879699241</v>
      </c>
      <c r="L28" s="232">
        <f>IFERROR(((Data!L28-Data!L27)/Data!L27),0)</f>
        <v>0.11386143274533581</v>
      </c>
      <c r="M28" s="233">
        <f>IFERROR(((Data!M28-Data!M27)/Data!M27),0)</f>
        <v>-2.1534761789199677E-2</v>
      </c>
      <c r="N28" s="233">
        <f>IFERROR(((Data!N28-Data!N27)/Data!N27),0)</f>
        <v>-5.0624055671196308E-2</v>
      </c>
      <c r="O28" s="233">
        <f>IFERROR(((Data!O28-Data!O27)/Data!O27),0)</f>
        <v>-7.5120088312188721E-2</v>
      </c>
      <c r="P28" s="233">
        <f>IFERROR(((Data!P28-Data!P27)/Data!P27),0)</f>
        <v>1.816156507527198E-3</v>
      </c>
      <c r="Q28" s="233">
        <f>IFERROR(((Data!Q28-Data!Q27)/Data!Q27),0)</f>
        <v>2.3606908990913372E-2</v>
      </c>
      <c r="R28" s="234">
        <f>IFERROR(((Data!R28-Data!R27)/Data!R27),0)</f>
        <v>3.4484619308656518E-2</v>
      </c>
      <c r="S28" s="234">
        <f>IFERROR(((Data!S28-Data!S27)/Data!S27),0)</f>
        <v>0</v>
      </c>
      <c r="T28" s="234">
        <f>IFERROR(((Data!T28-Data!T27)/Data!T27),0)</f>
        <v>0.121856257407116</v>
      </c>
      <c r="U28" s="234">
        <f>IFERROR(((Data!U28-Data!U27)/Data!U27),0)</f>
        <v>0.1741379278602801</v>
      </c>
      <c r="V28" s="235">
        <f>IFERROR(((Data!V28-Data!V27)/Data!V27),0)</f>
        <v>0</v>
      </c>
      <c r="W28" s="236">
        <f>IFERROR(((Data!W28-Data!W27)/Data!W27),0)</f>
        <v>0.32907678841761556</v>
      </c>
      <c r="X28" s="236">
        <f>IFERROR(((Data!X28-Data!X27)/Data!X27),0)</f>
        <v>0.2452401316741071</v>
      </c>
      <c r="Y28" s="236">
        <f>IFERROR(((Data!Y28-Data!Y27)/Data!Y27),0)</f>
        <v>6.6502382700219104E-2</v>
      </c>
      <c r="Z28" s="236">
        <f>IFERROR(((Data!Z28-Data!Z27)/Data!Z27),0)</f>
        <v>5.483394729195229E-2</v>
      </c>
      <c r="AA28" s="236">
        <f>IFERROR(((Data!AA28-Data!AA27)/Data!AA27),0)</f>
        <v>3.0303030303030332E-2</v>
      </c>
      <c r="AB28" s="237">
        <f>IFERROR(((Data!AB28-Data!AB27)/Data!AB27),0)</f>
        <v>-6.5779560747937976E-2</v>
      </c>
      <c r="AC28" s="237">
        <f>IFERROR(((Data!AC28-Data!AC27)/Data!AC27),0)</f>
        <v>-4.3389313091782816E-2</v>
      </c>
      <c r="AD28" s="237">
        <f>IFERROR(((Data!AD28-Data!AD27)/Data!AD27),0)</f>
        <v>-4.8852841182141636E-2</v>
      </c>
      <c r="AE28" s="237">
        <f>IFERROR(((Data!AE28-Data!AE27)/Data!AE27),0)</f>
        <v>1.5185578960954347E-2</v>
      </c>
      <c r="AF28" s="237">
        <f>IFERROR(((Data!AF28-Data!AF27)/Data!AF27),0)</f>
        <v>0.20936111563550824</v>
      </c>
      <c r="AG28" s="238">
        <f>IFERROR(((Data!AG28-Data!AG27)/Data!AG27),0)</f>
        <v>-8.3662625995122586E-3</v>
      </c>
      <c r="AH28" s="238">
        <f>IFERROR(((Data!AH28-Data!AH27)/Data!AH27),0)</f>
        <v>-3.8716406309509954E-2</v>
      </c>
      <c r="AI28" s="238">
        <f>IFERROR(((Data!AI28-Data!AI27)/Data!AI27),0)</f>
        <v>0.1640909657903131</v>
      </c>
      <c r="AJ28" s="238">
        <f>IFERROR(((Data!AJ28-Data!AJ27)/Data!AJ27),0)</f>
        <v>0</v>
      </c>
      <c r="AK28" s="238">
        <f>IFERROR(((Data!AK28-Data!AK27)/Data!AK27),0)</f>
        <v>0</v>
      </c>
      <c r="AL28" s="239">
        <f>IFERROR(((Data!AL28-Data!AL27)/Data!AL27),0)</f>
        <v>0.46702714239413756</v>
      </c>
      <c r="AM28" s="239">
        <f>IFERROR(((Data!AM28-Data!AM27)/Data!AM27),0)</f>
        <v>0.16981140765522165</v>
      </c>
      <c r="AN28" s="239">
        <f>IFERROR(((Data!AN28-Data!AN27)/Data!AN27),0)</f>
        <v>0</v>
      </c>
      <c r="AO28" s="239">
        <f>IFERROR(((Data!AO28-Data!AO27)/Data!AO27),0)</f>
        <v>0.12939719382176024</v>
      </c>
      <c r="AP28" s="239">
        <f>IFERROR(((Data!AP28-Data!AP27)/Data!AP27),0)</f>
        <v>-6.5190697899596681E-2</v>
      </c>
      <c r="AQ28" s="240">
        <f>IFERROR(((Data!AQ28-Data!AQ27)/Data!AQ27),0)</f>
        <v>0.36664338032644506</v>
      </c>
      <c r="AR28" s="240">
        <f>IFERROR(((Data!AR28-Data!AR27)/Data!AR27),0)</f>
        <v>0.3523516653817253</v>
      </c>
      <c r="AS28" s="240">
        <f>IFERROR(((Data!AS28-Data!AS27)/Data!AS27),0)</f>
        <v>0.22204847971777203</v>
      </c>
      <c r="AT28" s="240">
        <f>IFERROR(((Data!AT28-Data!AT27)/Data!AT27),0)</f>
        <v>0.1160431699819347</v>
      </c>
      <c r="AU28" s="241">
        <f>IFERROR(((Data!AU28-Data!AU27)/Data!AU27),0)</f>
        <v>0.20762711864406772</v>
      </c>
      <c r="AV28" s="227">
        <f>IFERROR(((Data!AV28-Data!AV27)/Data!AV27),0)</f>
        <v>-3.7782972270593948E-2</v>
      </c>
      <c r="AW28" s="227">
        <f>IFERROR(((Data!AW28-Data!AW27)/Data!AW27),0)</f>
        <v>-3.4659395843451873E-2</v>
      </c>
      <c r="AX28" s="227">
        <f>IFERROR(((Data!AX28-Data!AX27)/Data!AX27),0)</f>
        <v>3.9401107552652047E-2</v>
      </c>
      <c r="AY28" s="227">
        <f>IFERROR(((Data!AY28-Data!AY27)/Data!AY27),0)</f>
        <v>0</v>
      </c>
      <c r="AZ28" s="227">
        <f>IFERROR(((Data!AZ28-Data!AZ27)/Data!AZ27),0)</f>
        <v>-2.0222111134842846E-2</v>
      </c>
      <c r="BA28" s="228">
        <f>IFERROR(((Data!BA28-Data!BA27)/Data!BA27),0)</f>
        <v>0.10693763540188929</v>
      </c>
      <c r="BB28" s="228">
        <f>IFERROR(((Data!BB28-Data!BB27)/Data!BB27),0)</f>
        <v>0.2083829632381782</v>
      </c>
      <c r="BC28" s="228">
        <f>IFERROR(((Data!BC28-Data!BC27)/Data!BC27),0)</f>
        <v>0</v>
      </c>
      <c r="BD28" s="228">
        <f>IFERROR(((Data!BD28-Data!BD27)/Data!BD27),0)</f>
        <v>0</v>
      </c>
      <c r="BE28" s="228">
        <f>IFERROR(((Data!BE28-Data!BE27)/Data!BE27),0)</f>
        <v>0</v>
      </c>
      <c r="BF28" s="229">
        <f>IFERROR(((Data!BF28-Data!BF27)/Data!BF27),0)</f>
        <v>4.8660222396873136E-3</v>
      </c>
      <c r="BG28" s="229">
        <f>IFERROR(((Data!BG28-Data!BG27)/Data!BG27),0)</f>
        <v>5.8140750886843541E-2</v>
      </c>
      <c r="BH28" s="229">
        <f>IFERROR(((Data!BH28-Data!BH27)/Data!BH27),0)</f>
        <v>5.1696046610980144E-2</v>
      </c>
      <c r="BI28" s="229">
        <f>IFERROR(((Data!BI28-Data!BI27)/Data!BI27),0)</f>
        <v>1.0319977554128066E-2</v>
      </c>
      <c r="BJ28" s="229">
        <f>IFERROR(((Data!BJ28-Data!BJ27)/Data!BJ27),0)</f>
        <v>-6.0888715410889034E-2</v>
      </c>
    </row>
    <row r="29" spans="2:62">
      <c r="B29" s="214">
        <v>44075</v>
      </c>
      <c r="C29" s="230">
        <f>IFERROR(((Data!C29-Data!C28)/Data!C28),0)</f>
        <v>1.6477136431711286E-3</v>
      </c>
      <c r="D29" s="230">
        <f>IFERROR(((Data!D29-Data!D28)/Data!D28),0)</f>
        <v>-6.9134022886445309E-2</v>
      </c>
      <c r="E29" s="231">
        <f>IFERROR(((Data!E29-Data!E28)/Data!E28),0)</f>
        <v>-5.2400409048864597E-3</v>
      </c>
      <c r="F29" s="231">
        <f>IFERROR(((Data!F29-Data!F28)/Data!F28),0)</f>
        <v>6.9543565149770101E-2</v>
      </c>
      <c r="G29" s="231">
        <f>IFERROR(((Data!G29-Data!G28)/Data!G28),0)</f>
        <v>-2.1288395627400831E-2</v>
      </c>
      <c r="H29" s="232">
        <f>IFERROR(((Data!H29-Data!H28)/Data!H28),0)</f>
        <v>-9.501543174858465E-2</v>
      </c>
      <c r="I29" s="232">
        <f>IFERROR(((Data!I29-Data!I28)/Data!I28),0)</f>
        <v>-3.3382558822525658E-2</v>
      </c>
      <c r="J29" s="232">
        <f>IFERROR(((Data!J29-Data!J28)/Data!J28),0)</f>
        <v>-0.1451434356866666</v>
      </c>
      <c r="K29" s="232">
        <f>IFERROR(((Data!K29-Data!K28)/Data!K28),0)</f>
        <v>-6.406246874999999E-2</v>
      </c>
      <c r="L29" s="232">
        <f>IFERROR(((Data!L29-Data!L28)/Data!L28),0)</f>
        <v>3.5185139023791695E-2</v>
      </c>
      <c r="M29" s="233">
        <f>IFERROR(((Data!M29-Data!M28)/Data!M28),0)</f>
        <v>-3.6226288052736401E-2</v>
      </c>
      <c r="N29" s="233">
        <f>IFERROR(((Data!N29-Data!N28)/Data!N28),0)</f>
        <v>0.21645129544826172</v>
      </c>
      <c r="O29" s="233">
        <f>IFERROR(((Data!O29-Data!O28)/Data!O28),0)</f>
        <v>-1.3891862656973931E-2</v>
      </c>
      <c r="P29" s="233">
        <f>IFERROR(((Data!P29-Data!P28)/Data!P28),0)</f>
        <v>0.19829757076756946</v>
      </c>
      <c r="Q29" s="233">
        <f>IFERROR(((Data!Q29-Data!Q28)/Data!Q28),0)</f>
        <v>5.183491758297995E-2</v>
      </c>
      <c r="R29" s="234">
        <f>IFERROR(((Data!R29-Data!R28)/Data!R28),0)</f>
        <v>-3.7544713349214276E-2</v>
      </c>
      <c r="S29" s="234">
        <f>IFERROR(((Data!S29-Data!S28)/Data!S28),0)</f>
        <v>0</v>
      </c>
      <c r="T29" s="234">
        <f>IFERROR(((Data!T29-Data!T28)/Data!T28),0)</f>
        <v>-3.5996228004187177E-2</v>
      </c>
      <c r="U29" s="234">
        <f>IFERROR(((Data!U29-Data!U28)/Data!U28),0)</f>
        <v>4.5521233978054236E-2</v>
      </c>
      <c r="V29" s="235">
        <f>IFERROR(((Data!V29-Data!V28)/Data!V28),0)</f>
        <v>0</v>
      </c>
      <c r="W29" s="236">
        <f>IFERROR(((Data!W29-Data!W28)/Data!W28),0)</f>
        <v>0.62915510988404189</v>
      </c>
      <c r="X29" s="236">
        <f>IFERROR(((Data!X29-Data!X28)/Data!X28),0)</f>
        <v>-9.2765995944951829E-2</v>
      </c>
      <c r="Y29" s="236">
        <f>IFERROR(((Data!Y29-Data!Y28)/Data!Y28),0)</f>
        <v>-6.6974428598298164E-2</v>
      </c>
      <c r="Z29" s="236">
        <f>IFERROR(((Data!Z29-Data!Z28)/Data!Z28),0)</f>
        <v>-6.429537401493618E-2</v>
      </c>
      <c r="AA29" s="236">
        <f>IFERROR(((Data!AA29-Data!AA28)/Data!AA28),0)</f>
        <v>-0.19117647058823528</v>
      </c>
      <c r="AB29" s="237">
        <f>IFERROR(((Data!AB29-Data!AB28)/Data!AB28),0)</f>
        <v>-1.2844480672903123E-3</v>
      </c>
      <c r="AC29" s="237">
        <f>IFERROR(((Data!AC29-Data!AC28)/Data!AC28),0)</f>
        <v>3.0633927514305877E-2</v>
      </c>
      <c r="AD29" s="237">
        <f>IFERROR(((Data!AD29-Data!AD28)/Data!AD28),0)</f>
        <v>3.7322208554094786E-2</v>
      </c>
      <c r="AE29" s="237">
        <f>IFERROR(((Data!AE29-Data!AE28)/Data!AE28),0)</f>
        <v>-6.980612742382275E-2</v>
      </c>
      <c r="AF29" s="237">
        <f>IFERROR(((Data!AF29-Data!AF28)/Data!AF28),0)</f>
        <v>0.11244755609972459</v>
      </c>
      <c r="AG29" s="238">
        <f>IFERROR(((Data!AG29-Data!AG28)/Data!AG28),0)</f>
        <v>0.10413123781728981</v>
      </c>
      <c r="AH29" s="238">
        <f>IFERROR(((Data!AH29-Data!AH28)/Data!AH28),0)</f>
        <v>8.5774366693602361E-2</v>
      </c>
      <c r="AI29" s="238">
        <f>IFERROR(((Data!AI29-Data!AI28)/Data!AI28),0)</f>
        <v>0.19743202039278795</v>
      </c>
      <c r="AJ29" s="238">
        <f>IFERROR(((Data!AJ29-Data!AJ28)/Data!AJ28),0)</f>
        <v>0</v>
      </c>
      <c r="AK29" s="238">
        <f>IFERROR(((Data!AK29-Data!AK28)/Data!AK28),0)</f>
        <v>0</v>
      </c>
      <c r="AL29" s="239">
        <f>IFERROR(((Data!AL29-Data!AL28)/Data!AL28),0)</f>
        <v>2.6283401261326167E-2</v>
      </c>
      <c r="AM29" s="239">
        <f>IFERROR(((Data!AM29-Data!AM28)/Data!AM28),0)</f>
        <v>2.8833317553134882E-2</v>
      </c>
      <c r="AN29" s="239">
        <f>IFERROR(((Data!AN29-Data!AN28)/Data!AN28),0)</f>
        <v>0</v>
      </c>
      <c r="AO29" s="239">
        <f>IFERROR(((Data!AO29-Data!AO28)/Data!AO28),0)</f>
        <v>-0.15617510553908626</v>
      </c>
      <c r="AP29" s="239">
        <f>IFERROR(((Data!AP29-Data!AP28)/Data!AP28),0)</f>
        <v>-0.13026318421052632</v>
      </c>
      <c r="AQ29" s="240">
        <f>IFERROR(((Data!AQ29-Data!AQ28)/Data!AQ28),0)</f>
        <v>-8.3895694395232936E-2</v>
      </c>
      <c r="AR29" s="240">
        <f>IFERROR(((Data!AR29-Data!AR28)/Data!AR28),0)</f>
        <v>-6.2986912860301988E-2</v>
      </c>
      <c r="AS29" s="240">
        <f>IFERROR(((Data!AS29-Data!AS28)/Data!AS28),0)</f>
        <v>-0.11484322876180621</v>
      </c>
      <c r="AT29" s="240">
        <f>IFERROR(((Data!AT29-Data!AT28)/Data!AT28),0)</f>
        <v>-4.4034135362860605E-2</v>
      </c>
      <c r="AU29" s="241">
        <f>IFERROR(((Data!AU29-Data!AU28)/Data!AU28),0)</f>
        <v>-2.105263157894742E-2</v>
      </c>
      <c r="AV29" s="227">
        <f>IFERROR(((Data!AV29-Data!AV28)/Data!AV28),0)</f>
        <v>-2.3189316988316624E-2</v>
      </c>
      <c r="AW29" s="227">
        <f>IFERROR(((Data!AW29-Data!AW28)/Data!AW28),0)</f>
        <v>-1.9372816811589208E-3</v>
      </c>
      <c r="AX29" s="227">
        <f>IFERROR(((Data!AX29-Data!AX28)/Data!AX28),0)</f>
        <v>-4.5027321858423432E-2</v>
      </c>
      <c r="AY29" s="227">
        <f>IFERROR(((Data!AY29-Data!AY28)/Data!AY28),0)</f>
        <v>0</v>
      </c>
      <c r="AZ29" s="227">
        <f>IFERROR(((Data!AZ29-Data!AZ28)/Data!AZ28),0)</f>
        <v>6.2790744106695343E-2</v>
      </c>
      <c r="BA29" s="228">
        <f>IFERROR(((Data!BA29-Data!BA28)/Data!BA28),0)</f>
        <v>-9.7549314157849482E-2</v>
      </c>
      <c r="BB29" s="228">
        <f>IFERROR(((Data!BB29-Data!BB28)/Data!BB28),0)</f>
        <v>1.4208195542960976E-3</v>
      </c>
      <c r="BC29" s="228">
        <f>IFERROR(((Data!BC29-Data!BC28)/Data!BC28),0)</f>
        <v>0</v>
      </c>
      <c r="BD29" s="228">
        <f>IFERROR(((Data!BD29-Data!BD28)/Data!BD28),0)</f>
        <v>0</v>
      </c>
      <c r="BE29" s="228">
        <f>IFERROR(((Data!BE29-Data!BE28)/Data!BE28),0)</f>
        <v>0</v>
      </c>
      <c r="BF29" s="229">
        <f>IFERROR(((Data!BF29-Data!BF28)/Data!BF28),0)</f>
        <v>7.2825450916384496E-2</v>
      </c>
      <c r="BG29" s="229">
        <f>IFERROR(((Data!BG29-Data!BG28)/Data!BG28),0)</f>
        <v>6.0405873411540833E-3</v>
      </c>
      <c r="BH29" s="229">
        <f>IFERROR(((Data!BH29-Data!BH28)/Data!BH28),0)</f>
        <v>1.3095321487822269E-2</v>
      </c>
      <c r="BI29" s="229">
        <f>IFERROR(((Data!BI29-Data!BI28)/Data!BI28),0)</f>
        <v>-2.9962586584200795E-2</v>
      </c>
      <c r="BJ29" s="229">
        <f>IFERROR(((Data!BJ29-Data!BJ28)/Data!BJ28),0)</f>
        <v>-5.1833169541500884E-2</v>
      </c>
    </row>
    <row r="30" spans="2:62">
      <c r="B30" s="214">
        <v>44105</v>
      </c>
      <c r="C30" s="230">
        <f>IFERROR(((Data!C30-Data!C29)/Data!C29),0)</f>
        <v>-2.2865517861466275E-2</v>
      </c>
      <c r="D30" s="230">
        <f>IFERROR(((Data!D30-Data!D29)/Data!D29),0)</f>
        <v>-4.8762157748130615E-3</v>
      </c>
      <c r="E30" s="231">
        <f>IFERROR(((Data!E30-Data!E29)/Data!E29),0)</f>
        <v>3.2876237981874015E-2</v>
      </c>
      <c r="F30" s="231">
        <f>IFERROR(((Data!F30-Data!F29)/Data!F29),0)</f>
        <v>-5.6458644754244287E-2</v>
      </c>
      <c r="G30" s="231">
        <f>IFERROR(((Data!G30-Data!G29)/Data!G29),0)</f>
        <v>-1.9620931547501299E-2</v>
      </c>
      <c r="H30" s="232">
        <f>IFERROR(((Data!H30-Data!H29)/Data!H29),0)</f>
        <v>0.22015452990449755</v>
      </c>
      <c r="I30" s="232">
        <f>IFERROR(((Data!I30-Data!I29)/Data!I29),0)</f>
        <v>9.7302134573419144E-2</v>
      </c>
      <c r="J30" s="232">
        <f>IFERROR(((Data!J30-Data!J29)/Data!J29),0)</f>
        <v>0.15977863509150356</v>
      </c>
      <c r="K30" s="232">
        <f>IFERROR(((Data!K30-Data!K29)/Data!K29),0)</f>
        <v>2.1702803949822942E-2</v>
      </c>
      <c r="L30" s="232">
        <f>IFERROR(((Data!L30-Data!L29)/Data!L29),0)</f>
        <v>5.6887263419369075E-2</v>
      </c>
      <c r="M30" s="233">
        <f>IFERROR(((Data!M30-Data!M29)/Data!M29),0)</f>
        <v>-6.9337565788942054E-2</v>
      </c>
      <c r="N30" s="233">
        <f>IFERROR(((Data!N30-Data!N29)/Data!N29),0)</f>
        <v>-5.7664227371747576E-2</v>
      </c>
      <c r="O30" s="233">
        <f>IFERROR(((Data!O30-Data!O29)/Data!O29),0)</f>
        <v>-2.9943439302665652E-2</v>
      </c>
      <c r="P30" s="233">
        <f>IFERROR(((Data!P30-Data!P29)/Data!P29),0)</f>
        <v>-0.17363851158704557</v>
      </c>
      <c r="Q30" s="233">
        <f>IFERROR(((Data!Q30-Data!Q29)/Data!Q29),0)</f>
        <v>2.5714339002427526E-2</v>
      </c>
      <c r="R30" s="234">
        <f>IFERROR(((Data!R30-Data!R29)/Data!R29),0)</f>
        <v>3.0945023011319815E-2</v>
      </c>
      <c r="S30" s="234">
        <f>IFERROR(((Data!S30-Data!S29)/Data!S29),0)</f>
        <v>0</v>
      </c>
      <c r="T30" s="234">
        <f>IFERROR(((Data!T30-Data!T29)/Data!T29),0)</f>
        <v>4.2368575840769078E-2</v>
      </c>
      <c r="U30" s="234">
        <f>IFERROR(((Data!U30-Data!U29)/Data!U29),0)</f>
        <v>-4.2092982155370558E-2</v>
      </c>
      <c r="V30" s="235">
        <f>IFERROR(((Data!V30-Data!V29)/Data!V29),0)</f>
        <v>0</v>
      </c>
      <c r="W30" s="236">
        <f>IFERROR(((Data!W30-Data!W29)/Data!W29),0)</f>
        <v>0.16106297704109479</v>
      </c>
      <c r="X30" s="236">
        <f>IFERROR(((Data!X30-Data!X29)/Data!X29),0)</f>
        <v>-2.1575940428760172E-2</v>
      </c>
      <c r="Y30" s="236">
        <f>IFERROR(((Data!Y30-Data!Y29)/Data!Y29),0)</f>
        <v>-2.0472543002534069E-3</v>
      </c>
      <c r="Z30" s="236">
        <f>IFERROR(((Data!Z30-Data!Z29)/Data!Z29),0)</f>
        <v>-2.1929768472353593E-3</v>
      </c>
      <c r="AA30" s="236">
        <f>IFERROR(((Data!AA30-Data!AA29)/Data!AA29),0)</f>
        <v>0.27272727272727271</v>
      </c>
      <c r="AB30" s="237">
        <f>IFERROR(((Data!AB30-Data!AB29)/Data!AB29),0)</f>
        <v>7.0968387336325919E-2</v>
      </c>
      <c r="AC30" s="237">
        <f>IFERROR(((Data!AC30-Data!AC29)/Data!AC29),0)</f>
        <v>0.19677434307356939</v>
      </c>
      <c r="AD30" s="237">
        <f>IFERROR(((Data!AD30-Data!AD29)/Data!AD29),0)</f>
        <v>0.12952053636914942</v>
      </c>
      <c r="AE30" s="237">
        <f>IFERROR(((Data!AE30-Data!AE29)/Data!AE29),0)</f>
        <v>-1.3103026078726326E-2</v>
      </c>
      <c r="AF30" s="237">
        <f>IFERROR(((Data!AF30-Data!AF29)/Data!AF29),0)</f>
        <v>0.22555541742222382</v>
      </c>
      <c r="AG30" s="238">
        <f>IFERROR(((Data!AG30-Data!AG29)/Data!AG29),0)</f>
        <v>6.9233240663351514E-2</v>
      </c>
      <c r="AH30" s="238">
        <f>IFERROR(((Data!AH30-Data!AH29)/Data!AH29),0)</f>
        <v>5.1921706614346017E-2</v>
      </c>
      <c r="AI30" s="238">
        <f>IFERROR(((Data!AI30-Data!AI29)/Data!AI29),0)</f>
        <v>0.19199682569377571</v>
      </c>
      <c r="AJ30" s="238">
        <f>IFERROR(((Data!AJ30-Data!AJ29)/Data!AJ29),0)</f>
        <v>0</v>
      </c>
      <c r="AK30" s="238">
        <f>IFERROR(((Data!AK30-Data!AK29)/Data!AK29),0)</f>
        <v>0</v>
      </c>
      <c r="AL30" s="239">
        <f>IFERROR(((Data!AL30-Data!AL29)/Data!AL29),0)</f>
        <v>-9.9306941671148077E-2</v>
      </c>
      <c r="AM30" s="239">
        <f>IFERROR(((Data!AM30-Data!AM29)/Data!AM29),0)</f>
        <v>-9.3739912449414986E-2</v>
      </c>
      <c r="AN30" s="239">
        <f>IFERROR(((Data!AN30-Data!AN29)/Data!AN29),0)</f>
        <v>0</v>
      </c>
      <c r="AO30" s="239">
        <f>IFERROR(((Data!AO30-Data!AO29)/Data!AO29),0)</f>
        <v>5.1844450121704702E-2</v>
      </c>
      <c r="AP30" s="239">
        <f>IFERROR(((Data!AP30-Data!AP29)/Data!AP29),0)</f>
        <v>4.9924419059740384E-2</v>
      </c>
      <c r="AQ30" s="240">
        <f>IFERROR(((Data!AQ30-Data!AQ29)/Data!AQ29),0)</f>
        <v>4.2104031596299262E-3</v>
      </c>
      <c r="AR30" s="240">
        <f>IFERROR(((Data!AR30-Data!AR29)/Data!AR29),0)</f>
        <v>-6.8238173676748726E-2</v>
      </c>
      <c r="AS30" s="240">
        <f>IFERROR(((Data!AS30-Data!AS29)/Data!AS29),0)</f>
        <v>-1.4094773512333748E-2</v>
      </c>
      <c r="AT30" s="240">
        <f>IFERROR(((Data!AT30-Data!AT29)/Data!AT29),0)</f>
        <v>-6.5378604823265064E-3</v>
      </c>
      <c r="AU30" s="241">
        <f>IFERROR(((Data!AU30-Data!AU29)/Data!AU29),0)</f>
        <v>-3.2258064516128983E-2</v>
      </c>
      <c r="AV30" s="227">
        <f>IFERROR(((Data!AV30-Data!AV29)/Data!AV29),0)</f>
        <v>1.4746360922143213E-3</v>
      </c>
      <c r="AW30" s="227">
        <f>IFERROR(((Data!AW30-Data!AW29)/Data!AW29),0)</f>
        <v>7.8081286307530806E-2</v>
      </c>
      <c r="AX30" s="227">
        <f>IFERROR(((Data!AX30-Data!AX29)/Data!AX29),0)</f>
        <v>-6.2151004908395042E-2</v>
      </c>
      <c r="AY30" s="227">
        <f>IFERROR(((Data!AY30-Data!AY29)/Data!AY29),0)</f>
        <v>0</v>
      </c>
      <c r="AZ30" s="227">
        <f>IFERROR(((Data!AZ30-Data!AZ29)/Data!AZ29),0)</f>
        <v>3.2832343609546913E-2</v>
      </c>
      <c r="BA30" s="228">
        <f>IFERROR(((Data!BA30-Data!BA29)/Data!BA29),0)</f>
        <v>-7.9343474562865668E-2</v>
      </c>
      <c r="BB30" s="228">
        <f>IFERROR(((Data!BB30-Data!BB29)/Data!BB29),0)</f>
        <v>-0.12700497782136061</v>
      </c>
      <c r="BC30" s="228">
        <f>IFERROR(((Data!BC30-Data!BC29)/Data!BC29),0)</f>
        <v>0</v>
      </c>
      <c r="BD30" s="228">
        <f>IFERROR(((Data!BD30-Data!BD29)/Data!BD29),0)</f>
        <v>0</v>
      </c>
      <c r="BE30" s="228">
        <f>IFERROR(((Data!BE30-Data!BE29)/Data!BE29),0)</f>
        <v>0</v>
      </c>
      <c r="BF30" s="229">
        <f>IFERROR(((Data!BF30-Data!BF29)/Data!BF29),0)</f>
        <v>-7.0334642862119573E-2</v>
      </c>
      <c r="BG30" s="229">
        <f>IFERROR(((Data!BG30-Data!BG29)/Data!BG29),0)</f>
        <v>-9.8727353687775396E-2</v>
      </c>
      <c r="BH30" s="229">
        <f>IFERROR(((Data!BH30-Data!BH29)/Data!BH29),0)</f>
        <v>-7.5162860988131061E-2</v>
      </c>
      <c r="BI30" s="229">
        <f>IFERROR(((Data!BI30-Data!BI29)/Data!BI29),0)</f>
        <v>-0.13057215502726344</v>
      </c>
      <c r="BJ30" s="229">
        <f>IFERROR(((Data!BJ30-Data!BJ29)/Data!BJ29),0)</f>
        <v>4.1523871316404247E-2</v>
      </c>
    </row>
    <row r="31" spans="2:62">
      <c r="B31" s="214">
        <v>44136</v>
      </c>
      <c r="C31" s="230">
        <f>IFERROR(((Data!C31-Data!C30)/Data!C30),0)</f>
        <v>0.21548822080369462</v>
      </c>
      <c r="D31" s="230">
        <f>IFERROR(((Data!D31-Data!D30)/Data!D30),0)</f>
        <v>0.35959298008571738</v>
      </c>
      <c r="E31" s="231">
        <f>IFERROR(((Data!E31-Data!E30)/Data!E30),0)</f>
        <v>1.014332139557061E-2</v>
      </c>
      <c r="F31" s="231">
        <f>IFERROR(((Data!F31-Data!F30)/Data!F30),0)</f>
        <v>0.10598378196452006</v>
      </c>
      <c r="G31" s="231">
        <f>IFERROR(((Data!G31-Data!G30)/Data!G30),0)</f>
        <v>0.13043058088018222</v>
      </c>
      <c r="H31" s="232">
        <f>IFERROR(((Data!H31-Data!H30)/Data!H30),0)</f>
        <v>0.23245441047269083</v>
      </c>
      <c r="I31" s="232">
        <f>IFERROR(((Data!I31-Data!I30)/Data!I30),0)</f>
        <v>0.21739665908908254</v>
      </c>
      <c r="J31" s="232">
        <f>IFERROR(((Data!J31-Data!J30)/Data!J30),0)</f>
        <v>0.22152279026390509</v>
      </c>
      <c r="K31" s="232">
        <f>IFERROR(((Data!K31-Data!K30)/Data!K30),0)</f>
        <v>0.2009803921568627</v>
      </c>
      <c r="L31" s="232">
        <f>IFERROR(((Data!L31-Data!L30)/Data!L30),0)</f>
        <v>0.25964797301760234</v>
      </c>
      <c r="M31" s="233">
        <f>IFERROR(((Data!M31-Data!M30)/Data!M30),0)</f>
        <v>9.855065339231743E-2</v>
      </c>
      <c r="N31" s="233">
        <f>IFERROR(((Data!N31-Data!N30)/Data!N30),0)</f>
        <v>-1.2211759405337521E-2</v>
      </c>
      <c r="O31" s="233">
        <f>IFERROR(((Data!O31-Data!O30)/Data!O30),0)</f>
        <v>0.12411825547318522</v>
      </c>
      <c r="P31" s="233">
        <f>IFERROR(((Data!P31-Data!P30)/Data!P30),0)</f>
        <v>0.26376939025589269</v>
      </c>
      <c r="Q31" s="233">
        <f>IFERROR(((Data!Q31-Data!Q30)/Data!Q30),0)</f>
        <v>1.6116182526664576E-2</v>
      </c>
      <c r="R31" s="234">
        <f>IFERROR(((Data!R31-Data!R30)/Data!R30),0)</f>
        <v>0.20753080724782114</v>
      </c>
      <c r="S31" s="234">
        <f>IFERROR(((Data!S31-Data!S30)/Data!S30),0)</f>
        <v>0</v>
      </c>
      <c r="T31" s="234">
        <f>IFERROR(((Data!T31-Data!T30)/Data!T30),0)</f>
        <v>0.1825647002593242</v>
      </c>
      <c r="U31" s="234">
        <f>IFERROR(((Data!U31-Data!U30)/Data!U30),0)</f>
        <v>0.2861356401494981</v>
      </c>
      <c r="V31" s="235">
        <f>IFERROR(((Data!V31-Data!V30)/Data!V30),0)</f>
        <v>0</v>
      </c>
      <c r="W31" s="236">
        <f>IFERROR(((Data!W31-Data!W30)/Data!W30),0)</f>
        <v>0.32695001419103181</v>
      </c>
      <c r="X31" s="236">
        <f>IFERROR(((Data!X31-Data!X30)/Data!X30),0)</f>
        <v>0.24448707808081865</v>
      </c>
      <c r="Y31" s="236">
        <f>IFERROR(((Data!Y31-Data!Y30)/Data!Y30),0)</f>
        <v>8.0604650272813799E-2</v>
      </c>
      <c r="Z31" s="236">
        <f>IFERROR(((Data!Z31-Data!Z30)/Data!Z30),0)</f>
        <v>9.8900942117323046E-2</v>
      </c>
      <c r="AA31" s="236">
        <f>IFERROR(((Data!AA31-Data!AA30)/Data!AA30),0)</f>
        <v>-0.11428571428571425</v>
      </c>
      <c r="AB31" s="237">
        <f>IFERROR(((Data!AB31-Data!AB30)/Data!AB30),0)</f>
        <v>0.12038961341722045</v>
      </c>
      <c r="AC31" s="237">
        <f>IFERROR(((Data!AC31-Data!AC30)/Data!AC30),0)</f>
        <v>5.1981771461091855E-3</v>
      </c>
      <c r="AD31" s="237">
        <f>IFERROR(((Data!AD31-Data!AD30)/Data!AD30),0)</f>
        <v>4.9835451973000891E-2</v>
      </c>
      <c r="AE31" s="237">
        <f>IFERROR(((Data!AE31-Data!AE30)/Data!AE30),0)</f>
        <v>8.3886604318324842E-2</v>
      </c>
      <c r="AF31" s="237">
        <f>IFERROR(((Data!AF31-Data!AF30)/Data!AF30),0)</f>
        <v>9.7523419719871926E-2</v>
      </c>
      <c r="AG31" s="238">
        <f>IFERROR(((Data!AG31-Data!AG30)/Data!AG30),0)</f>
        <v>9.8408694721327569E-3</v>
      </c>
      <c r="AH31" s="238">
        <f>IFERROR(((Data!AH31-Data!AH30)/Data!AH30),0)</f>
        <v>4.8290271201310582E-2</v>
      </c>
      <c r="AI31" s="238">
        <f>IFERROR(((Data!AI31-Data!AI30)/Data!AI30),0)</f>
        <v>3.5297642798897078E-2</v>
      </c>
      <c r="AJ31" s="238">
        <f>IFERROR(((Data!AJ31-Data!AJ30)/Data!AJ30),0)</f>
        <v>-7.3757288721215467E-2</v>
      </c>
      <c r="AK31" s="238">
        <f>IFERROR(((Data!AK31-Data!AK30)/Data!AK30),0)</f>
        <v>0</v>
      </c>
      <c r="AL31" s="239">
        <f>IFERROR(((Data!AL31-Data!AL30)/Data!AL30),0)</f>
        <v>2.5811699932087508E-2</v>
      </c>
      <c r="AM31" s="239">
        <f>IFERROR(((Data!AM31-Data!AM30)/Data!AM30),0)</f>
        <v>4.2535561894969563E-2</v>
      </c>
      <c r="AN31" s="239">
        <f>IFERROR(((Data!AN31-Data!AN30)/Data!AN30),0)</f>
        <v>0</v>
      </c>
      <c r="AO31" s="239">
        <f>IFERROR(((Data!AO31-Data!AO30)/Data!AO30),0)</f>
        <v>6.691476654666577E-3</v>
      </c>
      <c r="AP31" s="239">
        <f>IFERROR(((Data!AP31-Data!AP30)/Data!AP30),0)</f>
        <v>-1.729115223944809E-2</v>
      </c>
      <c r="AQ31" s="240">
        <f>IFERROR(((Data!AQ31-Data!AQ30)/Data!AQ30),0)</f>
        <v>0.23899364454876706</v>
      </c>
      <c r="AR31" s="240">
        <f>IFERROR(((Data!AR31-Data!AR30)/Data!AR30),0)</f>
        <v>0.19640477008092269</v>
      </c>
      <c r="AS31" s="240">
        <f>IFERROR(((Data!AS31-Data!AS30)/Data!AS30),0)</f>
        <v>0.10593850905887882</v>
      </c>
      <c r="AT31" s="240">
        <f>IFERROR(((Data!AT31-Data!AT30)/Data!AT30),0)</f>
        <v>0.1438827362017186</v>
      </c>
      <c r="AU31" s="241">
        <f>IFERROR(((Data!AU31-Data!AU30)/Data!AU30),0)</f>
        <v>0.23518511111111109</v>
      </c>
      <c r="AV31" s="227">
        <f>IFERROR(((Data!AV31-Data!AV30)/Data!AV30),0)</f>
        <v>3.8980887162129912E-2</v>
      </c>
      <c r="AW31" s="227">
        <f>IFERROR(((Data!AW31-Data!AW30)/Data!AW30),0)</f>
        <v>5.0668039172307604E-2</v>
      </c>
      <c r="AX31" s="227">
        <f>IFERROR(((Data!AX31-Data!AX30)/Data!AX30),0)</f>
        <v>0.33058471167573328</v>
      </c>
      <c r="AY31" s="227">
        <f>IFERROR(((Data!AY31-Data!AY30)/Data!AY30),0)</f>
        <v>0</v>
      </c>
      <c r="AZ31" s="227">
        <f>IFERROR(((Data!AZ31-Data!AZ30)/Data!AZ30),0)</f>
        <v>9.4906185648765712E-2</v>
      </c>
      <c r="BA31" s="228">
        <f>IFERROR(((Data!BA31-Data!BA30)/Data!BA30),0)</f>
        <v>0.27701148871296111</v>
      </c>
      <c r="BB31" s="228">
        <f>IFERROR(((Data!BB31-Data!BB30)/Data!BB30),0)</f>
        <v>0.1232038763419855</v>
      </c>
      <c r="BC31" s="228">
        <f>IFERROR(((Data!BC31-Data!BC30)/Data!BC30),0)</f>
        <v>0</v>
      </c>
      <c r="BD31" s="228">
        <f>IFERROR(((Data!BD31-Data!BD30)/Data!BD30),0)</f>
        <v>0</v>
      </c>
      <c r="BE31" s="228">
        <f>IFERROR(((Data!BE31-Data!BE30)/Data!BE30),0)</f>
        <v>0</v>
      </c>
      <c r="BF31" s="229">
        <f>IFERROR(((Data!BF31-Data!BF30)/Data!BF30),0)</f>
        <v>5.8570216644294661E-2</v>
      </c>
      <c r="BG31" s="229">
        <f>IFERROR(((Data!BG31-Data!BG30)/Data!BG30),0)</f>
        <v>-7.8433474427730368E-2</v>
      </c>
      <c r="BH31" s="229">
        <f>IFERROR(((Data!BH31-Data!BH30)/Data!BH30),0)</f>
        <v>-7.3709771977451544E-2</v>
      </c>
      <c r="BI31" s="229">
        <f>IFERROR(((Data!BI31-Data!BI30)/Data!BI30),0)</f>
        <v>0.1382722075807058</v>
      </c>
      <c r="BJ31" s="229">
        <f>IFERROR(((Data!BJ31-Data!BJ30)/Data!BJ30),0)</f>
        <v>1.517913511250032E-2</v>
      </c>
    </row>
    <row r="32" spans="2:62">
      <c r="B32" s="214">
        <v>44166</v>
      </c>
      <c r="C32" s="230">
        <f>IFERROR(((Data!C32-Data!C31)/Data!C31),0)</f>
        <v>-1.9390708954250648E-3</v>
      </c>
      <c r="D32" s="230">
        <f>IFERROR(((Data!D32-Data!D31)/Data!D31),0)</f>
        <v>1.9406677997017969E-2</v>
      </c>
      <c r="E32" s="231">
        <f>IFERROR(((Data!E32-Data!E31)/Data!E31),0)</f>
        <v>8.7239604049545935E-2</v>
      </c>
      <c r="F32" s="231">
        <f>IFERROR(((Data!F32-Data!F31)/Data!F31),0)</f>
        <v>1.237823895702286E-2</v>
      </c>
      <c r="G32" s="231">
        <f>IFERROR(((Data!G32-Data!G31)/Data!G31),0)</f>
        <v>0.17184540685388214</v>
      </c>
      <c r="H32" s="232">
        <f>IFERROR(((Data!H32-Data!H31)/Data!H31),0)</f>
        <v>4.6405512674572318E-2</v>
      </c>
      <c r="I32" s="232">
        <f>IFERROR(((Data!I32-Data!I31)/Data!I31),0)</f>
        <v>-3.1577300228415885E-3</v>
      </c>
      <c r="J32" s="232">
        <f>IFERROR(((Data!J32-Data!J31)/Data!J31),0)</f>
        <v>3.1333222152972559E-2</v>
      </c>
      <c r="K32" s="232">
        <f>IFERROR(((Data!K32-Data!K31)/Data!K31),0)</f>
        <v>8.1632380952380863E-3</v>
      </c>
      <c r="L32" s="232">
        <f>IFERROR(((Data!L32-Data!L31)/Data!L31),0)</f>
        <v>-3.1980653089260645E-2</v>
      </c>
      <c r="M32" s="233">
        <f>IFERROR(((Data!M32-Data!M31)/Data!M31),0)</f>
        <v>0.15772498932794826</v>
      </c>
      <c r="N32" s="233">
        <f>IFERROR(((Data!N32-Data!N31)/Data!N31),0)</f>
        <v>7.7894800730240049E-2</v>
      </c>
      <c r="O32" s="233">
        <f>IFERROR(((Data!O32-Data!O31)/Data!O31),0)</f>
        <v>6.2326696539050409E-2</v>
      </c>
      <c r="P32" s="233">
        <f>IFERROR(((Data!P32-Data!P31)/Data!P31),0)</f>
        <v>0.13943818326169516</v>
      </c>
      <c r="Q32" s="233">
        <f>IFERROR(((Data!Q32-Data!Q31)/Data!Q31),0)</f>
        <v>2.7021682381622534E-2</v>
      </c>
      <c r="R32" s="234">
        <f>IFERROR(((Data!R32-Data!R31)/Data!R31),0)</f>
        <v>0.16939423338246345</v>
      </c>
      <c r="S32" s="234">
        <f>IFERROR(((Data!S32-Data!S31)/Data!S31),0)</f>
        <v>0</v>
      </c>
      <c r="T32" s="234">
        <f>IFERROR(((Data!T32-Data!T31)/Data!T31),0)</f>
        <v>0.24385695801792648</v>
      </c>
      <c r="U32" s="234">
        <f>IFERROR(((Data!U32-Data!U31)/Data!U31),0)</f>
        <v>0.32224775333841982</v>
      </c>
      <c r="V32" s="235">
        <f>IFERROR(((Data!V32-Data!V31)/Data!V31),0)</f>
        <v>0</v>
      </c>
      <c r="W32" s="236">
        <f>IFERROR(((Data!W32-Data!W31)/Data!W31),0)</f>
        <v>-7.3741680948785387E-2</v>
      </c>
      <c r="X32" s="236">
        <f>IFERROR(((Data!X32-Data!X31)/Data!X31),0)</f>
        <v>0.16563939228095459</v>
      </c>
      <c r="Y32" s="236">
        <f>IFERROR(((Data!Y32-Data!Y31)/Data!Y31),0)</f>
        <v>5.594402165358503E-2</v>
      </c>
      <c r="Z32" s="236">
        <f>IFERROR(((Data!Z32-Data!Z31)/Data!Z31),0)</f>
        <v>0.11800005178636182</v>
      </c>
      <c r="AA32" s="236">
        <f>IFERROR(((Data!AA32-Data!AA31)/Data!AA31),0)</f>
        <v>9.6774193548387039E-2</v>
      </c>
      <c r="AB32" s="237">
        <f>IFERROR(((Data!AB32-Data!AB31)/Data!AB31),0)</f>
        <v>-1.2060689843149683E-2</v>
      </c>
      <c r="AC32" s="237">
        <f>IFERROR(((Data!AC32-Data!AC31)/Data!AC31),0)</f>
        <v>1.8769025449526869E-2</v>
      </c>
      <c r="AD32" s="237">
        <f>IFERROR(((Data!AD32-Data!AD31)/Data!AD31),0)</f>
        <v>0.1012390716652501</v>
      </c>
      <c r="AE32" s="237">
        <f>IFERROR(((Data!AE32-Data!AE31)/Data!AE31),0)</f>
        <v>0.11581284691048387</v>
      </c>
      <c r="AF32" s="237">
        <f>IFERROR(((Data!AF32-Data!AF31)/Data!AF31),0)</f>
        <v>4.9878275177421619E-2</v>
      </c>
      <c r="AG32" s="238">
        <f>IFERROR(((Data!AG32-Data!AG31)/Data!AG31),0)</f>
        <v>6.8329783579783684E-2</v>
      </c>
      <c r="AH32" s="238">
        <f>IFERROR(((Data!AH32-Data!AH31)/Data!AH31),0)</f>
        <v>0.14163656462643612</v>
      </c>
      <c r="AI32" s="238">
        <f>IFERROR(((Data!AI32-Data!AI31)/Data!AI31),0)</f>
        <v>0.15554856507068296</v>
      </c>
      <c r="AJ32" s="238">
        <f>IFERROR(((Data!AJ32-Data!AJ31)/Data!AJ31),0)</f>
        <v>9.6512089345591912E-2</v>
      </c>
      <c r="AK32" s="238">
        <f>IFERROR(((Data!AK32-Data!AK31)/Data!AK31),0)</f>
        <v>0</v>
      </c>
      <c r="AL32" s="239">
        <f>IFERROR(((Data!AL32-Data!AL31)/Data!AL31),0)</f>
        <v>0.15953294823263445</v>
      </c>
      <c r="AM32" s="239">
        <f>IFERROR(((Data!AM32-Data!AM31)/Data!AM31),0)</f>
        <v>9.2737721626614339E-2</v>
      </c>
      <c r="AN32" s="239">
        <f>IFERROR(((Data!AN32-Data!AN31)/Data!AN31),0)</f>
        <v>0</v>
      </c>
      <c r="AO32" s="239">
        <f>IFERROR(((Data!AO32-Data!AO31)/Data!AO31),0)</f>
        <v>0.12333823756935341</v>
      </c>
      <c r="AP32" s="239">
        <f>IFERROR(((Data!AP32-Data!AP31)/Data!AP31),0)</f>
        <v>5.2786044151674184E-2</v>
      </c>
      <c r="AQ32" s="240">
        <f>IFERROR(((Data!AQ32-Data!AQ31)/Data!AQ31),0)</f>
        <v>1.6074483423659823E-2</v>
      </c>
      <c r="AR32" s="240">
        <f>IFERROR(((Data!AR32-Data!AR31)/Data!AR31),0)</f>
        <v>2.2259417471027503E-3</v>
      </c>
      <c r="AS32" s="240">
        <f>IFERROR(((Data!AS32-Data!AS31)/Data!AS31),0)</f>
        <v>0.21577717404930022</v>
      </c>
      <c r="AT32" s="240">
        <f>IFERROR(((Data!AT32-Data!AT31)/Data!AT31),0)</f>
        <v>0.12578451588445472</v>
      </c>
      <c r="AU32" s="241">
        <f>IFERROR(((Data!AU32-Data!AU31)/Data!AU31),0)</f>
        <v>0.20689662410174658</v>
      </c>
      <c r="AV32" s="227">
        <f>IFERROR(((Data!AV32-Data!AV31)/Data!AV31),0)</f>
        <v>0.12028831112536437</v>
      </c>
      <c r="AW32" s="227">
        <f>IFERROR(((Data!AW32-Data!AW31)/Data!AW31),0)</f>
        <v>2.802286004082704E-2</v>
      </c>
      <c r="AX32" s="227">
        <f>IFERROR(((Data!AX32-Data!AX31)/Data!AX31),0)</f>
        <v>5.1239493484873951E-2</v>
      </c>
      <c r="AY32" s="227">
        <f>IFERROR(((Data!AY32-Data!AY31)/Data!AY31),0)</f>
        <v>0</v>
      </c>
      <c r="AZ32" s="227">
        <f>IFERROR(((Data!AZ32-Data!AZ31)/Data!AZ31),0)</f>
        <v>4.9461292495344325E-2</v>
      </c>
      <c r="BA32" s="228">
        <f>IFERROR(((Data!BA32-Data!BA31)/Data!BA31),0)</f>
        <v>7.9658019839611183E-2</v>
      </c>
      <c r="BB32" s="228">
        <f>IFERROR(((Data!BB32-Data!BB31)/Data!BB31),0)</f>
        <v>0.16109451550553083</v>
      </c>
      <c r="BC32" s="228">
        <f>IFERROR(((Data!BC32-Data!BC31)/Data!BC31),0)</f>
        <v>0</v>
      </c>
      <c r="BD32" s="228">
        <f>IFERROR(((Data!BD32-Data!BD31)/Data!BD31),0)</f>
        <v>0</v>
      </c>
      <c r="BE32" s="228">
        <f>IFERROR(((Data!BE32-Data!BE31)/Data!BE31),0)</f>
        <v>0</v>
      </c>
      <c r="BF32" s="229">
        <f>IFERROR(((Data!BF32-Data!BF31)/Data!BF31),0)</f>
        <v>3.4293850957871075E-2</v>
      </c>
      <c r="BG32" s="229">
        <f>IFERROR(((Data!BG32-Data!BG31)/Data!BG31),0)</f>
        <v>0.11647108639810033</v>
      </c>
      <c r="BH32" s="229">
        <f>IFERROR(((Data!BH32-Data!BH31)/Data!BH31),0)</f>
        <v>7.8316958074809193E-2</v>
      </c>
      <c r="BI32" s="229">
        <f>IFERROR(((Data!BI32-Data!BI31)/Data!BI31),0)</f>
        <v>-2.4828034019821347E-3</v>
      </c>
      <c r="BJ32" s="229">
        <f>IFERROR(((Data!BJ32-Data!BJ31)/Data!BJ31),0)</f>
        <v>-2.2031527964680483E-2</v>
      </c>
    </row>
    <row r="33" spans="2:62">
      <c r="B33" s="214">
        <v>44197</v>
      </c>
      <c r="C33" s="230">
        <f>IFERROR(((Data!C33-Data!C32)/Data!C32),0)</f>
        <v>4.0244230671087469E-2</v>
      </c>
      <c r="D33" s="230">
        <f>IFERROR(((Data!D33-Data!D32)/Data!D32),0)</f>
        <v>0.42888222988915825</v>
      </c>
      <c r="E33" s="231">
        <f>IFERROR(((Data!E33-Data!E32)/Data!E32),0)</f>
        <v>-5.7905016694020553E-2</v>
      </c>
      <c r="F33" s="231">
        <f>IFERROR(((Data!F33-Data!F32)/Data!F32),0)</f>
        <v>-1.1814730162571311E-2</v>
      </c>
      <c r="G33" s="231">
        <f>IFERROR(((Data!G33-Data!G32)/Data!G32),0)</f>
        <v>-3.341992077888269E-3</v>
      </c>
      <c r="H33" s="232">
        <f>IFERROR(((Data!H33-Data!H32)/Data!H32),0)</f>
        <v>-0.1416366486628774</v>
      </c>
      <c r="I33" s="232">
        <f>IFERROR(((Data!I33-Data!I32)/Data!I32),0)</f>
        <v>-3.1887469930414379E-2</v>
      </c>
      <c r="J33" s="232">
        <f>IFERROR(((Data!J33-Data!J32)/Data!J32),0)</f>
        <v>6.8418078086428052E-2</v>
      </c>
      <c r="K33" s="232">
        <f>IFERROR(((Data!K33-Data!K32)/Data!K32),0)</f>
        <v>0.27395417743466066</v>
      </c>
      <c r="L33" s="232">
        <f>IFERROR(((Data!L33-Data!L32)/Data!L32),0)</f>
        <v>-6.0244247591124775E-2</v>
      </c>
      <c r="M33" s="233">
        <f>IFERROR(((Data!M33-Data!M32)/Data!M32),0)</f>
        <v>-1.0382416962261934E-2</v>
      </c>
      <c r="N33" s="233">
        <f>IFERROR(((Data!N33-Data!N32)/Data!N32),0)</f>
        <v>-0.11573284442541105</v>
      </c>
      <c r="O33" s="233">
        <f>IFERROR(((Data!O33-Data!O32)/Data!O32),0)</f>
        <v>-1.7421088336085157E-2</v>
      </c>
      <c r="P33" s="233">
        <f>IFERROR(((Data!P33-Data!P32)/Data!P32),0)</f>
        <v>2.1224927984158978E-2</v>
      </c>
      <c r="Q33" s="233">
        <f>IFERROR(((Data!Q33-Data!Q32)/Data!Q32),0)</f>
        <v>9.7044836386088587E-2</v>
      </c>
      <c r="R33" s="234">
        <f>IFERROR(((Data!R33-Data!R32)/Data!R32),0)</f>
        <v>3.6579784081182509E-2</v>
      </c>
      <c r="S33" s="234">
        <f>IFERROR(((Data!S33-Data!S32)/Data!S32),0)</f>
        <v>0</v>
      </c>
      <c r="T33" s="234">
        <f>IFERROR(((Data!T33-Data!T32)/Data!T32),0)</f>
        <v>9.7058127803340555E-2</v>
      </c>
      <c r="U33" s="234">
        <f>IFERROR(((Data!U33-Data!U32)/Data!U32),0)</f>
        <v>2.2549792343450364E-2</v>
      </c>
      <c r="V33" s="235">
        <f>IFERROR(((Data!V33-Data!V32)/Data!V32),0)</f>
        <v>0</v>
      </c>
      <c r="W33" s="236">
        <f>IFERROR(((Data!W33-Data!W32)/Data!W32),0)</f>
        <v>-4.5316314922659605E-2</v>
      </c>
      <c r="X33" s="236">
        <f>IFERROR(((Data!X33-Data!X32)/Data!X32),0)</f>
        <v>-3.3047408378597425E-3</v>
      </c>
      <c r="Y33" s="236">
        <f>IFERROR(((Data!Y33-Data!Y32)/Data!Y32),0)</f>
        <v>5.9602601509868097E-2</v>
      </c>
      <c r="Z33" s="236">
        <f>IFERROR(((Data!Z33-Data!Z32)/Data!Z32),0)</f>
        <v>-6.3845536942208805E-2</v>
      </c>
      <c r="AA33" s="236">
        <f>IFERROR(((Data!AA33-Data!AA32)/Data!AA32),0)</f>
        <v>-2.941176470588238E-2</v>
      </c>
      <c r="AB33" s="237">
        <f>IFERROR(((Data!AB33-Data!AB32)/Data!AB32),0)</f>
        <v>-5.163184545600269E-2</v>
      </c>
      <c r="AC33" s="237">
        <f>IFERROR(((Data!AC33-Data!AC32)/Data!AC32),0)</f>
        <v>-2.2101604468963931E-2</v>
      </c>
      <c r="AD33" s="237">
        <f>IFERROR(((Data!AD33-Data!AD32)/Data!AD32),0)</f>
        <v>7.3939262188056874E-3</v>
      </c>
      <c r="AE33" s="237">
        <f>IFERROR(((Data!AE33-Data!AE32)/Data!AE32),0)</f>
        <v>-3.4930140766371479E-2</v>
      </c>
      <c r="AF33" s="237">
        <f>IFERROR(((Data!AF33-Data!AF32)/Data!AF32),0)</f>
        <v>-3.7327566340971501E-3</v>
      </c>
      <c r="AG33" s="238">
        <f>IFERROR(((Data!AG33-Data!AG32)/Data!AG32),0)</f>
        <v>8.6839731828760286E-2</v>
      </c>
      <c r="AH33" s="238">
        <f>IFERROR(((Data!AH33-Data!AH32)/Data!AH32),0)</f>
        <v>-1.3338204064738041E-2</v>
      </c>
      <c r="AI33" s="238">
        <f>IFERROR(((Data!AI33-Data!AI32)/Data!AI32),0)</f>
        <v>0.46602716254306931</v>
      </c>
      <c r="AJ33" s="238">
        <f>IFERROR(((Data!AJ33-Data!AJ32)/Data!AJ32),0)</f>
        <v>8.4242171265388292E-3</v>
      </c>
      <c r="AK33" s="238">
        <f>IFERROR(((Data!AK33-Data!AK32)/Data!AK32),0)</f>
        <v>0</v>
      </c>
      <c r="AL33" s="239">
        <f>IFERROR(((Data!AL33-Data!AL32)/Data!AL32),0)</f>
        <v>-1.565990999374145E-2</v>
      </c>
      <c r="AM33" s="239">
        <f>IFERROR(((Data!AM33-Data!AM32)/Data!AM32),0)</f>
        <v>-6.2402178616128576E-3</v>
      </c>
      <c r="AN33" s="239">
        <f>IFERROR(((Data!AN33-Data!AN32)/Data!AN32),0)</f>
        <v>0</v>
      </c>
      <c r="AO33" s="239">
        <f>IFERROR(((Data!AO33-Data!AO32)/Data!AO32),0)</f>
        <v>7.9114629078688714E-2</v>
      </c>
      <c r="AP33" s="239">
        <f>IFERROR(((Data!AP33-Data!AP32)/Data!AP32),0)</f>
        <v>9.7492473677299341E-3</v>
      </c>
      <c r="AQ33" s="240">
        <f>IFERROR(((Data!AQ33-Data!AQ32)/Data!AQ32),0)</f>
        <v>1.2489595428665021E-2</v>
      </c>
      <c r="AR33" s="240">
        <f>IFERROR(((Data!AR33-Data!AR32)/Data!AR32),0)</f>
        <v>3.2759529763143905E-2</v>
      </c>
      <c r="AS33" s="240">
        <f>IFERROR(((Data!AS33-Data!AS32)/Data!AS32),0)</f>
        <v>-6.5430754594244966E-2</v>
      </c>
      <c r="AT33" s="240">
        <f>IFERROR(((Data!AT33-Data!AT32)/Data!AT32),0)</f>
        <v>3.5307777003484309E-2</v>
      </c>
      <c r="AU33" s="241">
        <f>IFERROR(((Data!AU33-Data!AU32)/Data!AU32),0)</f>
        <v>2.857147826086958E-2</v>
      </c>
      <c r="AV33" s="227">
        <f>IFERROR(((Data!AV33-Data!AV32)/Data!AV32),0)</f>
        <v>-5.4896924305980553E-2</v>
      </c>
      <c r="AW33" s="227">
        <f>IFERROR(((Data!AW33-Data!AW32)/Data!AW32),0)</f>
        <v>-7.2334535630444771E-2</v>
      </c>
      <c r="AX33" s="227">
        <f>IFERROR(((Data!AX33-Data!AX32)/Data!AX32),0)</f>
        <v>-1.9049260677673381E-2</v>
      </c>
      <c r="AY33" s="227">
        <f>IFERROR(((Data!AY33-Data!AY32)/Data!AY32),0)</f>
        <v>0</v>
      </c>
      <c r="AZ33" s="227">
        <f>IFERROR(((Data!AZ33-Data!AZ32)/Data!AZ32),0)</f>
        <v>-2.3565130750335388E-2</v>
      </c>
      <c r="BA33" s="228">
        <f>IFERROR(((Data!BA33-Data!BA32)/Data!BA32),0)</f>
        <v>8.4201744088769834E-2</v>
      </c>
      <c r="BB33" s="228">
        <f>IFERROR(((Data!BB33-Data!BB32)/Data!BB32),0)</f>
        <v>5.0656118848602681E-2</v>
      </c>
      <c r="BC33" s="228">
        <f>IFERROR(((Data!BC33-Data!BC32)/Data!BC32),0)</f>
        <v>0</v>
      </c>
      <c r="BD33" s="228">
        <f>IFERROR(((Data!BD33-Data!BD32)/Data!BD32),0)</f>
        <v>0</v>
      </c>
      <c r="BE33" s="228">
        <f>IFERROR(((Data!BE33-Data!BE32)/Data!BE32),0)</f>
        <v>0</v>
      </c>
      <c r="BF33" s="229">
        <f>IFERROR(((Data!BF33-Data!BF32)/Data!BF32),0)</f>
        <v>7.024441930065034E-2</v>
      </c>
      <c r="BG33" s="229">
        <f>IFERROR(((Data!BG33-Data!BG32)/Data!BG32),0)</f>
        <v>0.20220862021937031</v>
      </c>
      <c r="BH33" s="229">
        <f>IFERROR(((Data!BH33-Data!BH32)/Data!BH32),0)</f>
        <v>-1.2642112481296342E-2</v>
      </c>
      <c r="BI33" s="229">
        <f>IFERROR(((Data!BI33-Data!BI32)/Data!BI32),0)</f>
        <v>-3.2355581351874808E-2</v>
      </c>
      <c r="BJ33" s="229">
        <f>IFERROR(((Data!BJ33-Data!BJ32)/Data!BJ32),0)</f>
        <v>5.438008423729343E-2</v>
      </c>
    </row>
    <row r="34" spans="2:62">
      <c r="B34" s="214">
        <v>44228</v>
      </c>
      <c r="C34" s="230">
        <f>IFERROR(((Data!C34-Data!C33)/Data!C33),0)</f>
        <v>7.5773849325365336E-2</v>
      </c>
      <c r="D34" s="230">
        <f>IFERROR(((Data!D34-Data!D33)/Data!D33),0)</f>
        <v>0.2293490758986996</v>
      </c>
      <c r="E34" s="231">
        <f>IFERROR(((Data!E34-Data!E33)/Data!E33),0)</f>
        <v>-4.7247965029188564E-2</v>
      </c>
      <c r="F34" s="231">
        <f>IFERROR(((Data!F34-Data!F33)/Data!F33),0)</f>
        <v>0.19741408570734767</v>
      </c>
      <c r="G34" s="231">
        <f>IFERROR(((Data!G34-Data!G33)/Data!G33),0)</f>
        <v>-3.9391330966898459E-2</v>
      </c>
      <c r="H34" s="232">
        <f>IFERROR(((Data!H34-Data!H33)/Data!H33),0)</f>
        <v>3.9347401598619561E-2</v>
      </c>
      <c r="I34" s="232">
        <f>IFERROR(((Data!I34-Data!I33)/Data!I33),0)</f>
        <v>0.10348789680897159</v>
      </c>
      <c r="J34" s="232">
        <f>IFERROR(((Data!J34-Data!J33)/Data!J33),0)</f>
        <v>9.3377463612261458E-2</v>
      </c>
      <c r="K34" s="232">
        <f>IFERROR(((Data!K34-Data!K33)/Data!K33),0)</f>
        <v>0.34427965372288871</v>
      </c>
      <c r="L34" s="232">
        <f>IFERROR(((Data!L34-Data!L33)/Data!L33),0)</f>
        <v>-2.3338380706846348E-2</v>
      </c>
      <c r="M34" s="233">
        <f>IFERROR(((Data!M34-Data!M33)/Data!M33),0)</f>
        <v>1.4329613907133925E-2</v>
      </c>
      <c r="N34" s="233">
        <f>IFERROR(((Data!N34-Data!N33)/Data!N33),0)</f>
        <v>-3.8270945592361272E-2</v>
      </c>
      <c r="O34" s="233">
        <f>IFERROR(((Data!O34-Data!O33)/Data!O33),0)</f>
        <v>-5.5288512715870403E-2</v>
      </c>
      <c r="P34" s="233">
        <f>IFERROR(((Data!P34-Data!P33)/Data!P33),0)</f>
        <v>3.788691152823187E-2</v>
      </c>
      <c r="Q34" s="233">
        <f>IFERROR(((Data!Q34-Data!Q33)/Data!Q33),0)</f>
        <v>0.16353842357975995</v>
      </c>
      <c r="R34" s="234">
        <f>IFERROR(((Data!R34-Data!R33)/Data!R33),0)</f>
        <v>8.0767191576109204E-2</v>
      </c>
      <c r="S34" s="234">
        <f>IFERROR(((Data!S34-Data!S33)/Data!S33),0)</f>
        <v>0</v>
      </c>
      <c r="T34" s="234">
        <f>IFERROR(((Data!T34-Data!T33)/Data!T33),0)</f>
        <v>0.18418475878287979</v>
      </c>
      <c r="U34" s="234">
        <f>IFERROR(((Data!U34-Data!U33)/Data!U33),0)</f>
        <v>0.51060227891264953</v>
      </c>
      <c r="V34" s="235">
        <f>IFERROR(((Data!V34-Data!V33)/Data!V33),0)</f>
        <v>0</v>
      </c>
      <c r="W34" s="236">
        <f>IFERROR(((Data!W34-Data!W33)/Data!W33),0)</f>
        <v>0.1541943957601099</v>
      </c>
      <c r="X34" s="236">
        <f>IFERROR(((Data!X34-Data!X33)/Data!X33),0)</f>
        <v>0.26193642735216022</v>
      </c>
      <c r="Y34" s="236">
        <f>IFERROR(((Data!Y34-Data!Y33)/Data!Y33),0)</f>
        <v>6.2500331733690451E-3</v>
      </c>
      <c r="Z34" s="236">
        <f>IFERROR(((Data!Z34-Data!Z33)/Data!Z33),0)</f>
        <v>2.9062206801909837E-2</v>
      </c>
      <c r="AA34" s="236">
        <f>IFERROR(((Data!AA34-Data!AA33)/Data!AA33),0)</f>
        <v>0.28787878787878796</v>
      </c>
      <c r="AB34" s="237">
        <f>IFERROR(((Data!AB34-Data!AB33)/Data!AB33),0)</f>
        <v>0.16371524661228662</v>
      </c>
      <c r="AC34" s="237">
        <f>IFERROR(((Data!AC34-Data!AC33)/Data!AC33),0)</f>
        <v>0.12389555400894738</v>
      </c>
      <c r="AD34" s="237">
        <f>IFERROR(((Data!AD34-Data!AD33)/Data!AD33),0)</f>
        <v>0.147871766533933</v>
      </c>
      <c r="AE34" s="237">
        <f>IFERROR(((Data!AE34-Data!AE33)/Data!AE33),0)</f>
        <v>1.3443671564953656E-2</v>
      </c>
      <c r="AF34" s="237">
        <f>IFERROR(((Data!AF34-Data!AF33)/Data!AF33),0)</f>
        <v>0.16042239307738931</v>
      </c>
      <c r="AG34" s="238">
        <f>IFERROR(((Data!AG34-Data!AG33)/Data!AG33),0)</f>
        <v>-6.7990549904164643E-2</v>
      </c>
      <c r="AH34" s="238">
        <f>IFERROR(((Data!AH34-Data!AH33)/Data!AH33),0)</f>
        <v>1.1500827571106561E-2</v>
      </c>
      <c r="AI34" s="238">
        <f>IFERROR(((Data!AI34-Data!AI33)/Data!AI33),0)</f>
        <v>-1.2171890082797364E-2</v>
      </c>
      <c r="AJ34" s="238">
        <f>IFERROR(((Data!AJ34-Data!AJ33)/Data!AJ33),0)</f>
        <v>0.5323347108889126</v>
      </c>
      <c r="AK34" s="238">
        <f>IFERROR(((Data!AK34-Data!AK33)/Data!AK33),0)</f>
        <v>0</v>
      </c>
      <c r="AL34" s="239">
        <f>IFERROR(((Data!AL34-Data!AL33)/Data!AL33),0)</f>
        <v>-8.6363627188006581E-2</v>
      </c>
      <c r="AM34" s="239">
        <f>IFERROR(((Data!AM34-Data!AM33)/Data!AM33),0)</f>
        <v>3.2339201640039214E-2</v>
      </c>
      <c r="AN34" s="239">
        <f>IFERROR(((Data!AN34-Data!AN33)/Data!AN33),0)</f>
        <v>0</v>
      </c>
      <c r="AO34" s="239">
        <f>IFERROR(((Data!AO34-Data!AO33)/Data!AO33),0)</f>
        <v>8.5093419856977284E-2</v>
      </c>
      <c r="AP34" s="239">
        <f>IFERROR(((Data!AP34-Data!AP33)/Data!AP33),0)</f>
        <v>3.4482758620689655E-2</v>
      </c>
      <c r="AQ34" s="240">
        <f>IFERROR(((Data!AQ34-Data!AQ33)/Data!AQ33),0)</f>
        <v>1.0279654987224954E-2</v>
      </c>
      <c r="AR34" s="240">
        <f>IFERROR(((Data!AR34-Data!AR33)/Data!AR33),0)</f>
        <v>3.9784936217545842E-2</v>
      </c>
      <c r="AS34" s="240">
        <f>IFERROR(((Data!AS34-Data!AS33)/Data!AS33),0)</f>
        <v>-3.1213484173167411E-2</v>
      </c>
      <c r="AT34" s="240">
        <f>IFERROR(((Data!AT34-Data!AT33)/Data!AT33),0)</f>
        <v>1.4583829995888904E-2</v>
      </c>
      <c r="AU34" s="241">
        <f>IFERROR(((Data!AU34-Data!AU33)/Data!AU33),0)</f>
        <v>-1.3285120131153648E-2</v>
      </c>
      <c r="AV34" s="227">
        <f>IFERROR(((Data!AV34-Data!AV33)/Data!AV33),0)</f>
        <v>-5.8240150291189174E-2</v>
      </c>
      <c r="AW34" s="227">
        <f>IFERROR(((Data!AW34-Data!AW33)/Data!AW33),0)</f>
        <v>-5.6178252372886081E-2</v>
      </c>
      <c r="AX34" s="227">
        <f>IFERROR(((Data!AX34-Data!AX33)/Data!AX33),0)</f>
        <v>0.16063881338829361</v>
      </c>
      <c r="AY34" s="227">
        <f>IFERROR(((Data!AY34-Data!AY33)/Data!AY33),0)</f>
        <v>6.7208855791511174E-2</v>
      </c>
      <c r="AZ34" s="227">
        <f>IFERROR(((Data!AZ34-Data!AZ33)/Data!AZ33),0)</f>
        <v>0.16033460359884658</v>
      </c>
      <c r="BA34" s="228">
        <f>IFERROR(((Data!BA34-Data!BA33)/Data!BA33),0)</f>
        <v>5.4209801393262494E-2</v>
      </c>
      <c r="BB34" s="228">
        <f>IFERROR(((Data!BB34-Data!BB33)/Data!BB33),0)</f>
        <v>0.15400144746637787</v>
      </c>
      <c r="BC34" s="228">
        <f>IFERROR(((Data!BC34-Data!BC33)/Data!BC33),0)</f>
        <v>0</v>
      </c>
      <c r="BD34" s="228">
        <f>IFERROR(((Data!BD34-Data!BD33)/Data!BD33),0)</f>
        <v>0</v>
      </c>
      <c r="BE34" s="228">
        <f>IFERROR(((Data!BE34-Data!BE33)/Data!BE33),0)</f>
        <v>0</v>
      </c>
      <c r="BF34" s="229">
        <f>IFERROR(((Data!BF34-Data!BF33)/Data!BF33),0)</f>
        <v>-5.9885017106716364E-2</v>
      </c>
      <c r="BG34" s="229">
        <f>IFERROR(((Data!BG34-Data!BG33)/Data!BG33),0)</f>
        <v>1.6051965311909542E-3</v>
      </c>
      <c r="BH34" s="229">
        <f>IFERROR(((Data!BH34-Data!BH33)/Data!BH33),0)</f>
        <v>-4.3009408182783551E-2</v>
      </c>
      <c r="BI34" s="229">
        <f>IFERROR(((Data!BI34-Data!BI33)/Data!BI33),0)</f>
        <v>-6.0628322132034118E-2</v>
      </c>
      <c r="BJ34" s="229">
        <f>IFERROR(((Data!BJ34-Data!BJ33)/Data!BJ33),0)</f>
        <v>0.15050170571546803</v>
      </c>
    </row>
    <row r="35" spans="2:62">
      <c r="B35" s="214">
        <v>44256</v>
      </c>
      <c r="C35" s="230">
        <f>IFERROR(((Data!C35-Data!C34)/Data!C34),0)</f>
        <v>-1.3827004893221567E-2</v>
      </c>
      <c r="D35" s="230">
        <f>IFERROR(((Data!D35-Data!D34)/Data!D34),0)</f>
        <v>-6.549002037275789E-2</v>
      </c>
      <c r="E35" s="231">
        <f>IFERROR(((Data!E35-Data!E34)/Data!E34),0)</f>
        <v>-1.0122178770458788E-3</v>
      </c>
      <c r="F35" s="231">
        <f>IFERROR(((Data!F35-Data!F34)/Data!F34),0)</f>
        <v>-4.5976998246187444E-2</v>
      </c>
      <c r="G35" s="231">
        <f>IFERROR(((Data!G35-Data!G34)/Data!G34),0)</f>
        <v>-0.10257385621096869</v>
      </c>
      <c r="H35" s="232">
        <f>IFERROR(((Data!H35-Data!H34)/Data!H34),0)</f>
        <v>-1.5362138518277772E-2</v>
      </c>
      <c r="I35" s="232">
        <f>IFERROR(((Data!I35-Data!I34)/Data!I34),0)</f>
        <v>-2.6557615535731455E-2</v>
      </c>
      <c r="J35" s="232">
        <f>IFERROR(((Data!J35-Data!J34)/Data!J34),0)</f>
        <v>-3.7734483676990956E-2</v>
      </c>
      <c r="K35" s="232">
        <f>IFERROR(((Data!K35-Data!K34)/Data!K34),0)</f>
        <v>-0.12214341809072628</v>
      </c>
      <c r="L35" s="232">
        <f>IFERROR(((Data!L35-Data!L34)/Data!L34),0)</f>
        <v>-5.6563886309181945E-2</v>
      </c>
      <c r="M35" s="233">
        <f>IFERROR(((Data!M35-Data!M34)/Data!M34),0)</f>
        <v>1.4170801465876719E-2</v>
      </c>
      <c r="N35" s="233">
        <f>IFERROR(((Data!N35-Data!N34)/Data!N34),0)</f>
        <v>2.0207521302789491E-2</v>
      </c>
      <c r="O35" s="233">
        <f>IFERROR(((Data!O35-Data!O34)/Data!O34),0)</f>
        <v>3.2261675655950076E-2</v>
      </c>
      <c r="P35" s="233">
        <f>IFERROR(((Data!P35-Data!P34)/Data!P34),0)</f>
        <v>3.8369412449650662E-2</v>
      </c>
      <c r="Q35" s="233">
        <f>IFERROR(((Data!Q35-Data!Q34)/Data!Q34),0)</f>
        <v>-7.2143386215244493E-2</v>
      </c>
      <c r="R35" s="234">
        <f>IFERROR(((Data!R35-Data!R34)/Data!R34),0)</f>
        <v>-1.6360491740541102E-2</v>
      </c>
      <c r="S35" s="234">
        <f>IFERROR(((Data!S35-Data!S34)/Data!S34),0)</f>
        <v>0</v>
      </c>
      <c r="T35" s="234">
        <f>IFERROR(((Data!T35-Data!T34)/Data!T34),0)</f>
        <v>-5.1074314847477841E-2</v>
      </c>
      <c r="U35" s="234">
        <f>IFERROR(((Data!U35-Data!U34)/Data!U34),0)</f>
        <v>-0.11285797696977651</v>
      </c>
      <c r="V35" s="235">
        <f>IFERROR(((Data!V35-Data!V34)/Data!V34),0)</f>
        <v>0</v>
      </c>
      <c r="W35" s="236">
        <f>IFERROR(((Data!W35-Data!W34)/Data!W34),0)</f>
        <v>-4.7419925971529268E-2</v>
      </c>
      <c r="X35" s="236">
        <f>IFERROR(((Data!X35-Data!X34)/Data!X34),0)</f>
        <v>8.5128701479408E-2</v>
      </c>
      <c r="Y35" s="236">
        <f>IFERROR(((Data!Y35-Data!Y34)/Data!Y34),0)</f>
        <v>6.3866595316912647E-2</v>
      </c>
      <c r="Z35" s="236">
        <f>IFERROR(((Data!Z35-Data!Z34)/Data!Z34),0)</f>
        <v>-2.759953004201109E-2</v>
      </c>
      <c r="AA35" s="236">
        <f>IFERROR(((Data!AA35-Data!AA34)/Data!AA34),0)</f>
        <v>2.3529411764705799E-2</v>
      </c>
      <c r="AB35" s="237">
        <f>IFERROR(((Data!AB35-Data!AB34)/Data!AB34),0)</f>
        <v>0.11183072798461993</v>
      </c>
      <c r="AC35" s="237">
        <f>IFERROR(((Data!AC35-Data!AC34)/Data!AC34),0)</f>
        <v>0.12925054315845846</v>
      </c>
      <c r="AD35" s="237">
        <f>IFERROR(((Data!AD35-Data!AD34)/Data!AD34),0)</f>
        <v>0.10187250422158127</v>
      </c>
      <c r="AE35" s="237">
        <f>IFERROR(((Data!AE35-Data!AE34)/Data!AE34),0)</f>
        <v>-1.2755102040816327E-2</v>
      </c>
      <c r="AF35" s="237">
        <f>IFERROR(((Data!AF35-Data!AF34)/Data!AF34),0)</f>
        <v>9.0987121754626792E-3</v>
      </c>
      <c r="AG35" s="238">
        <f>IFERROR(((Data!AG35-Data!AG34)/Data!AG34),0)</f>
        <v>9.796845369408709E-2</v>
      </c>
      <c r="AH35" s="238">
        <f>IFERROR(((Data!AH35-Data!AH34)/Data!AH34),0)</f>
        <v>9.1558194146441604E-2</v>
      </c>
      <c r="AI35" s="238">
        <f>IFERROR(((Data!AI35-Data!AI34)/Data!AI34),0)</f>
        <v>1.3187321954162988E-2</v>
      </c>
      <c r="AJ35" s="238">
        <f>IFERROR(((Data!AJ35-Data!AJ34)/Data!AJ34),0)</f>
        <v>1.5226971085110961E-2</v>
      </c>
      <c r="AK35" s="238">
        <f>IFERROR(((Data!AK35-Data!AK34)/Data!AK34),0)</f>
        <v>0</v>
      </c>
      <c r="AL35" s="239">
        <f>IFERROR(((Data!AL35-Data!AL34)/Data!AL34),0)</f>
        <v>1.0945242548724941E-2</v>
      </c>
      <c r="AM35" s="239">
        <f>IFERROR(((Data!AM35-Data!AM34)/Data!AM34),0)</f>
        <v>-3.7106640837732234E-2</v>
      </c>
      <c r="AN35" s="239">
        <f>IFERROR(((Data!AN35-Data!AN34)/Data!AN34),0)</f>
        <v>0</v>
      </c>
      <c r="AO35" s="239">
        <f>IFERROR(((Data!AO35-Data!AO34)/Data!AO34),0)</f>
        <v>-6.5507138048213221E-3</v>
      </c>
      <c r="AP35" s="239">
        <f>IFERROR(((Data!AP35-Data!AP34)/Data!AP34),0)</f>
        <v>-2.9333279999999982E-2</v>
      </c>
      <c r="AQ35" s="240">
        <f>IFERROR(((Data!AQ35-Data!AQ34)/Data!AQ34),0)</f>
        <v>-9.7680119305544905E-2</v>
      </c>
      <c r="AR35" s="240">
        <f>IFERROR(((Data!AR35-Data!AR34)/Data!AR34),0)</f>
        <v>-3.8779703331653266E-2</v>
      </c>
      <c r="AS35" s="240">
        <f>IFERROR(((Data!AS35-Data!AS34)/Data!AS34),0)</f>
        <v>-0.11894007614079959</v>
      </c>
      <c r="AT35" s="240">
        <f>IFERROR(((Data!AT35-Data!AT34)/Data!AT34),0)</f>
        <v>-6.9438348598359581E-2</v>
      </c>
      <c r="AU35" s="241">
        <f>IFERROR(((Data!AU35-Data!AU34)/Data!AU34),0)</f>
        <v>-9.4247201676729564E-2</v>
      </c>
      <c r="AV35" s="227">
        <f>IFERROR(((Data!AV35-Data!AV34)/Data!AV34),0)</f>
        <v>0.14045145831155248</v>
      </c>
      <c r="AW35" s="227">
        <f>IFERROR(((Data!AW35-Data!AW34)/Data!AW34),0)</f>
        <v>6.6055623534030605E-2</v>
      </c>
      <c r="AX35" s="227">
        <f>IFERROR(((Data!AX35-Data!AX34)/Data!AX34),0)</f>
        <v>-3.8352702269493298E-2</v>
      </c>
      <c r="AY35" s="227">
        <f>IFERROR(((Data!AY35-Data!AY34)/Data!AY34),0)</f>
        <v>-0.15881534058639696</v>
      </c>
      <c r="AZ35" s="227">
        <f>IFERROR(((Data!AZ35-Data!AZ34)/Data!AZ34),0)</f>
        <v>9.5321937593674605E-2</v>
      </c>
      <c r="BA35" s="228">
        <f>IFERROR(((Data!BA35-Data!BA34)/Data!BA34),0)</f>
        <v>-7.8323496194355052E-2</v>
      </c>
      <c r="BB35" s="228">
        <f>IFERROR(((Data!BB35-Data!BB34)/Data!BB34),0)</f>
        <v>5.5379797326498489E-2</v>
      </c>
      <c r="BC35" s="228">
        <f>IFERROR(((Data!BC35-Data!BC34)/Data!BC34),0)</f>
        <v>0</v>
      </c>
      <c r="BD35" s="228">
        <f>IFERROR(((Data!BD35-Data!BD34)/Data!BD34),0)</f>
        <v>0</v>
      </c>
      <c r="BE35" s="228">
        <f>IFERROR(((Data!BE35-Data!BE34)/Data!BE34),0)</f>
        <v>0</v>
      </c>
      <c r="BF35" s="229">
        <f>IFERROR(((Data!BF35-Data!BF34)/Data!BF34),0)</f>
        <v>-1.240009756525124E-2</v>
      </c>
      <c r="BG35" s="229">
        <f>IFERROR(((Data!BG35-Data!BG34)/Data!BG34),0)</f>
        <v>0.14299713485531182</v>
      </c>
      <c r="BH35" s="229">
        <f>IFERROR(((Data!BH35-Data!BH34)/Data!BH34),0)</f>
        <v>3.8845476198933977E-2</v>
      </c>
      <c r="BI35" s="229">
        <f>IFERROR(((Data!BI35-Data!BI34)/Data!BI34),0)</f>
        <v>-1.1148099292159867E-2</v>
      </c>
      <c r="BJ35" s="229">
        <f>IFERROR(((Data!BJ35-Data!BJ34)/Data!BJ34),0)</f>
        <v>-0.12239898320283121</v>
      </c>
    </row>
    <row r="36" spans="2:62">
      <c r="B36" s="214">
        <v>44287</v>
      </c>
      <c r="C36" s="230">
        <f>IFERROR(((Data!C36-Data!C35)/Data!C35),0)</f>
        <v>-5.3693763804513829E-2</v>
      </c>
      <c r="D36" s="230">
        <f>IFERROR(((Data!D36-Data!D35)/Data!D35),0)</f>
        <v>-2.6341927414270161E-2</v>
      </c>
      <c r="E36" s="231">
        <f>IFERROR(((Data!E36-Data!E35)/Data!E35),0)</f>
        <v>-5.883341603320872E-2</v>
      </c>
      <c r="F36" s="231">
        <f>IFERROR(((Data!F36-Data!F35)/Data!F35),0)</f>
        <v>-2.3001160504087112E-2</v>
      </c>
      <c r="G36" s="231">
        <f>IFERROR(((Data!G36-Data!G35)/Data!G35),0)</f>
        <v>-4.7873490071273297E-2</v>
      </c>
      <c r="H36" s="232">
        <f>IFERROR(((Data!H36-Data!H35)/Data!H35),0)</f>
        <v>-2.3957983715201321E-3</v>
      </c>
      <c r="I36" s="232">
        <f>IFERROR(((Data!I36-Data!I35)/Data!I35),0)</f>
        <v>-5.4463880430413759E-2</v>
      </c>
      <c r="J36" s="232">
        <f>IFERROR(((Data!J36-Data!J35)/Data!J35),0)</f>
        <v>2.5019784368506569E-2</v>
      </c>
      <c r="K36" s="232">
        <f>IFERROR(((Data!K36-Data!K35)/Data!K35),0)</f>
        <v>-1.7953321042130682E-2</v>
      </c>
      <c r="L36" s="232">
        <f>IFERROR(((Data!L36-Data!L35)/Data!L35),0)</f>
        <v>6.9253115816545918E-2</v>
      </c>
      <c r="M36" s="233">
        <f>IFERROR(((Data!M36-Data!M35)/Data!M35),0)</f>
        <v>9.4764249392356864E-2</v>
      </c>
      <c r="N36" s="233">
        <f>IFERROR(((Data!N36-Data!N35)/Data!N35),0)</f>
        <v>0.14329064594833354</v>
      </c>
      <c r="O36" s="233">
        <f>IFERROR(((Data!O36-Data!O35)/Data!O35),0)</f>
        <v>0.11295814287082818</v>
      </c>
      <c r="P36" s="233">
        <f>IFERROR(((Data!P36-Data!P35)/Data!P35),0)</f>
        <v>8.907012929040263E-2</v>
      </c>
      <c r="Q36" s="233">
        <f>IFERROR(((Data!Q36-Data!Q35)/Data!Q35),0)</f>
        <v>3.911775806728196E-2</v>
      </c>
      <c r="R36" s="234">
        <f>IFERROR(((Data!R36-Data!R35)/Data!R35),0)</f>
        <v>-5.5289435851707751E-2</v>
      </c>
      <c r="S36" s="234">
        <f>IFERROR(((Data!S36-Data!S35)/Data!S35),0)</f>
        <v>0</v>
      </c>
      <c r="T36" s="234">
        <f>IFERROR(((Data!T36-Data!T35)/Data!T35),0)</f>
        <v>-0.13847760632452247</v>
      </c>
      <c r="U36" s="234">
        <f>IFERROR(((Data!U36-Data!U35)/Data!U35),0)</f>
        <v>-5.5063178183612733E-2</v>
      </c>
      <c r="V36" s="235">
        <f>IFERROR(((Data!V36-Data!V35)/Data!V35),0)</f>
        <v>0</v>
      </c>
      <c r="W36" s="236">
        <f>IFERROR(((Data!W36-Data!W35)/Data!W35),0)</f>
        <v>-7.7748079708515966E-2</v>
      </c>
      <c r="X36" s="236">
        <f>IFERROR(((Data!X36-Data!X35)/Data!X35),0)</f>
        <v>-4.2614989617265106E-2</v>
      </c>
      <c r="Y36" s="236">
        <f>IFERROR(((Data!Y36-Data!Y35)/Data!Y35),0)</f>
        <v>-8.1799778904517537E-3</v>
      </c>
      <c r="Z36" s="236">
        <f>IFERROR(((Data!Z36-Data!Z35)/Data!Z35),0)</f>
        <v>-4.6203037276578776E-3</v>
      </c>
      <c r="AA36" s="236">
        <f>IFERROR(((Data!AA36-Data!AA35)/Data!AA35),0)</f>
        <v>0.1149425287356322</v>
      </c>
      <c r="AB36" s="237">
        <f>IFERROR(((Data!AB36-Data!AB35)/Data!AB35),0)</f>
        <v>-5.2770504741949005E-2</v>
      </c>
      <c r="AC36" s="237">
        <f>IFERROR(((Data!AC36-Data!AC35)/Data!AC35),0)</f>
        <v>4.2205397985332566E-3</v>
      </c>
      <c r="AD36" s="237">
        <f>IFERROR(((Data!AD36-Data!AD35)/Data!AD35),0)</f>
        <v>-6.8121611578955396E-2</v>
      </c>
      <c r="AE36" s="237">
        <f>IFERROR(((Data!AE36-Data!AE35)/Data!AE35),0)</f>
        <v>6.3565912144702849E-2</v>
      </c>
      <c r="AF36" s="237">
        <f>IFERROR(((Data!AF36-Data!AF35)/Data!AF35),0)</f>
        <v>7.4171261562804139E-2</v>
      </c>
      <c r="AG36" s="238">
        <f>IFERROR(((Data!AG36-Data!AG35)/Data!AG35),0)</f>
        <v>-4.47472574348085E-2</v>
      </c>
      <c r="AH36" s="238">
        <f>IFERROR(((Data!AH36-Data!AH35)/Data!AH35),0)</f>
        <v>-1.0014305437753128E-2</v>
      </c>
      <c r="AI36" s="238">
        <f>IFERROR(((Data!AI36-Data!AI35)/Data!AI35),0)</f>
        <v>0.29232427472582617</v>
      </c>
      <c r="AJ36" s="238">
        <f>IFERROR(((Data!AJ36-Data!AJ35)/Data!AJ35),0)</f>
        <v>0.34145004291755843</v>
      </c>
      <c r="AK36" s="238">
        <f>IFERROR(((Data!AK36-Data!AK35)/Data!AK35),0)</f>
        <v>0</v>
      </c>
      <c r="AL36" s="239">
        <f>IFERROR(((Data!AL36-Data!AL35)/Data!AL35),0)</f>
        <v>-8.6614172195015854E-2</v>
      </c>
      <c r="AM36" s="239">
        <f>IFERROR(((Data!AM36-Data!AM35)/Data!AM35),0)</f>
        <v>0.15532645576710213</v>
      </c>
      <c r="AN36" s="239">
        <f>IFERROR(((Data!AN36-Data!AN35)/Data!AN35),0)</f>
        <v>0</v>
      </c>
      <c r="AO36" s="239">
        <f>IFERROR(((Data!AO36-Data!AO35)/Data!AO35),0)</f>
        <v>7.4039264006724448E-2</v>
      </c>
      <c r="AP36" s="239">
        <f>IFERROR(((Data!AP36-Data!AP35)/Data!AP35),0)</f>
        <v>8.5164775540396934E-2</v>
      </c>
      <c r="AQ36" s="240">
        <f>IFERROR(((Data!AQ36-Data!AQ35)/Data!AQ35),0)</f>
        <v>5.8637692050480606E-3</v>
      </c>
      <c r="AR36" s="240">
        <f>IFERROR(((Data!AR36-Data!AR35)/Data!AR35),0)</f>
        <v>-6.7240463002638709E-2</v>
      </c>
      <c r="AS36" s="240">
        <f>IFERROR(((Data!AS36-Data!AS35)/Data!AS35),0)</f>
        <v>-2.1189377555925322E-2</v>
      </c>
      <c r="AT36" s="240">
        <f>IFERROR(((Data!AT36-Data!AT35)/Data!AT35),0)</f>
        <v>1.4258341627475391E-3</v>
      </c>
      <c r="AU36" s="241">
        <f>IFERROR(((Data!AU36-Data!AU35)/Data!AU35),0)</f>
        <v>-4.3243189189189173E-2</v>
      </c>
      <c r="AV36" s="227">
        <f>IFERROR(((Data!AV36-Data!AV35)/Data!AV35),0)</f>
        <v>-3.197598105186146E-2</v>
      </c>
      <c r="AW36" s="227">
        <f>IFERROR(((Data!AW36-Data!AW35)/Data!AW35),0)</f>
        <v>-4.9865489401746857E-2</v>
      </c>
      <c r="AX36" s="227">
        <f>IFERROR(((Data!AX36-Data!AX35)/Data!AX35),0)</f>
        <v>-5.2245846721006579E-2</v>
      </c>
      <c r="AY36" s="227">
        <f>IFERROR(((Data!AY36-Data!AY35)/Data!AY35),0)</f>
        <v>5.6298153116287705E-2</v>
      </c>
      <c r="AZ36" s="227">
        <f>IFERROR(((Data!AZ36-Data!AZ35)/Data!AZ35),0)</f>
        <v>7.9068889860313976E-2</v>
      </c>
      <c r="BA36" s="228">
        <f>IFERROR(((Data!BA36-Data!BA35)/Data!BA35),0)</f>
        <v>6.4808141944578929E-2</v>
      </c>
      <c r="BB36" s="228">
        <f>IFERROR(((Data!BB36-Data!BB35)/Data!BB35),0)</f>
        <v>-9.1931621455895424E-2</v>
      </c>
      <c r="BC36" s="228">
        <f>IFERROR(((Data!BC36-Data!BC35)/Data!BC35),0)</f>
        <v>0</v>
      </c>
      <c r="BD36" s="228">
        <f>IFERROR(((Data!BD36-Data!BD35)/Data!BD35),0)</f>
        <v>0</v>
      </c>
      <c r="BE36" s="228">
        <f>IFERROR(((Data!BE36-Data!BE35)/Data!BE35),0)</f>
        <v>0</v>
      </c>
      <c r="BF36" s="229">
        <f>IFERROR(((Data!BF36-Data!BF35)/Data!BF35),0)</f>
        <v>2.9239629074908517E-2</v>
      </c>
      <c r="BG36" s="229">
        <f>IFERROR(((Data!BG36-Data!BG35)/Data!BG35),0)</f>
        <v>-5.4451915965611046E-2</v>
      </c>
      <c r="BH36" s="229">
        <f>IFERROR(((Data!BH36-Data!BH35)/Data!BH35),0)</f>
        <v>9.2677093398328659E-4</v>
      </c>
      <c r="BI36" s="229">
        <f>IFERROR(((Data!BI36-Data!BI35)/Data!BI35),0)</f>
        <v>0.11095741424873794</v>
      </c>
      <c r="BJ36" s="229">
        <f>IFERROR(((Data!BJ36-Data!BJ35)/Data!BJ35),0)</f>
        <v>4.6373815710096154E-2</v>
      </c>
    </row>
    <row r="37" spans="2:62">
      <c r="B37" s="214">
        <v>44317</v>
      </c>
      <c r="C37" s="230">
        <f>IFERROR(((Data!C37-Data!C36)/Data!C36),0)</f>
        <v>7.3616289716183336E-2</v>
      </c>
      <c r="D37" s="230">
        <f>IFERROR(((Data!D37-Data!D36)/Data!D36),0)</f>
        <v>8.473709699749378E-2</v>
      </c>
      <c r="E37" s="231">
        <f>IFERROR(((Data!E37-Data!E36)/Data!E36),0)</f>
        <v>9.7689500831122933E-2</v>
      </c>
      <c r="F37" s="231">
        <f>IFERROR(((Data!F37-Data!F36)/Data!F36),0)</f>
        <v>2.3667187251707918E-2</v>
      </c>
      <c r="G37" s="231">
        <f>IFERROR(((Data!G37-Data!G36)/Data!G36),0)</f>
        <v>6.9943867342323718E-2</v>
      </c>
      <c r="H37" s="232">
        <f>IFERROR(((Data!H37-Data!H36)/Data!H36),0)</f>
        <v>3.3680191165687615E-2</v>
      </c>
      <c r="I37" s="232">
        <f>IFERROR(((Data!I37-Data!I36)/Data!I36),0)</f>
        <v>7.3320095268521651E-2</v>
      </c>
      <c r="J37" s="232">
        <f>IFERROR(((Data!J37-Data!J36)/Data!J36),0)</f>
        <v>5.0076900473235292E-2</v>
      </c>
      <c r="K37" s="232">
        <f>IFERROR(((Data!K37-Data!K36)/Data!K36),0)</f>
        <v>6.9469815914628585E-2</v>
      </c>
      <c r="L37" s="232">
        <f>IFERROR(((Data!L37-Data!L36)/Data!L36),0)</f>
        <v>3.358318906436765E-2</v>
      </c>
      <c r="M37" s="233">
        <f>IFERROR(((Data!M37-Data!M36)/Data!M36),0)</f>
        <v>2.1162754055593605E-2</v>
      </c>
      <c r="N37" s="233">
        <f>IFERROR(((Data!N37-Data!N36)/Data!N36),0)</f>
        <v>2.8287215109709052E-2</v>
      </c>
      <c r="O37" s="233">
        <f>IFERROR(((Data!O37-Data!O36)/Data!O36),0)</f>
        <v>1.7433923705364389E-2</v>
      </c>
      <c r="P37" s="233">
        <f>IFERROR(((Data!P37-Data!P36)/Data!P36),0)</f>
        <v>-4.9718125241304187E-2</v>
      </c>
      <c r="Q37" s="233">
        <f>IFERROR(((Data!Q37-Data!Q36)/Data!Q36),0)</f>
        <v>4.5546122244212131E-2</v>
      </c>
      <c r="R37" s="234">
        <f>IFERROR(((Data!R37-Data!R36)/Data!R36),0)</f>
        <v>9.4930822150629271E-2</v>
      </c>
      <c r="S37" s="234">
        <f>IFERROR(((Data!S37-Data!S36)/Data!S36),0)</f>
        <v>0</v>
      </c>
      <c r="T37" s="234">
        <f>IFERROR(((Data!T37-Data!T36)/Data!T36),0)</f>
        <v>0.16639703790520344</v>
      </c>
      <c r="U37" s="234">
        <f>IFERROR(((Data!U37-Data!U36)/Data!U36),0)</f>
        <v>8.4393647968319829E-2</v>
      </c>
      <c r="V37" s="235">
        <f>IFERROR(((Data!V37-Data!V36)/Data!V36),0)</f>
        <v>0</v>
      </c>
      <c r="W37" s="236">
        <f>IFERROR(((Data!W37-Data!W36)/Data!W36),0)</f>
        <v>0.24461449145161798</v>
      </c>
      <c r="X37" s="236">
        <f>IFERROR(((Data!X37-Data!X36)/Data!X36),0)</f>
        <v>7.6884127445639855E-2</v>
      </c>
      <c r="Y37" s="236">
        <f>IFERROR(((Data!Y37-Data!Y36)/Data!Y36),0)</f>
        <v>7.2164955072928902E-2</v>
      </c>
      <c r="Z37" s="236">
        <f>IFERROR(((Data!Z37-Data!Z36)/Data!Z36),0)</f>
        <v>7.5596683397964992E-2</v>
      </c>
      <c r="AA37" s="236">
        <f>IFERROR(((Data!AA37-Data!AA36)/Data!AA36),0)</f>
        <v>0.78350515463917547</v>
      </c>
      <c r="AB37" s="237">
        <f>IFERROR(((Data!AB37-Data!AB36)/Data!AB36),0)</f>
        <v>-1.1913092728110964E-2</v>
      </c>
      <c r="AC37" s="237">
        <f>IFERROR(((Data!AC37-Data!AC36)/Data!AC36),0)</f>
        <v>5.7434144494189557E-2</v>
      </c>
      <c r="AD37" s="237">
        <f>IFERROR(((Data!AD37-Data!AD36)/Data!AD36),0)</f>
        <v>6.8331428871199557E-2</v>
      </c>
      <c r="AE37" s="237">
        <f>IFERROR(((Data!AE37-Data!AE36)/Data!AE36),0)</f>
        <v>7.8717180199860431E-2</v>
      </c>
      <c r="AF37" s="237">
        <f>IFERROR(((Data!AF37-Data!AF36)/Data!AF36),0)</f>
        <v>0.12158142530625075</v>
      </c>
      <c r="AG37" s="238">
        <f>IFERROR(((Data!AG37-Data!AG36)/Data!AG36),0)</f>
        <v>4.0683253345743811E-2</v>
      </c>
      <c r="AH37" s="238">
        <f>IFERROR(((Data!AH37-Data!AH36)/Data!AH36),0)</f>
        <v>2.9091421641751779E-2</v>
      </c>
      <c r="AI37" s="238">
        <f>IFERROR(((Data!AI37-Data!AI36)/Data!AI36),0)</f>
        <v>4.6966970099167955E-2</v>
      </c>
      <c r="AJ37" s="238">
        <f>IFERROR(((Data!AJ37-Data!AJ36)/Data!AJ36),0)</f>
        <v>0.1975290165291276</v>
      </c>
      <c r="AK37" s="238">
        <f>IFERROR(((Data!AK37-Data!AK36)/Data!AK36),0)</f>
        <v>0</v>
      </c>
      <c r="AL37" s="239">
        <f>IFERROR(((Data!AL37-Data!AL36)/Data!AL36),0)</f>
        <v>0.1279634380135469</v>
      </c>
      <c r="AM37" s="239">
        <f>IFERROR(((Data!AM37-Data!AM36)/Data!AM36),0)</f>
        <v>-3.1287529254295028E-3</v>
      </c>
      <c r="AN37" s="239">
        <f>IFERROR(((Data!AN37-Data!AN36)/Data!AN36),0)</f>
        <v>0</v>
      </c>
      <c r="AO37" s="239">
        <f>IFERROR(((Data!AO37-Data!AO36)/Data!AO36),0)</f>
        <v>2.9643862171297618E-2</v>
      </c>
      <c r="AP37" s="239">
        <f>IFERROR(((Data!AP37-Data!AP36)/Data!AP36),0)</f>
        <v>2.7848050632911375E-2</v>
      </c>
      <c r="AQ37" s="240">
        <f>IFERROR(((Data!AQ37-Data!AQ36)/Data!AQ36),0)</f>
        <v>0.24932735182933038</v>
      </c>
      <c r="AR37" s="240">
        <f>IFERROR(((Data!AR37-Data!AR36)/Data!AR36),0)</f>
        <v>0.26239907335953178</v>
      </c>
      <c r="AS37" s="240">
        <f>IFERROR(((Data!AS37-Data!AS36)/Data!AS36),0)</f>
        <v>0.23254192526274986</v>
      </c>
      <c r="AT37" s="240">
        <f>IFERROR(((Data!AT37-Data!AT36)/Data!AT36),0)</f>
        <v>0.23611774495100837</v>
      </c>
      <c r="AU37" s="241">
        <f>IFERROR(((Data!AU37-Data!AU36)/Data!AU36),0)</f>
        <v>0.18079086549204146</v>
      </c>
      <c r="AV37" s="227">
        <f>IFERROR(((Data!AV37-Data!AV36)/Data!AV36),0)</f>
        <v>-5.8206046810673918E-3</v>
      </c>
      <c r="AW37" s="227">
        <f>IFERROR(((Data!AW37-Data!AW36)/Data!AW36),0)</f>
        <v>9.0903387642658623E-2</v>
      </c>
      <c r="AX37" s="227">
        <f>IFERROR(((Data!AX37-Data!AX36)/Data!AX36),0)</f>
        <v>6.4173426650094706E-2</v>
      </c>
      <c r="AY37" s="227">
        <f>IFERROR(((Data!AY37-Data!AY36)/Data!AY36),0)</f>
        <v>0.18028413583588221</v>
      </c>
      <c r="AZ37" s="227">
        <f>IFERROR(((Data!AZ37-Data!AZ36)/Data!AZ36),0)</f>
        <v>2.923867436768943E-2</v>
      </c>
      <c r="BA37" s="228">
        <f>IFERROR(((Data!BA37-Data!BA36)/Data!BA36),0)</f>
        <v>0.10360538491247716</v>
      </c>
      <c r="BB37" s="228">
        <f>IFERROR(((Data!BB37-Data!BB36)/Data!BB36),0)</f>
        <v>-6.2276102754021253E-3</v>
      </c>
      <c r="BC37" s="228">
        <f>IFERROR(((Data!BC37-Data!BC36)/Data!BC36),0)</f>
        <v>0</v>
      </c>
      <c r="BD37" s="228">
        <f>IFERROR(((Data!BD37-Data!BD36)/Data!BD36),0)</f>
        <v>0</v>
      </c>
      <c r="BE37" s="228">
        <f>IFERROR(((Data!BE37-Data!BE36)/Data!BE36),0)</f>
        <v>0</v>
      </c>
      <c r="BF37" s="229">
        <f>IFERROR(((Data!BF37-Data!BF36)/Data!BF36),0)</f>
        <v>8.1383583063757231E-2</v>
      </c>
      <c r="BG37" s="229">
        <f>IFERROR(((Data!BG37-Data!BG36)/Data!BG36),0)</f>
        <v>0.34305484419885762</v>
      </c>
      <c r="BH37" s="229">
        <f>IFERROR(((Data!BH37-Data!BH36)/Data!BH36),0)</f>
        <v>-9.2857652706823737E-3</v>
      </c>
      <c r="BI37" s="229">
        <f>IFERROR(((Data!BI37-Data!BI36)/Data!BI36),0)</f>
        <v>0.11536385339066532</v>
      </c>
      <c r="BJ37" s="229">
        <f>IFERROR(((Data!BJ37-Data!BJ36)/Data!BJ36),0)</f>
        <v>0.17560789915104946</v>
      </c>
    </row>
    <row r="38" spans="2:62">
      <c r="B38" s="214">
        <v>44348</v>
      </c>
      <c r="C38" s="230">
        <f>IFERROR(((Data!C38-Data!C37)/Data!C37),0)</f>
        <v>-3.7440287051014251E-2</v>
      </c>
      <c r="D38" s="230">
        <f>IFERROR(((Data!D38-Data!D37)/Data!D37),0)</f>
        <v>6.5411758203002157E-2</v>
      </c>
      <c r="E38" s="231">
        <f>IFERROR(((Data!E38-Data!E37)/Data!E37),0)</f>
        <v>6.0624076356250882E-2</v>
      </c>
      <c r="F38" s="231">
        <f>IFERROR(((Data!F38-Data!F37)/Data!F37),0)</f>
        <v>0.10197135233528774</v>
      </c>
      <c r="G38" s="231">
        <f>IFERROR(((Data!G38-Data!G37)/Data!G37),0)</f>
        <v>1.7748576783224307E-2</v>
      </c>
      <c r="H38" s="232">
        <f>IFERROR(((Data!H38-Data!H37)/Data!H37),0)</f>
        <v>-5.6342401092410489E-2</v>
      </c>
      <c r="I38" s="232">
        <f>IFERROR(((Data!I38-Data!I37)/Data!I37),0)</f>
        <v>-1.1841539938890701E-2</v>
      </c>
      <c r="J38" s="232">
        <f>IFERROR(((Data!J38-Data!J37)/Data!J37),0)</f>
        <v>-3.1970794243374218E-3</v>
      </c>
      <c r="K38" s="232">
        <f>IFERROR(((Data!K38-Data!K37)/Data!K37),0)</f>
        <v>-7.3504256410256402E-2</v>
      </c>
      <c r="L38" s="232">
        <f>IFERROR(((Data!L38-Data!L37)/Data!L37),0)</f>
        <v>-3.3362293823788365E-2</v>
      </c>
      <c r="M38" s="233">
        <f>IFERROR(((Data!M38-Data!M37)/Data!M37),0)</f>
        <v>1.0698746380854688E-2</v>
      </c>
      <c r="N38" s="233">
        <f>IFERROR(((Data!N38-Data!N37)/Data!N37),0)</f>
        <v>2.1453521039989397E-2</v>
      </c>
      <c r="O38" s="233">
        <f>IFERROR(((Data!O38-Data!O37)/Data!O37),0)</f>
        <v>-3.2817288689474082E-2</v>
      </c>
      <c r="P38" s="233">
        <f>IFERROR(((Data!P38-Data!P37)/Data!P37),0)</f>
        <v>-6.6517510061050347E-2</v>
      </c>
      <c r="Q38" s="233">
        <f>IFERROR(((Data!Q38-Data!Q37)/Data!Q37),0)</f>
        <v>-5.8527091022826098E-2</v>
      </c>
      <c r="R38" s="234">
        <f>IFERROR(((Data!R38-Data!R37)/Data!R37),0)</f>
        <v>2.2382108121654982E-2</v>
      </c>
      <c r="S38" s="234">
        <f>IFERROR(((Data!S38-Data!S37)/Data!S37),0)</f>
        <v>8.318149093503005E-2</v>
      </c>
      <c r="T38" s="234">
        <f>IFERROR(((Data!T38-Data!T37)/Data!T37),0)</f>
        <v>-2.5481067969414024E-2</v>
      </c>
      <c r="U38" s="234">
        <f>IFERROR(((Data!U38-Data!U37)/Data!U37),0)</f>
        <v>7.2884571022121633E-2</v>
      </c>
      <c r="V38" s="235">
        <f>IFERROR(((Data!V38-Data!V37)/Data!V37),0)</f>
        <v>0</v>
      </c>
      <c r="W38" s="236">
        <f>IFERROR(((Data!W38-Data!W37)/Data!W37),0)</f>
        <v>-0.11299474257746601</v>
      </c>
      <c r="X38" s="236">
        <f>IFERROR(((Data!X38-Data!X37)/Data!X37),0)</f>
        <v>0.14701740195401319</v>
      </c>
      <c r="Y38" s="236">
        <f>IFERROR(((Data!Y38-Data!Y37)/Data!Y37),0)</f>
        <v>7.6923254606091184E-3</v>
      </c>
      <c r="Z38" s="236">
        <f>IFERROR(((Data!Z38-Data!Z37)/Data!Z37),0)</f>
        <v>3.2059200547939967E-2</v>
      </c>
      <c r="AA38" s="236">
        <f>IFERROR(((Data!AA38-Data!AA37)/Data!AA37),0)</f>
        <v>0.73410404624277448</v>
      </c>
      <c r="AB38" s="237">
        <f>IFERROR(((Data!AB38-Data!AB37)/Data!AB37),0)</f>
        <v>-2.6614814521458241E-3</v>
      </c>
      <c r="AC38" s="237">
        <f>IFERROR(((Data!AC38-Data!AC37)/Data!AC37),0)</f>
        <v>4.2380628573864217E-2</v>
      </c>
      <c r="AD38" s="237">
        <f>IFERROR(((Data!AD38-Data!AD37)/Data!AD37),0)</f>
        <v>1.0137166936600767E-2</v>
      </c>
      <c r="AE38" s="237">
        <f>IFERROR(((Data!AE38-Data!AE37)/Data!AE37),0)</f>
        <v>-9.4594864864865208E-3</v>
      </c>
      <c r="AF38" s="237">
        <f>IFERROR(((Data!AF38-Data!AF37)/Data!AF37),0)</f>
        <v>1.9720508576021947E-2</v>
      </c>
      <c r="AG38" s="238">
        <f>IFERROR(((Data!AG38-Data!AG37)/Data!AG37),0)</f>
        <v>6.4246982838899583E-2</v>
      </c>
      <c r="AH38" s="238">
        <f>IFERROR(((Data!AH38-Data!AH37)/Data!AH37),0)</f>
        <v>0.14644550906471859</v>
      </c>
      <c r="AI38" s="238">
        <f>IFERROR(((Data!AI38-Data!AI37)/Data!AI37),0)</f>
        <v>0.18134780702888484</v>
      </c>
      <c r="AJ38" s="238">
        <f>IFERROR(((Data!AJ38-Data!AJ37)/Data!AJ37),0)</f>
        <v>0.15739734738016048</v>
      </c>
      <c r="AK38" s="238">
        <f>IFERROR(((Data!AK38-Data!AK37)/Data!AK37),0)</f>
        <v>0</v>
      </c>
      <c r="AL38" s="239">
        <f>IFERROR(((Data!AL38-Data!AL37)/Data!AL37),0)</f>
        <v>2.5794075833426286E-2</v>
      </c>
      <c r="AM38" s="239">
        <f>IFERROR(((Data!AM38-Data!AM37)/Data!AM37),0)</f>
        <v>-2.1969952360118415E-2</v>
      </c>
      <c r="AN38" s="239">
        <f>IFERROR(((Data!AN38-Data!AN37)/Data!AN37),0)</f>
        <v>0</v>
      </c>
      <c r="AO38" s="239">
        <f>IFERROR(((Data!AO38-Data!AO37)/Data!AO37),0)</f>
        <v>1.7546871870841446E-2</v>
      </c>
      <c r="AP38" s="239">
        <f>IFERROR(((Data!AP38-Data!AP37)/Data!AP37),0)</f>
        <v>0.23275865678614074</v>
      </c>
      <c r="AQ38" s="240">
        <f>IFERROR(((Data!AQ38-Data!AQ37)/Data!AQ37),0)</f>
        <v>1.5434258148838802E-2</v>
      </c>
      <c r="AR38" s="240">
        <f>IFERROR(((Data!AR38-Data!AR37)/Data!AR37),0)</f>
        <v>2.2841442008430756E-2</v>
      </c>
      <c r="AS38" s="240">
        <f>IFERROR(((Data!AS38-Data!AS37)/Data!AS37),0)</f>
        <v>3.9659886685552192E-3</v>
      </c>
      <c r="AT38" s="240">
        <f>IFERROR(((Data!AT38-Data!AT37)/Data!AT37),0)</f>
        <v>-3.9930893222338761E-2</v>
      </c>
      <c r="AU38" s="241">
        <f>IFERROR(((Data!AU38-Data!AU37)/Data!AU37),0)</f>
        <v>3.5885646791522802E-3</v>
      </c>
      <c r="AV38" s="227">
        <f>IFERROR(((Data!AV38-Data!AV37)/Data!AV37),0)</f>
        <v>5.6088604297889422E-2</v>
      </c>
      <c r="AW38" s="227">
        <f>IFERROR(((Data!AW38-Data!AW37)/Data!AW37),0)</f>
        <v>-3.5348445602955678E-3</v>
      </c>
      <c r="AX38" s="227">
        <f>IFERROR(((Data!AX38-Data!AX37)/Data!AX37),0)</f>
        <v>8.1903874303027924E-2</v>
      </c>
      <c r="AY38" s="227">
        <f>IFERROR(((Data!AY38-Data!AY37)/Data!AY37),0)</f>
        <v>-4.2297201293728964E-2</v>
      </c>
      <c r="AZ38" s="227">
        <f>IFERROR(((Data!AZ38-Data!AZ37)/Data!AZ37),0)</f>
        <v>-1.0219831165743522E-2</v>
      </c>
      <c r="BA38" s="228">
        <f>IFERROR(((Data!BA38-Data!BA37)/Data!BA37),0)</f>
        <v>0.22420916222685877</v>
      </c>
      <c r="BB38" s="228">
        <f>IFERROR(((Data!BB38-Data!BB37)/Data!BB37),0)</f>
        <v>-2.3691446184377921E-2</v>
      </c>
      <c r="BC38" s="228">
        <f>IFERROR(((Data!BC38-Data!BC37)/Data!BC37),0)</f>
        <v>0</v>
      </c>
      <c r="BD38" s="228">
        <f>IFERROR(((Data!BD38-Data!BD37)/Data!BD37),0)</f>
        <v>0</v>
      </c>
      <c r="BE38" s="228">
        <f>IFERROR(((Data!BE38-Data!BE37)/Data!BE37),0)</f>
        <v>0</v>
      </c>
      <c r="BF38" s="229">
        <f>IFERROR(((Data!BF38-Data!BF37)/Data!BF37),0)</f>
        <v>0.19378791807084561</v>
      </c>
      <c r="BG38" s="229">
        <f>IFERROR(((Data!BG38-Data!BG37)/Data!BG37),0)</f>
        <v>-2.7297285481180086E-2</v>
      </c>
      <c r="BH38" s="229">
        <f>IFERROR(((Data!BH38-Data!BH37)/Data!BH37),0)</f>
        <v>9.2718669144794874E-2</v>
      </c>
      <c r="BI38" s="229">
        <f>IFERROR(((Data!BI38-Data!BI37)/Data!BI37),0)</f>
        <v>3.7190820106923497E-2</v>
      </c>
      <c r="BJ38" s="229">
        <f>IFERROR(((Data!BJ38-Data!BJ37)/Data!BJ37),0)</f>
        <v>-2.2675661945769504E-2</v>
      </c>
    </row>
    <row r="39" spans="2:62">
      <c r="B39" s="214">
        <v>44378</v>
      </c>
      <c r="C39" s="230">
        <f>IFERROR(((Data!C39-Data!C38)/Data!C38),0)</f>
        <v>-4.4490279019445141E-2</v>
      </c>
      <c r="D39" s="230">
        <f>IFERROR(((Data!D39-Data!D38)/Data!D38),0)</f>
        <v>-0.13442279958282988</v>
      </c>
      <c r="E39" s="231">
        <f>IFERROR(((Data!E39-Data!E38)/Data!E38),0)</f>
        <v>-7.1608023676797999E-2</v>
      </c>
      <c r="F39" s="231">
        <f>IFERROR(((Data!F39-Data!F38)/Data!F38),0)</f>
        <v>-5.7310037002860054E-2</v>
      </c>
      <c r="G39" s="231">
        <f>IFERROR(((Data!G39-Data!G38)/Data!G38),0)</f>
        <v>0.23647747924203738</v>
      </c>
      <c r="H39" s="232">
        <f>IFERROR(((Data!H39-Data!H38)/Data!H38),0)</f>
        <v>-2.9926369282633869E-2</v>
      </c>
      <c r="I39" s="232">
        <f>IFERROR(((Data!I39-Data!I38)/Data!I38),0)</f>
        <v>-4.357861348107947E-2</v>
      </c>
      <c r="J39" s="232">
        <f>IFERROR(((Data!J39-Data!J38)/Data!J38),0)</f>
        <v>-5.2652663167322845E-2</v>
      </c>
      <c r="K39" s="232">
        <f>IFERROR(((Data!K39-Data!K38)/Data!K38),0)</f>
        <v>-4.0590423605342742E-2</v>
      </c>
      <c r="L39" s="232">
        <f>IFERROR(((Data!L39-Data!L38)/Data!L38),0)</f>
        <v>-9.6518668054919085E-2</v>
      </c>
      <c r="M39" s="233">
        <f>IFERROR(((Data!M39-Data!M38)/Data!M38),0)</f>
        <v>0.14582875720942601</v>
      </c>
      <c r="N39" s="233">
        <f>IFERROR(((Data!N39-Data!N38)/Data!N38),0)</f>
        <v>-0.1312636969683853</v>
      </c>
      <c r="O39" s="233">
        <f>IFERROR(((Data!O39-Data!O38)/Data!O38),0)</f>
        <v>-5.0352319252319144E-2</v>
      </c>
      <c r="P39" s="233">
        <f>IFERROR(((Data!P39-Data!P38)/Data!P38),0)</f>
        <v>5.4901436869209258E-2</v>
      </c>
      <c r="Q39" s="233">
        <f>IFERROR(((Data!Q39-Data!Q38)/Data!Q38),0)</f>
        <v>4.8788109112986706E-2</v>
      </c>
      <c r="R39" s="234">
        <f>IFERROR(((Data!R39-Data!R38)/Data!R38),0)</f>
        <v>6.7241945625212643E-2</v>
      </c>
      <c r="S39" s="234">
        <f>IFERROR(((Data!S39-Data!S38)/Data!S38),0)</f>
        <v>0.24888460180906824</v>
      </c>
      <c r="T39" s="234">
        <f>IFERROR(((Data!T39-Data!T38)/Data!T38),0)</f>
        <v>0.20117401372485208</v>
      </c>
      <c r="U39" s="234">
        <f>IFERROR(((Data!U39-Data!U38)/Data!U38),0)</f>
        <v>1.0938394717467008E-2</v>
      </c>
      <c r="V39" s="235">
        <f>IFERROR(((Data!V39-Data!V38)/Data!V38),0)</f>
        <v>0</v>
      </c>
      <c r="W39" s="236">
        <f>IFERROR(((Data!W39-Data!W38)/Data!W38),0)</f>
        <v>-0.21566364194512636</v>
      </c>
      <c r="X39" s="236">
        <f>IFERROR(((Data!X39-Data!X38)/Data!X38),0)</f>
        <v>3.6506768781682179E-2</v>
      </c>
      <c r="Y39" s="236">
        <f>IFERROR(((Data!Y39-Data!Y38)/Data!Y38),0)</f>
        <v>1.9083800965765949E-3</v>
      </c>
      <c r="Z39" s="236">
        <f>IFERROR(((Data!Z39-Data!Z38)/Data!Z38),0)</f>
        <v>0.15651145795942348</v>
      </c>
      <c r="AA39" s="236">
        <f>IFERROR(((Data!AA39-Data!AA38)/Data!AA38),0)</f>
        <v>-0.19666666666666663</v>
      </c>
      <c r="AB39" s="237">
        <f>IFERROR(((Data!AB39-Data!AB38)/Data!AB38),0)</f>
        <v>2.7673501350112761E-2</v>
      </c>
      <c r="AC39" s="237">
        <f>IFERROR(((Data!AC39-Data!AC38)/Data!AC38),0)</f>
        <v>0.20695732162294084</v>
      </c>
      <c r="AD39" s="237">
        <f>IFERROR(((Data!AD39-Data!AD38)/Data!AD38),0)</f>
        <v>0.12443918752668019</v>
      </c>
      <c r="AE39" s="237">
        <f>IFERROR(((Data!AE39-Data!AE38)/Data!AE38),0)</f>
        <v>1.1368804312018308E-2</v>
      </c>
      <c r="AF39" s="237">
        <f>IFERROR(((Data!AF39-Data!AF38)/Data!AF38),0)</f>
        <v>0.22142675573984485</v>
      </c>
      <c r="AG39" s="238">
        <f>IFERROR(((Data!AG39-Data!AG38)/Data!AG38),0)</f>
        <v>-5.3291363199793503E-2</v>
      </c>
      <c r="AH39" s="238">
        <f>IFERROR(((Data!AH39-Data!AH38)/Data!AH38),0)</f>
        <v>1.878801593984698E-2</v>
      </c>
      <c r="AI39" s="238">
        <f>IFERROR(((Data!AI39-Data!AI38)/Data!AI38),0)</f>
        <v>-1.1933395671319735E-2</v>
      </c>
      <c r="AJ39" s="238">
        <f>IFERROR(((Data!AJ39-Data!AJ38)/Data!AJ38),0)</f>
        <v>0.36034209887180962</v>
      </c>
      <c r="AK39" s="238">
        <f>IFERROR(((Data!AK39-Data!AK38)/Data!AK38),0)</f>
        <v>0</v>
      </c>
      <c r="AL39" s="239">
        <f>IFERROR(((Data!AL39-Data!AL38)/Data!AL38),0)</f>
        <v>-5.5878943654211637E-2</v>
      </c>
      <c r="AM39" s="239">
        <f>IFERROR(((Data!AM39-Data!AM38)/Data!AM38),0)</f>
        <v>9.4101162553205775E-2</v>
      </c>
      <c r="AN39" s="239">
        <f>IFERROR(((Data!AN39-Data!AN38)/Data!AN38),0)</f>
        <v>0</v>
      </c>
      <c r="AO39" s="239">
        <f>IFERROR(((Data!AO39-Data!AO38)/Data!AO38),0)</f>
        <v>-1.9420650026183119E-2</v>
      </c>
      <c r="AP39" s="239">
        <f>IFERROR(((Data!AP39-Data!AP38)/Data!AP38),0)</f>
        <v>-9.9898103894067373E-4</v>
      </c>
      <c r="AQ39" s="240">
        <f>IFERROR(((Data!AQ39-Data!AQ38)/Data!AQ38),0)</f>
        <v>2.8750114931054262E-2</v>
      </c>
      <c r="AR39" s="240">
        <f>IFERROR(((Data!AR39-Data!AR38)/Data!AR38),0)</f>
        <v>-6.252702201735229E-3</v>
      </c>
      <c r="AS39" s="240">
        <f>IFERROR(((Data!AS39-Data!AS38)/Data!AS38),0)</f>
        <v>-8.4646728295369221E-4</v>
      </c>
      <c r="AT39" s="240">
        <f>IFERROR(((Data!AT39-Data!AT38)/Data!AT38),0)</f>
        <v>0.23775243979158558</v>
      </c>
      <c r="AU39" s="241">
        <f>IFERROR(((Data!AU39-Data!AU38)/Data!AU38),0)</f>
        <v>-1.7878426272266358E-2</v>
      </c>
      <c r="AV39" s="227">
        <f>IFERROR(((Data!AV39-Data!AV38)/Data!AV38),0)</f>
        <v>-4.9009501753829246E-2</v>
      </c>
      <c r="AW39" s="227">
        <f>IFERROR(((Data!AW39-Data!AW38)/Data!AW38),0)</f>
        <v>3.9500078372183139E-3</v>
      </c>
      <c r="AX39" s="227">
        <f>IFERROR(((Data!AX39-Data!AX38)/Data!AX38),0)</f>
        <v>4.4133735519775216E-2</v>
      </c>
      <c r="AY39" s="227">
        <f>IFERROR(((Data!AY39-Data!AY38)/Data!AY38),0)</f>
        <v>6.7180917469085652E-2</v>
      </c>
      <c r="AZ39" s="227">
        <f>IFERROR(((Data!AZ39-Data!AZ38)/Data!AZ38),0)</f>
        <v>1.1662699777907293E-2</v>
      </c>
      <c r="BA39" s="228">
        <f>IFERROR(((Data!BA39-Data!BA38)/Data!BA38),0)</f>
        <v>3.7359462209517039E-2</v>
      </c>
      <c r="BB39" s="228">
        <f>IFERROR(((Data!BB39-Data!BB38)/Data!BB38),0)</f>
        <v>2.1456370177324498E-2</v>
      </c>
      <c r="BC39" s="228">
        <f>IFERROR(((Data!BC39-Data!BC38)/Data!BC38),0)</f>
        <v>0</v>
      </c>
      <c r="BD39" s="228">
        <f>IFERROR(((Data!BD39-Data!BD38)/Data!BD38),0)</f>
        <v>0</v>
      </c>
      <c r="BE39" s="228">
        <f>IFERROR(((Data!BE39-Data!BE38)/Data!BE38),0)</f>
        <v>0</v>
      </c>
      <c r="BF39" s="229">
        <f>IFERROR(((Data!BF39-Data!BF38)/Data!BF38),0)</f>
        <v>9.6569530589955641E-2</v>
      </c>
      <c r="BG39" s="229">
        <f>IFERROR(((Data!BG39-Data!BG38)/Data!BG38),0)</f>
        <v>1.9801979950514179E-2</v>
      </c>
      <c r="BH39" s="229">
        <f>IFERROR(((Data!BH39-Data!BH38)/Data!BH38),0)</f>
        <v>-1.7189924191126948E-3</v>
      </c>
      <c r="BI39" s="229">
        <f>IFERROR(((Data!BI39-Data!BI38)/Data!BI38),0)</f>
        <v>1.6460343308870837E-2</v>
      </c>
      <c r="BJ39" s="229">
        <f>IFERROR(((Data!BJ39-Data!BJ38)/Data!BJ38),0)</f>
        <v>7.8306155761268467E-3</v>
      </c>
    </row>
    <row r="40" spans="2:62">
      <c r="B40" s="214">
        <v>44409</v>
      </c>
      <c r="C40" s="230">
        <f>IFERROR(((Data!C40-Data!C39)/Data!C39),0)</f>
        <v>7.957067825063191E-2</v>
      </c>
      <c r="D40" s="230">
        <f>IFERROR(((Data!D40-Data!D39)/Data!D39),0)</f>
        <v>-2.2622981032414217E-2</v>
      </c>
      <c r="E40" s="231">
        <f>IFERROR(((Data!E40-Data!E39)/Data!E39),0)</f>
        <v>-1.8860210223226866E-2</v>
      </c>
      <c r="F40" s="231">
        <f>IFERROR(((Data!F40-Data!F39)/Data!F39),0)</f>
        <v>7.0703700342512332E-3</v>
      </c>
      <c r="G40" s="231">
        <f>IFERROR(((Data!G40-Data!G39)/Data!G39),0)</f>
        <v>-9.5125461195158731E-2</v>
      </c>
      <c r="H40" s="232">
        <f>IFERROR(((Data!H40-Data!H39)/Data!H39),0)</f>
        <v>5.9765555295627409E-2</v>
      </c>
      <c r="I40" s="232">
        <f>IFERROR(((Data!I40-Data!I39)/Data!I39),0)</f>
        <v>0.10862641170155443</v>
      </c>
      <c r="J40" s="232">
        <f>IFERROR(((Data!J40-Data!J39)/Data!J39),0)</f>
        <v>0.1094653868669577</v>
      </c>
      <c r="K40" s="232">
        <f>IFERROR(((Data!K40-Data!K39)/Data!K39),0)</f>
        <v>-0.1740384423076923</v>
      </c>
      <c r="L40" s="232">
        <f>IFERROR(((Data!L40-Data!L39)/Data!L39),0)</f>
        <v>9.9833612110368907E-3</v>
      </c>
      <c r="M40" s="233">
        <f>IFERROR(((Data!M40-Data!M39)/Data!M39),0)</f>
        <v>2.5970646408420381E-2</v>
      </c>
      <c r="N40" s="233">
        <f>IFERROR(((Data!N40-Data!N39)/Data!N39),0)</f>
        <v>7.6831917977473177E-3</v>
      </c>
      <c r="O40" s="233">
        <f>IFERROR(((Data!O40-Data!O39)/Data!O39),0)</f>
        <v>-0.20652401219739047</v>
      </c>
      <c r="P40" s="233">
        <f>IFERROR(((Data!P40-Data!P39)/Data!P39),0)</f>
        <v>5.8759553477195893E-2</v>
      </c>
      <c r="Q40" s="233">
        <f>IFERROR(((Data!Q40-Data!Q39)/Data!Q39),0)</f>
        <v>-0.11326940993625996</v>
      </c>
      <c r="R40" s="234">
        <f>IFERROR(((Data!R40-Data!R39)/Data!R39),0)</f>
        <v>5.5997696686377552E-2</v>
      </c>
      <c r="S40" s="234">
        <f>IFERROR(((Data!S40-Data!S39)/Data!S39),0)</f>
        <v>0.12262826595401641</v>
      </c>
      <c r="T40" s="234">
        <f>IFERROR(((Data!T40-Data!T39)/Data!T39),0)</f>
        <v>-5.0644236025884436E-2</v>
      </c>
      <c r="U40" s="234">
        <f>IFERROR(((Data!U40-Data!U39)/Data!U39),0)</f>
        <v>-9.7380426823299213E-2</v>
      </c>
      <c r="V40" s="235">
        <f>IFERROR(((Data!V40-Data!V39)/Data!V39),0)</f>
        <v>0</v>
      </c>
      <c r="W40" s="236">
        <f>IFERROR(((Data!W40-Data!W39)/Data!W39),0)</f>
        <v>0.21086930809297483</v>
      </c>
      <c r="X40" s="236">
        <f>IFERROR(((Data!X40-Data!X39)/Data!X39),0)</f>
        <v>3.2399974986823378E-2</v>
      </c>
      <c r="Y40" s="236">
        <f>IFERROR(((Data!Y40-Data!Y39)/Data!Y39),0)</f>
        <v>2.6666685873563231E-2</v>
      </c>
      <c r="Z40" s="236">
        <f>IFERROR(((Data!Z40-Data!Z39)/Data!Z39),0)</f>
        <v>-0.15444220137121917</v>
      </c>
      <c r="AA40" s="236">
        <f>IFERROR(((Data!AA40-Data!AA39)/Data!AA39),0)</f>
        <v>-5.394190871369297E-2</v>
      </c>
      <c r="AB40" s="237">
        <f>IFERROR(((Data!AB40-Data!AB39)/Data!AB39),0)</f>
        <v>2.9265491788263028E-3</v>
      </c>
      <c r="AC40" s="237">
        <f>IFERROR(((Data!AC40-Data!AC39)/Data!AC39),0)</f>
        <v>2.40787543727666E-2</v>
      </c>
      <c r="AD40" s="237">
        <f>IFERROR(((Data!AD40-Data!AD39)/Data!AD39),0)</f>
        <v>2.798854013401229E-2</v>
      </c>
      <c r="AE40" s="237">
        <f>IFERROR(((Data!AE40-Data!AE39)/Data!AE39),0)</f>
        <v>-4.4514362711718387E-2</v>
      </c>
      <c r="AF40" s="237">
        <f>IFERROR(((Data!AF40-Data!AF39)/Data!AF39),0)</f>
        <v>-8.8689129523202639E-2</v>
      </c>
      <c r="AG40" s="238">
        <f>IFERROR(((Data!AG40-Data!AG39)/Data!AG39),0)</f>
        <v>0.1980340117777605</v>
      </c>
      <c r="AH40" s="238">
        <f>IFERROR(((Data!AH40-Data!AH39)/Data!AH39),0)</f>
        <v>5.9577693991049688E-2</v>
      </c>
      <c r="AI40" s="238">
        <f>IFERROR(((Data!AI40-Data!AI39)/Data!AI39),0)</f>
        <v>0.12897858415085306</v>
      </c>
      <c r="AJ40" s="238">
        <f>IFERROR(((Data!AJ40-Data!AJ39)/Data!AJ39),0)</f>
        <v>4.8545763743832161E-2</v>
      </c>
      <c r="AK40" s="238">
        <f>IFERROR(((Data!AK40-Data!AK39)/Data!AK39),0)</f>
        <v>0</v>
      </c>
      <c r="AL40" s="239">
        <f>IFERROR(((Data!AL40-Data!AL39)/Data!AL39),0)</f>
        <v>-0.15339082544999313</v>
      </c>
      <c r="AM40" s="239">
        <f>IFERROR(((Data!AM40-Data!AM39)/Data!AM39),0)</f>
        <v>-0.16744311344353963</v>
      </c>
      <c r="AN40" s="239">
        <f>IFERROR(((Data!AN40-Data!AN39)/Data!AN39),0)</f>
        <v>0</v>
      </c>
      <c r="AO40" s="239">
        <f>IFERROR(((Data!AO40-Data!AO39)/Data!AO39),0)</f>
        <v>-9.390445913256577E-3</v>
      </c>
      <c r="AP40" s="239">
        <f>IFERROR(((Data!AP40-Data!AP39)/Data!AP39),0)</f>
        <v>-2.4000020000000007E-2</v>
      </c>
      <c r="AQ40" s="240">
        <f>IFERROR(((Data!AQ40-Data!AQ39)/Data!AQ39),0)</f>
        <v>-3.2391569531981287E-2</v>
      </c>
      <c r="AR40" s="240">
        <f>IFERROR(((Data!AR40-Data!AR39)/Data!AR39),0)</f>
        <v>-7.955057034250082E-2</v>
      </c>
      <c r="AS40" s="240">
        <f>IFERROR(((Data!AS40-Data!AS39)/Data!AS39),0)</f>
        <v>-3.4736000541044955E-2</v>
      </c>
      <c r="AT40" s="240">
        <f>IFERROR(((Data!AT40-Data!AT39)/Data!AT39),0)</f>
        <v>2.4232633905851605E-2</v>
      </c>
      <c r="AU40" s="241">
        <f>IFERROR(((Data!AU40-Data!AU39)/Data!AU39),0)</f>
        <v>-6.3106867400318775E-2</v>
      </c>
      <c r="AV40" s="227">
        <f>IFERROR(((Data!AV40-Data!AV39)/Data!AV39),0)</f>
        <v>0.16748812287658965</v>
      </c>
      <c r="AW40" s="227">
        <f>IFERROR(((Data!AW40-Data!AW39)/Data!AW39),0)</f>
        <v>9.9708386201612806E-2</v>
      </c>
      <c r="AX40" s="227">
        <f>IFERROR(((Data!AX40-Data!AX39)/Data!AX39),0)</f>
        <v>0.11177493211530895</v>
      </c>
      <c r="AY40" s="227">
        <f>IFERROR(((Data!AY40-Data!AY39)/Data!AY39),0)</f>
        <v>-7.2881852701657965E-2</v>
      </c>
      <c r="AZ40" s="227">
        <f>IFERROR(((Data!AZ40-Data!AZ39)/Data!AZ39),0)</f>
        <v>-0.13797334315108173</v>
      </c>
      <c r="BA40" s="228">
        <f>IFERROR(((Data!BA40-Data!BA39)/Data!BA39),0)</f>
        <v>1.0831293469236459E-2</v>
      </c>
      <c r="BB40" s="228">
        <f>IFERROR(((Data!BB40-Data!BB39)/Data!BB39),0)</f>
        <v>-7.311214347486622E-2</v>
      </c>
      <c r="BC40" s="228">
        <f>IFERROR(((Data!BC40-Data!BC39)/Data!BC39),0)</f>
        <v>0</v>
      </c>
      <c r="BD40" s="228">
        <f>IFERROR(((Data!BD40-Data!BD39)/Data!BD39),0)</f>
        <v>0</v>
      </c>
      <c r="BE40" s="228">
        <f>IFERROR(((Data!BE40-Data!BE39)/Data!BE39),0)</f>
        <v>0</v>
      </c>
      <c r="BF40" s="229">
        <f>IFERROR(((Data!BF40-Data!BF39)/Data!BF39),0)</f>
        <v>6.5770634548176646E-3</v>
      </c>
      <c r="BG40" s="229">
        <f>IFERROR(((Data!BG40-Data!BG39)/Data!BG39),0)</f>
        <v>-7.2081915896034826E-2</v>
      </c>
      <c r="BH40" s="229">
        <f>IFERROR(((Data!BH40-Data!BH39)/Data!BH39),0)</f>
        <v>-3.6717197126496889E-2</v>
      </c>
      <c r="BI40" s="229">
        <f>IFERROR(((Data!BI40-Data!BI39)/Data!BI39),0)</f>
        <v>-0.13087711164446156</v>
      </c>
      <c r="BJ40" s="229">
        <f>IFERROR(((Data!BJ40-Data!BJ39)/Data!BJ39),0)</f>
        <v>-8.4097459713272926E-2</v>
      </c>
    </row>
    <row r="41" spans="2:62">
      <c r="B41" s="214">
        <v>44440</v>
      </c>
      <c r="C41" s="230">
        <f>IFERROR(((Data!C41-Data!C40)/Data!C40),0)</f>
        <v>1.2290486410129583E-2</v>
      </c>
      <c r="D41" s="230">
        <f>IFERROR(((Data!D41-Data!D40)/Data!D40),0)</f>
        <v>0.16028541572094929</v>
      </c>
      <c r="E41" s="231">
        <f>IFERROR(((Data!E41-Data!E40)/Data!E40),0)</f>
        <v>7.869238672132188E-2</v>
      </c>
      <c r="F41" s="231">
        <f>IFERROR(((Data!F41-Data!F40)/Data!F40),0)</f>
        <v>4.0751641998589223E-2</v>
      </c>
      <c r="G41" s="231">
        <f>IFERROR(((Data!G41-Data!G40)/Data!G40),0)</f>
        <v>8.323826017464768E-2</v>
      </c>
      <c r="H41" s="232">
        <f>IFERROR(((Data!H41-Data!H40)/Data!H40),0)</f>
        <v>0.14414995474731898</v>
      </c>
      <c r="I41" s="232">
        <f>IFERROR(((Data!I41-Data!I40)/Data!I40),0)</f>
        <v>8.5682974623140385E-3</v>
      </c>
      <c r="J41" s="232">
        <f>IFERROR(((Data!J41-Data!J40)/Data!J40),0)</f>
        <v>-2.5365622317143226E-2</v>
      </c>
      <c r="K41" s="232">
        <f>IFERROR(((Data!K41-Data!K40)/Data!K40),0)</f>
        <v>0.10942959000163935</v>
      </c>
      <c r="L41" s="232">
        <f>IFERROR(((Data!L41-Data!L40)/Data!L40),0)</f>
        <v>4.0238556570033196E-2</v>
      </c>
      <c r="M41" s="233">
        <f>IFERROR(((Data!M41-Data!M40)/Data!M40),0)</f>
        <v>3.3191474573309017E-2</v>
      </c>
      <c r="N41" s="233">
        <f>IFERROR(((Data!N41-Data!N40)/Data!N40),0)</f>
        <v>3.7552791195296337E-2</v>
      </c>
      <c r="O41" s="233">
        <f>IFERROR(((Data!O41-Data!O40)/Data!O40),0)</f>
        <v>-1.2945842574635378E-3</v>
      </c>
      <c r="P41" s="233">
        <f>IFERROR(((Data!P41-Data!P40)/Data!P40),0)</f>
        <v>-1.0909075678432982E-2</v>
      </c>
      <c r="Q41" s="233">
        <f>IFERROR(((Data!Q41-Data!Q40)/Data!Q40),0)</f>
        <v>-7.2970145601996939E-2</v>
      </c>
      <c r="R41" s="234">
        <f>IFERROR(((Data!R41-Data!R40)/Data!R40),0)</f>
        <v>1.8388942060416909E-2</v>
      </c>
      <c r="S41" s="234">
        <f>IFERROR(((Data!S41-Data!S40)/Data!S40),0)</f>
        <v>0.10328638497652583</v>
      </c>
      <c r="T41" s="234">
        <f>IFERROR(((Data!T41-Data!T40)/Data!T40),0)</f>
        <v>0.30999210109349989</v>
      </c>
      <c r="U41" s="234">
        <f>IFERROR(((Data!U41-Data!U40)/Data!U40),0)</f>
        <v>5.0039571415614194E-2</v>
      </c>
      <c r="V41" s="235">
        <f>IFERROR(((Data!V41-Data!V40)/Data!V40),0)</f>
        <v>0</v>
      </c>
      <c r="W41" s="236">
        <f>IFERROR(((Data!W41-Data!W40)/Data!W40),0)</f>
        <v>7.3243788793795048E-2</v>
      </c>
      <c r="X41" s="236">
        <f>IFERROR(((Data!X41-Data!X40)/Data!X40),0)</f>
        <v>0.2301433645163328</v>
      </c>
      <c r="Y41" s="236">
        <f>IFERROR(((Data!Y41-Data!Y40)/Data!Y40),0)</f>
        <v>0.10760663661911718</v>
      </c>
      <c r="Z41" s="236">
        <f>IFERROR(((Data!Z41-Data!Z40)/Data!Z40),0)</f>
        <v>5.1924279579147428E-2</v>
      </c>
      <c r="AA41" s="236">
        <f>IFERROR(((Data!AA41-Data!AA40)/Data!AA40),0)</f>
        <v>0.19736842105263158</v>
      </c>
      <c r="AB41" s="237">
        <f>IFERROR(((Data!AB41-Data!AB40)/Data!AB40),0)</f>
        <v>2.1693077469731193E-2</v>
      </c>
      <c r="AC41" s="237">
        <f>IFERROR(((Data!AC41-Data!AC40)/Data!AC40),0)</f>
        <v>-4.951904972500961E-2</v>
      </c>
      <c r="AD41" s="237">
        <f>IFERROR(((Data!AD41-Data!AD40)/Data!AD40),0)</f>
        <v>-5.1102563261488931E-2</v>
      </c>
      <c r="AE41" s="237">
        <f>IFERROR(((Data!AE41-Data!AE40)/Data!AE40),0)</f>
        <v>9.4117647058823521E-3</v>
      </c>
      <c r="AF41" s="237">
        <f>IFERROR(((Data!AF41-Data!AF40)/Data!AF40),0)</f>
        <v>-6.1736365304768399E-2</v>
      </c>
      <c r="AG41" s="238">
        <f>IFERROR(((Data!AG41-Data!AG40)/Data!AG40),0)</f>
        <v>-2.8786618141517905E-3</v>
      </c>
      <c r="AH41" s="238">
        <f>IFERROR(((Data!AH41-Data!AH40)/Data!AH40),0)</f>
        <v>-1.8312793870279082E-2</v>
      </c>
      <c r="AI41" s="238">
        <f>IFERROR(((Data!AI41-Data!AI40)/Data!AI40),0)</f>
        <v>0.17252322110075535</v>
      </c>
      <c r="AJ41" s="238">
        <f>IFERROR(((Data!AJ41-Data!AJ40)/Data!AJ40),0)</f>
        <v>-3.3445321559885471E-2</v>
      </c>
      <c r="AK41" s="238">
        <f>IFERROR(((Data!AK41-Data!AK40)/Data!AK40),0)</f>
        <v>0</v>
      </c>
      <c r="AL41" s="239">
        <f>IFERROR(((Data!AL41-Data!AL40)/Data!AL40),0)</f>
        <v>0.76638507551373991</v>
      </c>
      <c r="AM41" s="239">
        <f>IFERROR(((Data!AM41-Data!AM40)/Data!AM40),0)</f>
        <v>5.5445108339415801E-2</v>
      </c>
      <c r="AN41" s="239">
        <f>IFERROR(((Data!AN41-Data!AN40)/Data!AN40),0)</f>
        <v>0</v>
      </c>
      <c r="AO41" s="239">
        <f>IFERROR(((Data!AO41-Data!AO40)/Data!AO40),0)</f>
        <v>1.5510561714053503E-3</v>
      </c>
      <c r="AP41" s="239">
        <f>IFERROR(((Data!AP41-Data!AP40)/Data!AP40),0)</f>
        <v>6.45492226342054E-2</v>
      </c>
      <c r="AQ41" s="240">
        <f>IFERROR(((Data!AQ41-Data!AQ40)/Data!AQ40),0)</f>
        <v>0.2920229018318391</v>
      </c>
      <c r="AR41" s="240">
        <f>IFERROR(((Data!AR41-Data!AR40)/Data!AR40),0)</f>
        <v>0.26318369978244505</v>
      </c>
      <c r="AS41" s="240">
        <f>IFERROR(((Data!AS41-Data!AS40)/Data!AS40),0)</f>
        <v>0.40374489422158788</v>
      </c>
      <c r="AT41" s="240">
        <f>IFERROR(((Data!AT41-Data!AT40)/Data!AT40),0)</f>
        <v>0.16309152619789347</v>
      </c>
      <c r="AU41" s="241">
        <f>IFERROR(((Data!AU41-Data!AU40)/Data!AU40),0)</f>
        <v>0.17616591586351898</v>
      </c>
      <c r="AV41" s="227">
        <f>IFERROR(((Data!AV41-Data!AV40)/Data!AV40),0)</f>
        <v>-8.1863125930123383E-3</v>
      </c>
      <c r="AW41" s="227">
        <f>IFERROR(((Data!AW41-Data!AW40)/Data!AW40),0)</f>
        <v>-1.1403398323413692E-3</v>
      </c>
      <c r="AX41" s="227">
        <f>IFERROR(((Data!AX41-Data!AX40)/Data!AX40),0)</f>
        <v>6.6856444696755113E-2</v>
      </c>
      <c r="AY41" s="227">
        <f>IFERROR(((Data!AY41-Data!AY40)/Data!AY40),0)</f>
        <v>4.1845711081825859E-2</v>
      </c>
      <c r="AZ41" s="227">
        <f>IFERROR(((Data!AZ41-Data!AZ40)/Data!AZ40),0)</f>
        <v>2.6642203678101321E-2</v>
      </c>
      <c r="BA41" s="228">
        <f>IFERROR(((Data!BA41-Data!BA40)/Data!BA40),0)</f>
        <v>8.7329327876433244E-2</v>
      </c>
      <c r="BB41" s="228">
        <f>IFERROR(((Data!BB41-Data!BB40)/Data!BB40),0)</f>
        <v>0.15666600581358658</v>
      </c>
      <c r="BC41" s="228">
        <f>IFERROR(((Data!BC41-Data!BC40)/Data!BC40),0)</f>
        <v>0</v>
      </c>
      <c r="BD41" s="228">
        <f>IFERROR(((Data!BD41-Data!BD40)/Data!BD40),0)</f>
        <v>0</v>
      </c>
      <c r="BE41" s="228">
        <f>IFERROR(((Data!BE41-Data!BE40)/Data!BE40),0)</f>
        <v>0</v>
      </c>
      <c r="BF41" s="229">
        <f>IFERROR(((Data!BF41-Data!BF40)/Data!BF40),0)</f>
        <v>-5.4987615456127549E-2</v>
      </c>
      <c r="BG41" s="229">
        <f>IFERROR(((Data!BG41-Data!BG40)/Data!BG40),0)</f>
        <v>-4.5261328867382308E-2</v>
      </c>
      <c r="BH41" s="229">
        <f>IFERROR(((Data!BH41-Data!BH40)/Data!BH40),0)</f>
        <v>-4.4087372147646645E-2</v>
      </c>
      <c r="BI41" s="229">
        <f>IFERROR(((Data!BI41-Data!BI40)/Data!BI40),0)</f>
        <v>1.4189327238978235E-2</v>
      </c>
      <c r="BJ41" s="229">
        <f>IFERROR(((Data!BJ41-Data!BJ40)/Data!BJ40),0)</f>
        <v>4.7528404883953379E-2</v>
      </c>
    </row>
    <row r="42" spans="2:62">
      <c r="B42" s="214">
        <v>44470</v>
      </c>
      <c r="C42" s="230">
        <f>IFERROR(((Data!C42-Data!C41)/Data!C41),0)</f>
        <v>0.1011145061865821</v>
      </c>
      <c r="D42" s="230">
        <f>IFERROR(((Data!D42-Data!D41)/Data!D41),0)</f>
        <v>0.45102749875893067</v>
      </c>
      <c r="E42" s="231">
        <f>IFERROR(((Data!E42-Data!E41)/Data!E41),0)</f>
        <v>1.9671434486102382E-2</v>
      </c>
      <c r="F42" s="231">
        <f>IFERROR(((Data!F42-Data!F41)/Data!F41),0)</f>
        <v>7.7973359488119204E-2</v>
      </c>
      <c r="G42" s="231">
        <f>IFERROR(((Data!G42-Data!G41)/Data!G41),0)</f>
        <v>-3.7649295178168563E-2</v>
      </c>
      <c r="H42" s="232">
        <f>IFERROR(((Data!H42-Data!H41)/Data!H41),0)</f>
        <v>1.2789852199867047E-2</v>
      </c>
      <c r="I42" s="232">
        <f>IFERROR(((Data!I42-Data!I41)/Data!I41),0)</f>
        <v>-7.5863658610641751E-3</v>
      </c>
      <c r="J42" s="232">
        <f>IFERROR(((Data!J42-Data!J41)/Data!J41),0)</f>
        <v>-3.2026588667246211E-2</v>
      </c>
      <c r="K42" s="232">
        <f>IFERROR(((Data!K42-Data!K41)/Data!K41),0)</f>
        <v>3.8824720301165974E-2</v>
      </c>
      <c r="L42" s="232">
        <f>IFERROR(((Data!L42-Data!L41)/Data!L41),0)</f>
        <v>6.6603289361372817E-2</v>
      </c>
      <c r="M42" s="233">
        <f>IFERROR(((Data!M42-Data!M41)/Data!M41),0)</f>
        <v>-2.8414242587083659E-2</v>
      </c>
      <c r="N42" s="233">
        <f>IFERROR(((Data!N42-Data!N41)/Data!N41),0)</f>
        <v>-4.5382853546524507E-2</v>
      </c>
      <c r="O42" s="233">
        <f>IFERROR(((Data!O42-Data!O41)/Data!O41),0)</f>
        <v>-4.891011791569716E-2</v>
      </c>
      <c r="P42" s="233">
        <f>IFERROR(((Data!P42-Data!P41)/Data!P41),0)</f>
        <v>-3.7198200760370143E-2</v>
      </c>
      <c r="Q42" s="233">
        <f>IFERROR(((Data!Q42-Data!Q41)/Data!Q41),0)</f>
        <v>-0.11363629693402701</v>
      </c>
      <c r="R42" s="234">
        <f>IFERROR(((Data!R42-Data!R41)/Data!R41),0)</f>
        <v>3.7405698227121302E-2</v>
      </c>
      <c r="S42" s="234">
        <f>IFERROR(((Data!S42-Data!S41)/Data!S41),0)</f>
        <v>6.3356520094562073E-3</v>
      </c>
      <c r="T42" s="234">
        <f>IFERROR(((Data!T42-Data!T41)/Data!T41),0)</f>
        <v>-4.4582948695457161E-2</v>
      </c>
      <c r="U42" s="234">
        <f>IFERROR(((Data!U42-Data!U41)/Data!U41),0)</f>
        <v>-0.13705263048896704</v>
      </c>
      <c r="V42" s="235">
        <f>IFERROR(((Data!V42-Data!V41)/Data!V41),0)</f>
        <v>0</v>
      </c>
      <c r="W42" s="236">
        <f>IFERROR(((Data!W42-Data!W41)/Data!W41),0)</f>
        <v>5.4508984221363702E-3</v>
      </c>
      <c r="X42" s="236">
        <f>IFERROR(((Data!X42-Data!X41)/Data!X41),0)</f>
        <v>0.34992131575318663</v>
      </c>
      <c r="Y42" s="236">
        <f>IFERROR(((Data!Y42-Data!Y41)/Data!Y41),0)</f>
        <v>4.1517923259933566E-2</v>
      </c>
      <c r="Z42" s="236">
        <f>IFERROR(((Data!Z42-Data!Z41)/Data!Z41),0)</f>
        <v>3.8071983235811312E-2</v>
      </c>
      <c r="AA42" s="236">
        <f>IFERROR(((Data!AA42-Data!AA41)/Data!AA41),0)</f>
        <v>3.2967032967032912E-2</v>
      </c>
      <c r="AB42" s="237">
        <f>IFERROR(((Data!AB42-Data!AB41)/Data!AB41),0)</f>
        <v>-9.214100074922944E-3</v>
      </c>
      <c r="AC42" s="237">
        <f>IFERROR(((Data!AC42-Data!AC41)/Data!AC41),0)</f>
        <v>1.1494288780030462E-2</v>
      </c>
      <c r="AD42" s="237">
        <f>IFERROR(((Data!AD42-Data!AD41)/Data!AD41),0)</f>
        <v>3.2442725702618053E-2</v>
      </c>
      <c r="AE42" s="237">
        <f>IFERROR(((Data!AE42-Data!AE41)/Data!AE41),0)</f>
        <v>-6.9463841491841455E-2</v>
      </c>
      <c r="AF42" s="237">
        <f>IFERROR(((Data!AF42-Data!AF41)/Data!AF41),0)</f>
        <v>0.1234694039508249</v>
      </c>
      <c r="AG42" s="238">
        <f>IFERROR(((Data!AG42-Data!AG41)/Data!AG41),0)</f>
        <v>-0.10006490311629766</v>
      </c>
      <c r="AH42" s="238">
        <f>IFERROR(((Data!AH42-Data!AH41)/Data!AH41),0)</f>
        <v>-4.4472857258587451E-3</v>
      </c>
      <c r="AI42" s="238">
        <f>IFERROR(((Data!AI42-Data!AI41)/Data!AI41),0)</f>
        <v>4.9740430679205846E-2</v>
      </c>
      <c r="AJ42" s="238">
        <f>IFERROR(((Data!AJ42-Data!AJ41)/Data!AJ41),0)</f>
        <v>-7.6488189083324887E-2</v>
      </c>
      <c r="AK42" s="238">
        <f>IFERROR(((Data!AK42-Data!AK41)/Data!AK41),0)</f>
        <v>0</v>
      </c>
      <c r="AL42" s="239">
        <f>IFERROR(((Data!AL42-Data!AL41)/Data!AL41),0)</f>
        <v>7.0609638106746671E-3</v>
      </c>
      <c r="AM42" s="239">
        <f>IFERROR(((Data!AM42-Data!AM41)/Data!AM41),0)</f>
        <v>0.11012161129815418</v>
      </c>
      <c r="AN42" s="239">
        <f>IFERROR(((Data!AN42-Data!AN41)/Data!AN41),0)</f>
        <v>0</v>
      </c>
      <c r="AO42" s="239">
        <f>IFERROR(((Data!AO42-Data!AO41)/Data!AO41),0)</f>
        <v>8.40425724289217E-2</v>
      </c>
      <c r="AP42" s="239">
        <f>IFERROR(((Data!AP42-Data!AP41)/Data!AP41),0)</f>
        <v>0.48604418698663732</v>
      </c>
      <c r="AQ42" s="240">
        <f>IFERROR(((Data!AQ42-Data!AQ41)/Data!AQ41),0)</f>
        <v>5.1189323727719116E-2</v>
      </c>
      <c r="AR42" s="240">
        <f>IFERROR(((Data!AR42-Data!AR41)/Data!AR41),0)</f>
        <v>7.2670958992283527E-2</v>
      </c>
      <c r="AS42" s="240">
        <f>IFERROR(((Data!AS42-Data!AS41)/Data!AS41),0)</f>
        <v>-1.6465181737353424E-2</v>
      </c>
      <c r="AT42" s="240">
        <f>IFERROR(((Data!AT42-Data!AT41)/Data!AT41),0)</f>
        <v>-7.2823469412244116E-2</v>
      </c>
      <c r="AU42" s="241">
        <f>IFERROR(((Data!AU42-Data!AU41)/Data!AU41),0)</f>
        <v>0.20044047575152088</v>
      </c>
      <c r="AV42" s="227">
        <f>IFERROR(((Data!AV42-Data!AV41)/Data!AV41),0)</f>
        <v>-0.11423869475814052</v>
      </c>
      <c r="AW42" s="227">
        <f>IFERROR(((Data!AW42-Data!AW41)/Data!AW41),0)</f>
        <v>-2.2905048388724873E-2</v>
      </c>
      <c r="AX42" s="227">
        <f>IFERROR(((Data!AX42-Data!AX41)/Data!AX41),0)</f>
        <v>-5.3754611746246767E-2</v>
      </c>
      <c r="AY42" s="227">
        <f>IFERROR(((Data!AY42-Data!AY41)/Data!AY41),0)</f>
        <v>-2.4147455137287888E-2</v>
      </c>
      <c r="AZ42" s="227">
        <f>IFERROR(((Data!AZ42-Data!AZ41)/Data!AZ41),0)</f>
        <v>-8.3597440145371835E-2</v>
      </c>
      <c r="BA42" s="228">
        <f>IFERROR(((Data!BA42-Data!BA41)/Data!BA41),0)</f>
        <v>2.5478880905260355E-2</v>
      </c>
      <c r="BB42" s="228">
        <f>IFERROR(((Data!BB42-Data!BB41)/Data!BB41),0)</f>
        <v>-8.2689270657383379E-2</v>
      </c>
      <c r="BC42" s="228">
        <f>IFERROR(((Data!BC42-Data!BC41)/Data!BC41),0)</f>
        <v>0</v>
      </c>
      <c r="BD42" s="228">
        <f>IFERROR(((Data!BD42-Data!BD41)/Data!BD41),0)</f>
        <v>0</v>
      </c>
      <c r="BE42" s="228">
        <f>IFERROR(((Data!BE42-Data!BE41)/Data!BE41),0)</f>
        <v>0</v>
      </c>
      <c r="BF42" s="229">
        <f>IFERROR(((Data!BF42-Data!BF41)/Data!BF41),0)</f>
        <v>-6.4528079633976554E-2</v>
      </c>
      <c r="BG42" s="229">
        <f>IFERROR(((Data!BG42-Data!BG41)/Data!BG41),0)</f>
        <v>4.5923383735364962E-2</v>
      </c>
      <c r="BH42" s="229">
        <f>IFERROR(((Data!BH42-Data!BH41)/Data!BH41),0)</f>
        <v>-5.8464817746594976E-2</v>
      </c>
      <c r="BI42" s="229">
        <f>IFERROR(((Data!BI42-Data!BI41)/Data!BI41),0)</f>
        <v>-7.1878267528599923E-2</v>
      </c>
      <c r="BJ42" s="229">
        <f>IFERROR(((Data!BJ42-Data!BJ41)/Data!BJ41),0)</f>
        <v>-6.8209381684349479E-2</v>
      </c>
    </row>
    <row r="43" spans="2:62">
      <c r="B43" s="214">
        <v>44501</v>
      </c>
      <c r="C43" s="230">
        <f>IFERROR(((Data!C43-Data!C42)/Data!C42),0)</f>
        <v>-5.5131490739783656E-2</v>
      </c>
      <c r="D43" s="230">
        <f>IFERROR(((Data!D43-Data!D42)/Data!D42),0)</f>
        <v>-5.1891647039701221E-2</v>
      </c>
      <c r="E43" s="231">
        <f>IFERROR(((Data!E43-Data!E42)/Data!E42),0)</f>
        <v>-5.5410049022829796E-2</v>
      </c>
      <c r="F43" s="231">
        <f>IFERROR(((Data!F43-Data!F42)/Data!F42),0)</f>
        <v>-0.10949438569434689</v>
      </c>
      <c r="G43" s="231">
        <f>IFERROR(((Data!G43-Data!G42)/Data!G42),0)</f>
        <v>-8.6572549560020876E-2</v>
      </c>
      <c r="H43" s="232">
        <f>IFERROR(((Data!H43-Data!H42)/Data!H42),0)</f>
        <v>-3.4094031536477235E-2</v>
      </c>
      <c r="I43" s="232">
        <f>IFERROR(((Data!I43-Data!I42)/Data!I42),0)</f>
        <v>-5.6417155681053995E-2</v>
      </c>
      <c r="J43" s="232">
        <f>IFERROR(((Data!J43-Data!J42)/Data!J42),0)</f>
        <v>-0.1163745828308634</v>
      </c>
      <c r="K43" s="232">
        <f>IFERROR(((Data!K43-Data!K42)/Data!K42),0)</f>
        <v>-9.8989939393939408E-2</v>
      </c>
      <c r="L43" s="232">
        <f>IFERROR(((Data!L43-Data!L42)/Data!L42),0)</f>
        <v>-0.13945882394082149</v>
      </c>
      <c r="M43" s="233">
        <f>IFERROR(((Data!M43-Data!M42)/Data!M42),0)</f>
        <v>-5.2075512569672217E-2</v>
      </c>
      <c r="N43" s="233">
        <f>IFERROR(((Data!N43-Data!N42)/Data!N42),0)</f>
        <v>3.5735463513634825E-3</v>
      </c>
      <c r="O43" s="233">
        <f>IFERROR(((Data!O43-Data!O42)/Data!O42),0)</f>
        <v>-4.2213604537509511E-2</v>
      </c>
      <c r="P43" s="233">
        <f>IFERROR(((Data!P43-Data!P42)/Data!P42),0)</f>
        <v>-4.3157739726442254E-2</v>
      </c>
      <c r="Q43" s="233">
        <f>IFERROR(((Data!Q43-Data!Q42)/Data!Q42),0)</f>
        <v>-0.12049205543140351</v>
      </c>
      <c r="R43" s="234">
        <f>IFERROR(((Data!R43-Data!R42)/Data!R42),0)</f>
        <v>-1.0754698011691433E-3</v>
      </c>
      <c r="S43" s="234">
        <f>IFERROR(((Data!S43-Data!S42)/Data!S42),0)</f>
        <v>0.33226847580237451</v>
      </c>
      <c r="T43" s="234">
        <f>IFERROR(((Data!T43-Data!T42)/Data!T42),0)</f>
        <v>-5.9709048700538177E-2</v>
      </c>
      <c r="U43" s="234">
        <f>IFERROR(((Data!U43-Data!U42)/Data!U42),0)</f>
        <v>-4.2164985355857623E-3</v>
      </c>
      <c r="V43" s="235">
        <f>IFERROR(((Data!V43-Data!V42)/Data!V42),0)</f>
        <v>0</v>
      </c>
      <c r="W43" s="236">
        <f>IFERROR(((Data!W43-Data!W42)/Data!W42),0)</f>
        <v>0.12365012878310548</v>
      </c>
      <c r="X43" s="236">
        <f>IFERROR(((Data!X43-Data!X42)/Data!X42),0)</f>
        <v>1.1665865579799614E-2</v>
      </c>
      <c r="Y43" s="236">
        <f>IFERROR(((Data!Y43-Data!Y42)/Data!Y42),0)</f>
        <v>1.3029314562611095E-2</v>
      </c>
      <c r="Z43" s="236">
        <f>IFERROR(((Data!Z43-Data!Z42)/Data!Z42),0)</f>
        <v>-6.9942194191743662E-2</v>
      </c>
      <c r="AA43" s="236">
        <f>IFERROR(((Data!AA43-Data!AA42)/Data!AA42),0)</f>
        <v>-8.5106382978723361E-2</v>
      </c>
      <c r="AB43" s="237">
        <f>IFERROR(((Data!AB43-Data!AB42)/Data!AB42),0)</f>
        <v>-8.8457492681806651E-2</v>
      </c>
      <c r="AC43" s="237">
        <f>IFERROR(((Data!AC43-Data!AC42)/Data!AC42),0)</f>
        <v>-7.4604779620692854E-2</v>
      </c>
      <c r="AD43" s="237">
        <f>IFERROR(((Data!AD43-Data!AD42)/Data!AD42),0)</f>
        <v>-2.6492727813695337E-2</v>
      </c>
      <c r="AE43" s="237">
        <f>IFERROR(((Data!AE43-Data!AE42)/Data!AE42),0)</f>
        <v>-4.5090179005305236E-2</v>
      </c>
      <c r="AF43" s="237">
        <f>IFERROR(((Data!AF43-Data!AF42)/Data!AF42),0)</f>
        <v>-0.14253625886710783</v>
      </c>
      <c r="AG43" s="238">
        <f>IFERROR(((Data!AG43-Data!AG42)/Data!AG42),0)</f>
        <v>4.066550655160308E-2</v>
      </c>
      <c r="AH43" s="238">
        <f>IFERROR(((Data!AH43-Data!AH42)/Data!AH42),0)</f>
        <v>3.6023519565283171E-2</v>
      </c>
      <c r="AI43" s="238">
        <f>IFERROR(((Data!AI43-Data!AI42)/Data!AI42),0)</f>
        <v>-1.5436995187164956E-2</v>
      </c>
      <c r="AJ43" s="238">
        <f>IFERROR(((Data!AJ43-Data!AJ42)/Data!AJ42),0)</f>
        <v>-5.4025566326974722E-2</v>
      </c>
      <c r="AK43" s="238">
        <f>IFERROR(((Data!AK43-Data!AK42)/Data!AK42),0)</f>
        <v>0</v>
      </c>
      <c r="AL43" s="239">
        <f>IFERROR(((Data!AL43-Data!AL42)/Data!AL42),0)</f>
        <v>7.7587502452186721E-2</v>
      </c>
      <c r="AM43" s="239">
        <f>IFERROR(((Data!AM43-Data!AM42)/Data!AM42),0)</f>
        <v>-7.1390238634933767E-2</v>
      </c>
      <c r="AN43" s="239">
        <f>IFERROR(((Data!AN43-Data!AN42)/Data!AN42),0)</f>
        <v>0</v>
      </c>
      <c r="AO43" s="239">
        <f>IFERROR(((Data!AO43-Data!AO42)/Data!AO42),0)</f>
        <v>0.29476703611433808</v>
      </c>
      <c r="AP43" s="239">
        <f>IFERROR(((Data!AP43-Data!AP42)/Data!AP42),0)</f>
        <v>-7.2538849969126254E-2</v>
      </c>
      <c r="AQ43" s="240">
        <f>IFERROR(((Data!AQ43-Data!AQ42)/Data!AQ42),0)</f>
        <v>-5.4465169191504931E-2</v>
      </c>
      <c r="AR43" s="240">
        <f>IFERROR(((Data!AR43-Data!AR42)/Data!AR42),0)</f>
        <v>-0.13225226545549285</v>
      </c>
      <c r="AS43" s="240">
        <f>IFERROR(((Data!AS43-Data!AS42)/Data!AS42),0)</f>
        <v>8.0525917531586635E-3</v>
      </c>
      <c r="AT43" s="240">
        <f>IFERROR(((Data!AT43-Data!AT42)/Data!AT42),0)</f>
        <v>-8.9951735584512568E-2</v>
      </c>
      <c r="AU43" s="241">
        <f>IFERROR(((Data!AU43-Data!AU42)/Data!AU42),0)</f>
        <v>-0.18256882568807339</v>
      </c>
      <c r="AV43" s="227">
        <f>IFERROR(((Data!AV43-Data!AV42)/Data!AV42),0)</f>
        <v>-2.5638679050400546E-2</v>
      </c>
      <c r="AW43" s="227">
        <f>IFERROR(((Data!AW43-Data!AW42)/Data!AW42),0)</f>
        <v>1.3986793268436321E-2</v>
      </c>
      <c r="AX43" s="227">
        <f>IFERROR(((Data!AX43-Data!AX42)/Data!AX42),0)</f>
        <v>4.9567315462623295E-2</v>
      </c>
      <c r="AY43" s="227">
        <f>IFERROR(((Data!AY43-Data!AY42)/Data!AY42),0)</f>
        <v>-4.4267697382675011E-2</v>
      </c>
      <c r="AZ43" s="227">
        <f>IFERROR(((Data!AZ43-Data!AZ42)/Data!AZ42),0)</f>
        <v>-0.20881973028546177</v>
      </c>
      <c r="BA43" s="228">
        <f>IFERROR(((Data!BA43-Data!BA42)/Data!BA42),0)</f>
        <v>-1.4986553681639907E-2</v>
      </c>
      <c r="BB43" s="228">
        <f>IFERROR(((Data!BB43-Data!BB42)/Data!BB42),0)</f>
        <v>-7.249057414444969E-2</v>
      </c>
      <c r="BC43" s="228">
        <f>IFERROR(((Data!BC43-Data!BC42)/Data!BC42),0)</f>
        <v>0</v>
      </c>
      <c r="BD43" s="228">
        <f>IFERROR(((Data!BD43-Data!BD42)/Data!BD42),0)</f>
        <v>0</v>
      </c>
      <c r="BE43" s="228">
        <f>IFERROR(((Data!BE43-Data!BE42)/Data!BE42),0)</f>
        <v>0</v>
      </c>
      <c r="BF43" s="229">
        <f>IFERROR(((Data!BF43-Data!BF42)/Data!BF42),0)</f>
        <v>-1.2094666025212661E-2</v>
      </c>
      <c r="BG43" s="229">
        <f>IFERROR(((Data!BG43-Data!BG42)/Data!BG42),0)</f>
        <v>-7.9032762899884465E-2</v>
      </c>
      <c r="BH43" s="229">
        <f>IFERROR(((Data!BH43-Data!BH42)/Data!BH42),0)</f>
        <v>-7.7030489003050207E-2</v>
      </c>
      <c r="BI43" s="229">
        <f>IFERROR(((Data!BI43-Data!BI42)/Data!BI42),0)</f>
        <v>-6.1616749489007243E-2</v>
      </c>
      <c r="BJ43" s="229">
        <f>IFERROR(((Data!BJ43-Data!BJ42)/Data!BJ42),0)</f>
        <v>2.0613520808958834E-2</v>
      </c>
    </row>
    <row r="44" spans="2:62">
      <c r="B44" s="214">
        <v>44531</v>
      </c>
      <c r="C44" s="230">
        <f>IFERROR(((Data!C44-Data!C43)/Data!C43),0)</f>
        <v>1.9749175004524049E-3</v>
      </c>
      <c r="D44" s="230">
        <f>IFERROR(((Data!D44-Data!D43)/Data!D43),0)</f>
        <v>5.1897056344752258E-2</v>
      </c>
      <c r="E44" s="231">
        <f>IFERROR(((Data!E44-Data!E43)/Data!E43),0)</f>
        <v>5.0744371454050106E-2</v>
      </c>
      <c r="F44" s="231">
        <f>IFERROR(((Data!F44-Data!F43)/Data!F43),0)</f>
        <v>0.1263665282011793</v>
      </c>
      <c r="G44" s="231">
        <f>IFERROR(((Data!G44-Data!G43)/Data!G43),0)</f>
        <v>-2.8577069973027808E-2</v>
      </c>
      <c r="H44" s="232">
        <f>IFERROR(((Data!H44-Data!H43)/Data!H43),0)</f>
        <v>-8.4509875623424741E-2</v>
      </c>
      <c r="I44" s="232">
        <f>IFERROR(((Data!I44-Data!I43)/Data!I43),0)</f>
        <v>-9.4741232660507033E-3</v>
      </c>
      <c r="J44" s="232">
        <f>IFERROR(((Data!J44-Data!J43)/Data!J43),0)</f>
        <v>3.4927054766012891E-2</v>
      </c>
      <c r="K44" s="232">
        <f>IFERROR(((Data!K44-Data!K43)/Data!K43),0)</f>
        <v>8.4080721259225166E-2</v>
      </c>
      <c r="L44" s="232">
        <f>IFERROR(((Data!L44-Data!L43)/Data!L43),0)</f>
        <v>-6.9454003094410147E-2</v>
      </c>
      <c r="M44" s="233">
        <f>IFERROR(((Data!M44-Data!M43)/Data!M43),0)</f>
        <v>0.12221342615868108</v>
      </c>
      <c r="N44" s="233">
        <f>IFERROR(((Data!N44-Data!N43)/Data!N43),0)</f>
        <v>4.9434828872489546E-2</v>
      </c>
      <c r="O44" s="233">
        <f>IFERROR(((Data!O44-Data!O43)/Data!O43),0)</f>
        <v>0.11466464562377171</v>
      </c>
      <c r="P44" s="233">
        <f>IFERROR(((Data!P44-Data!P43)/Data!P43),0)</f>
        <v>1.3562110088841605E-2</v>
      </c>
      <c r="Q44" s="233">
        <f>IFERROR(((Data!Q44-Data!Q43)/Data!Q43),0)</f>
        <v>0.17918943129163667</v>
      </c>
      <c r="R44" s="234">
        <f>IFERROR(((Data!R44-Data!R43)/Data!R43),0)</f>
        <v>7.4316478532477609E-2</v>
      </c>
      <c r="S44" s="234">
        <f>IFERROR(((Data!S44-Data!S43)/Data!S43),0)</f>
        <v>-0.12995485524204187</v>
      </c>
      <c r="T44" s="234">
        <f>IFERROR(((Data!T44-Data!T43)/Data!T43),0)</f>
        <v>4.1755692400243093E-2</v>
      </c>
      <c r="U44" s="234">
        <f>IFERROR(((Data!U44-Data!U43)/Data!U43),0)</f>
        <v>-7.0571622912580997E-3</v>
      </c>
      <c r="V44" s="235">
        <f>IFERROR(((Data!V44-Data!V43)/Data!V43),0)</f>
        <v>0</v>
      </c>
      <c r="W44" s="236">
        <f>IFERROR(((Data!W44-Data!W43)/Data!W43),0)</f>
        <v>2.6902868113579694E-2</v>
      </c>
      <c r="X44" s="236">
        <f>IFERROR(((Data!X44-Data!X43)/Data!X43),0)</f>
        <v>1.914204917886738E-2</v>
      </c>
      <c r="Y44" s="236">
        <f>IFERROR(((Data!Y44-Data!Y43)/Data!Y43),0)</f>
        <v>-4.823062331706574E-3</v>
      </c>
      <c r="Z44" s="236">
        <f>IFERROR(((Data!Z44-Data!Z43)/Data!Z43),0)</f>
        <v>2.6103251121170599E-2</v>
      </c>
      <c r="AA44" s="236">
        <f>IFERROR(((Data!AA44-Data!AA43)/Data!AA43),0)</f>
        <v>5.4263565891472812E-2</v>
      </c>
      <c r="AB44" s="237">
        <f>IFERROR(((Data!AB44-Data!AB43)/Data!AB43),0)</f>
        <v>3.3912879427489523E-2</v>
      </c>
      <c r="AC44" s="237">
        <f>IFERROR(((Data!AC44-Data!AC43)/Data!AC43),0)</f>
        <v>7.7416885754242257E-3</v>
      </c>
      <c r="AD44" s="237">
        <f>IFERROR(((Data!AD44-Data!AD43)/Data!AD43),0)</f>
        <v>2.1160225502186582E-2</v>
      </c>
      <c r="AE44" s="237">
        <f>IFERROR(((Data!AE44-Data!AE43)/Data!AE43),0)</f>
        <v>0</v>
      </c>
      <c r="AF44" s="237">
        <f>IFERROR(((Data!AF44-Data!AF43)/Data!AF43),0)</f>
        <v>1.7861419626002833E-2</v>
      </c>
      <c r="AG44" s="238">
        <f>IFERROR(((Data!AG44-Data!AG43)/Data!AG43),0)</f>
        <v>5.9277870377956295E-2</v>
      </c>
      <c r="AH44" s="238">
        <f>IFERROR(((Data!AH44-Data!AH43)/Data!AH43),0)</f>
        <v>0.10223916029209887</v>
      </c>
      <c r="AI44" s="238">
        <f>IFERROR(((Data!AI44-Data!AI43)/Data!AI43),0)</f>
        <v>1.4935267492851777E-2</v>
      </c>
      <c r="AJ44" s="238">
        <f>IFERROR(((Data!AJ44-Data!AJ43)/Data!AJ43),0)</f>
        <v>7.6943924260719068E-2</v>
      </c>
      <c r="AK44" s="238">
        <f>IFERROR(((Data!AK44-Data!AK43)/Data!AK43),0)</f>
        <v>0</v>
      </c>
      <c r="AL44" s="239">
        <f>IFERROR(((Data!AL44-Data!AL43)/Data!AL43),0)</f>
        <v>-1.0792496083575118E-2</v>
      </c>
      <c r="AM44" s="239">
        <f>IFERROR(((Data!AM44-Data!AM43)/Data!AM43),0)</f>
        <v>-3.5773952024595969E-2</v>
      </c>
      <c r="AN44" s="239">
        <f>IFERROR(((Data!AN44-Data!AN43)/Data!AN43),0)</f>
        <v>0</v>
      </c>
      <c r="AO44" s="239">
        <f>IFERROR(((Data!AO44-Data!AO43)/Data!AO43),0)</f>
        <v>4.8572543281877108E-2</v>
      </c>
      <c r="AP44" s="239">
        <f>IFERROR(((Data!AP44-Data!AP43)/Data!AP43),0)</f>
        <v>0.26326814981195945</v>
      </c>
      <c r="AQ44" s="240">
        <f>IFERROR(((Data!AQ44-Data!AQ43)/Data!AQ43),0)</f>
        <v>2.4958580821400449E-3</v>
      </c>
      <c r="AR44" s="240">
        <f>IFERROR(((Data!AR44-Data!AR43)/Data!AR43),0)</f>
        <v>3.405316177025882E-2</v>
      </c>
      <c r="AS44" s="240">
        <f>IFERROR(((Data!AS44-Data!AS43)/Data!AS43),0)</f>
        <v>-9.2705496925654912E-2</v>
      </c>
      <c r="AT44" s="240">
        <f>IFERROR(((Data!AT44-Data!AT43)/Data!AT43),0)</f>
        <v>-9.4021217763391063E-2</v>
      </c>
      <c r="AU44" s="241">
        <f>IFERROR(((Data!AU44-Data!AU43)/Data!AU43),0)</f>
        <v>4.6015691268590148E-2</v>
      </c>
      <c r="AV44" s="227">
        <f>IFERROR(((Data!AV44-Data!AV43)/Data!AV43),0)</f>
        <v>1.838132080067377E-2</v>
      </c>
      <c r="AW44" s="227">
        <f>IFERROR(((Data!AW44-Data!AW43)/Data!AW43),0)</f>
        <v>2.8881212560044434E-2</v>
      </c>
      <c r="AX44" s="227">
        <f>IFERROR(((Data!AX44-Data!AX43)/Data!AX43),0)</f>
        <v>-3.5334730277347829E-3</v>
      </c>
      <c r="AY44" s="227">
        <f>IFERROR(((Data!AY44-Data!AY43)/Data!AY43),0)</f>
        <v>-6.2451035847541133E-3</v>
      </c>
      <c r="AZ44" s="227">
        <f>IFERROR(((Data!AZ44-Data!AZ43)/Data!AZ43),0)</f>
        <v>8.1967173696539233E-2</v>
      </c>
      <c r="BA44" s="228">
        <f>IFERROR(((Data!BA44-Data!BA43)/Data!BA43),0)</f>
        <v>3.0429364564991675E-2</v>
      </c>
      <c r="BB44" s="228">
        <f>IFERROR(((Data!BB44-Data!BB43)/Data!BB43),0)</f>
        <v>8.4237948396791565E-2</v>
      </c>
      <c r="BC44" s="228">
        <f>IFERROR(((Data!BC44-Data!BC43)/Data!BC43),0)</f>
        <v>0</v>
      </c>
      <c r="BD44" s="228">
        <f>IFERROR(((Data!BD44-Data!BD43)/Data!BD43),0)</f>
        <v>0</v>
      </c>
      <c r="BE44" s="228">
        <f>IFERROR(((Data!BE44-Data!BE43)/Data!BE43),0)</f>
        <v>0</v>
      </c>
      <c r="BF44" s="229">
        <f>IFERROR(((Data!BF44-Data!BF43)/Data!BF43),0)</f>
        <v>3.8746100712587918E-2</v>
      </c>
      <c r="BG44" s="229">
        <f>IFERROR(((Data!BG44-Data!BG43)/Data!BG43),0)</f>
        <v>9.593657715043695E-2</v>
      </c>
      <c r="BH44" s="229">
        <f>IFERROR(((Data!BH44-Data!BH43)/Data!BH43),0)</f>
        <v>0.10678079367367065</v>
      </c>
      <c r="BI44" s="229">
        <f>IFERROR(((Data!BI44-Data!BI43)/Data!BI43),0)</f>
        <v>0.10040184043671534</v>
      </c>
      <c r="BJ44" s="229">
        <f>IFERROR(((Data!BJ44-Data!BJ43)/Data!BJ43),0)</f>
        <v>0.1265905036268844</v>
      </c>
    </row>
    <row r="45" spans="2:62">
      <c r="B45" s="214">
        <v>44562</v>
      </c>
      <c r="C45" s="230">
        <f>IFERROR(((Data!C45-Data!C44)/Data!C44),0)</f>
        <v>5.8113740008166048E-2</v>
      </c>
      <c r="D45" s="230">
        <f>IFERROR(((Data!D45-Data!D44)/Data!D44),0)</f>
        <v>7.3279447363556433E-2</v>
      </c>
      <c r="E45" s="231">
        <f>IFERROR(((Data!E45-Data!E44)/Data!E44),0)</f>
        <v>0.15765933143670066</v>
      </c>
      <c r="F45" s="231">
        <f>IFERROR(((Data!F45-Data!F44)/Data!F44),0)</f>
        <v>3.3500302276424934E-2</v>
      </c>
      <c r="G45" s="231">
        <f>IFERROR(((Data!G45-Data!G44)/Data!G44),0)</f>
        <v>-3.5013292086312764E-2</v>
      </c>
      <c r="H45" s="232">
        <f>IFERROR(((Data!H45-Data!H44)/Data!H44),0)</f>
        <v>3.4046020372118201E-2</v>
      </c>
      <c r="I45" s="232">
        <f>IFERROR(((Data!I45-Data!I44)/Data!I44),0)</f>
        <v>4.2583978809301714E-3</v>
      </c>
      <c r="J45" s="232">
        <f>IFERROR(((Data!J45-Data!J44)/Data!J44),0)</f>
        <v>0.13926756728018377</v>
      </c>
      <c r="K45" s="232">
        <f>IFERROR(((Data!K45-Data!K44)/Data!K44),0)</f>
        <v>-3.3091997232347341E-2</v>
      </c>
      <c r="L45" s="232">
        <f>IFERROR(((Data!L45-Data!L44)/Data!L44),0)</f>
        <v>6.758260525285302E-2</v>
      </c>
      <c r="M45" s="233">
        <f>IFERROR(((Data!M45-Data!M44)/Data!M44),0)</f>
        <v>-1.3243525211445357E-2</v>
      </c>
      <c r="N45" s="233">
        <f>IFERROR(((Data!N45-Data!N44)/Data!N44),0)</f>
        <v>-0.12313025802573946</v>
      </c>
      <c r="O45" s="233">
        <f>IFERROR(((Data!O45-Data!O44)/Data!O44),0)</f>
        <v>-0.13603865458118294</v>
      </c>
      <c r="P45" s="233">
        <f>IFERROR(((Data!P45-Data!P44)/Data!P44),0)</f>
        <v>8.8393324298683129E-2</v>
      </c>
      <c r="Q45" s="233">
        <f>IFERROR(((Data!Q45-Data!Q44)/Data!Q44),0)</f>
        <v>7.0552722221626812E-2</v>
      </c>
      <c r="R45" s="234">
        <f>IFERROR(((Data!R45-Data!R44)/Data!R44),0)</f>
        <v>7.0150576496749726E-3</v>
      </c>
      <c r="S45" s="234">
        <f>IFERROR(((Data!S45-Data!S44)/Data!S44),0)</f>
        <v>4.912648343555491E-2</v>
      </c>
      <c r="T45" s="234">
        <f>IFERROR(((Data!T45-Data!T44)/Data!T44),0)</f>
        <v>1.1524452925206748E-3</v>
      </c>
      <c r="U45" s="234">
        <f>IFERROR(((Data!U45-Data!U44)/Data!U44),0)</f>
        <v>6.6098058022628831E-2</v>
      </c>
      <c r="V45" s="235">
        <f>IFERROR(((Data!V45-Data!V44)/Data!V44),0)</f>
        <v>0</v>
      </c>
      <c r="W45" s="236">
        <f>IFERROR(((Data!W45-Data!W44)/Data!W44),0)</f>
        <v>0.41165192708137566</v>
      </c>
      <c r="X45" s="236">
        <f>IFERROR(((Data!X45-Data!X44)/Data!X44),0)</f>
        <v>0.11360038594104656</v>
      </c>
      <c r="Y45" s="236">
        <f>IFERROR(((Data!Y45-Data!Y44)/Data!Y44),0)</f>
        <v>-3.0694680572323857E-2</v>
      </c>
      <c r="Z45" s="236">
        <f>IFERROR(((Data!Z45-Data!Z44)/Data!Z44),0)</f>
        <v>5.996355195307139E-2</v>
      </c>
      <c r="AA45" s="236">
        <f>IFERROR(((Data!AA45-Data!AA44)/Data!AA44),0)</f>
        <v>8.8235294117647134E-2</v>
      </c>
      <c r="AB45" s="237">
        <f>IFERROR(((Data!AB45-Data!AB44)/Data!AB44),0)</f>
        <v>-0.10080059611749291</v>
      </c>
      <c r="AC45" s="237">
        <f>IFERROR(((Data!AC45-Data!AC44)/Data!AC44),0)</f>
        <v>-3.2715341094195709E-2</v>
      </c>
      <c r="AD45" s="237">
        <f>IFERROR(((Data!AD45-Data!AD44)/Data!AD44),0)</f>
        <v>-4.9354186287220117E-2</v>
      </c>
      <c r="AE45" s="237">
        <f>IFERROR(((Data!AE45-Data!AE44)/Data!AE44),0)</f>
        <v>-3.1479852104517119E-3</v>
      </c>
      <c r="AF45" s="237">
        <f>IFERROR(((Data!AF45-Data!AF44)/Data!AF44),0)</f>
        <v>-2.737490028483628E-2</v>
      </c>
      <c r="AG45" s="238">
        <f>IFERROR(((Data!AG45-Data!AG44)/Data!AG44),0)</f>
        <v>-5.6178700817267348E-4</v>
      </c>
      <c r="AH45" s="238">
        <f>IFERROR(((Data!AH45-Data!AH44)/Data!AH44),0)</f>
        <v>-8.0280723321309685E-2</v>
      </c>
      <c r="AI45" s="238">
        <f>IFERROR(((Data!AI45-Data!AI44)/Data!AI44),0)</f>
        <v>0.29641279813091215</v>
      </c>
      <c r="AJ45" s="238">
        <f>IFERROR(((Data!AJ45-Data!AJ44)/Data!AJ44),0)</f>
        <v>-0.11237082234584621</v>
      </c>
      <c r="AK45" s="238">
        <f>IFERROR(((Data!AK45-Data!AK44)/Data!AK44),0)</f>
        <v>-0.11281271009483125</v>
      </c>
      <c r="AL45" s="239">
        <f>IFERROR(((Data!AL45-Data!AL44)/Data!AL44),0)</f>
        <v>-9.7412679716903719E-2</v>
      </c>
      <c r="AM45" s="239">
        <f>IFERROR(((Data!AM45-Data!AM44)/Data!AM44),0)</f>
        <v>-4.5991095000110383E-3</v>
      </c>
      <c r="AN45" s="239">
        <f>IFERROR(((Data!AN45-Data!AN44)/Data!AN44),0)</f>
        <v>0</v>
      </c>
      <c r="AO45" s="239">
        <f>IFERROR(((Data!AO45-Data!AO44)/Data!AO44),0)</f>
        <v>-7.6614802901551829E-2</v>
      </c>
      <c r="AP45" s="239">
        <f>IFERROR(((Data!AP45-Data!AP44)/Data!AP44),0)</f>
        <v>-9.3421749920013786E-2</v>
      </c>
      <c r="AQ45" s="240">
        <f>IFERROR(((Data!AQ45-Data!AQ44)/Data!AQ44),0)</f>
        <v>0.19280769639193274</v>
      </c>
      <c r="AR45" s="240">
        <f>IFERROR(((Data!AR45-Data!AR44)/Data!AR44),0)</f>
        <v>0.12891565537384811</v>
      </c>
      <c r="AS45" s="240">
        <f>IFERROR(((Data!AS45-Data!AS44)/Data!AS44),0)</f>
        <v>0.19810002041566227</v>
      </c>
      <c r="AT45" s="240">
        <f>IFERROR(((Data!AT45-Data!AT44)/Data!AT44),0)</f>
        <v>0.13225123360035876</v>
      </c>
      <c r="AU45" s="241">
        <f>IFERROR(((Data!AU45-Data!AU44)/Data!AU44),0)</f>
        <v>0.11158800908103043</v>
      </c>
      <c r="AV45" s="227">
        <f>IFERROR(((Data!AV45-Data!AV44)/Data!AV44),0)</f>
        <v>-3.660785433490342E-2</v>
      </c>
      <c r="AW45" s="227">
        <f>IFERROR(((Data!AW45-Data!AW44)/Data!AW44),0)</f>
        <v>-6.0091624627708402E-2</v>
      </c>
      <c r="AX45" s="227">
        <f>IFERROR(((Data!AX45-Data!AX44)/Data!AX44),0)</f>
        <v>1.8631108558250759E-2</v>
      </c>
      <c r="AY45" s="227">
        <f>IFERROR(((Data!AY45-Data!AY44)/Data!AY44),0)</f>
        <v>-4.0848403261905163E-2</v>
      </c>
      <c r="AZ45" s="227">
        <f>IFERROR(((Data!AZ45-Data!AZ44)/Data!AZ44),0)</f>
        <v>-7.8535302277278965E-2</v>
      </c>
      <c r="BA45" s="228">
        <f>IFERROR(((Data!BA45-Data!BA44)/Data!BA44),0)</f>
        <v>-1.1907442171387435E-3</v>
      </c>
      <c r="BB45" s="228">
        <f>IFERROR(((Data!BB45-Data!BB44)/Data!BB44),0)</f>
        <v>1.5164433810771722E-2</v>
      </c>
      <c r="BC45" s="228">
        <f>IFERROR(((Data!BC45-Data!BC44)/Data!BC44),0)</f>
        <v>0</v>
      </c>
      <c r="BD45" s="228">
        <f>IFERROR(((Data!BD45-Data!BD44)/Data!BD44),0)</f>
        <v>0</v>
      </c>
      <c r="BE45" s="228">
        <f>IFERROR(((Data!BE45-Data!BE44)/Data!BE44),0)</f>
        <v>0</v>
      </c>
      <c r="BF45" s="229">
        <f>IFERROR(((Data!BF45-Data!BF44)/Data!BF44),0)</f>
        <v>1.0750022391386794E-2</v>
      </c>
      <c r="BG45" s="229">
        <f>IFERROR(((Data!BG45-Data!BG44)/Data!BG44),0)</f>
        <v>3.9352317877875048E-2</v>
      </c>
      <c r="BH45" s="229">
        <f>IFERROR(((Data!BH45-Data!BH44)/Data!BH44),0)</f>
        <v>3.9535225560229245E-2</v>
      </c>
      <c r="BI45" s="229">
        <f>IFERROR(((Data!BI45-Data!BI44)/Data!BI44),0)</f>
        <v>-5.4379728385575213E-2</v>
      </c>
      <c r="BJ45" s="229">
        <f>IFERROR(((Data!BJ45-Data!BJ44)/Data!BJ44),0)</f>
        <v>0.64553912760822263</v>
      </c>
    </row>
    <row r="46" spans="2:62">
      <c r="B46" s="214">
        <v>44593</v>
      </c>
      <c r="C46" s="230">
        <f>IFERROR(((Data!C46-Data!C45)/Data!C45),0)</f>
        <v>-0.1071912055248518</v>
      </c>
      <c r="D46" s="230">
        <f>IFERROR(((Data!D46-Data!D45)/Data!D45),0)</f>
        <v>-0.12303239052397806</v>
      </c>
      <c r="E46" s="231">
        <f>IFERROR(((Data!E46-Data!E45)/Data!E45),0)</f>
        <v>-3.2934680505359699E-2</v>
      </c>
      <c r="F46" s="231">
        <f>IFERROR(((Data!F46-Data!F45)/Data!F45),0)</f>
        <v>-5.8871048132196201E-2</v>
      </c>
      <c r="G46" s="231">
        <f>IFERROR(((Data!G46-Data!G45)/Data!G45),0)</f>
        <v>-0.14965000997772634</v>
      </c>
      <c r="H46" s="232">
        <f>IFERROR(((Data!H46-Data!H45)/Data!H45),0)</f>
        <v>-7.8073160515992083E-3</v>
      </c>
      <c r="I46" s="232">
        <f>IFERROR(((Data!I46-Data!I45)/Data!I45),0)</f>
        <v>-4.0014749721834532E-2</v>
      </c>
      <c r="J46" s="232">
        <f>IFERROR(((Data!J46-Data!J45)/Data!J45),0)</f>
        <v>-3.9648071974273634E-2</v>
      </c>
      <c r="K46" s="232">
        <f>IFERROR(((Data!K46-Data!K45)/Data!K45),0)</f>
        <v>-9.9465283422459902E-2</v>
      </c>
      <c r="L46" s="232">
        <f>IFERROR(((Data!L46-Data!L45)/Data!L45),0)</f>
        <v>-0.12939123284955661</v>
      </c>
      <c r="M46" s="233">
        <f>IFERROR(((Data!M46-Data!M45)/Data!M45),0)</f>
        <v>1.1264229715261285E-2</v>
      </c>
      <c r="N46" s="233">
        <f>IFERROR(((Data!N46-Data!N45)/Data!N45),0)</f>
        <v>-5.5638241747937994E-2</v>
      </c>
      <c r="O46" s="233">
        <f>IFERROR(((Data!O46-Data!O45)/Data!O45),0)</f>
        <v>-1.4500681847328428E-2</v>
      </c>
      <c r="P46" s="233">
        <f>IFERROR(((Data!P46-Data!P45)/Data!P45),0)</f>
        <v>-4.5450322558425779E-2</v>
      </c>
      <c r="Q46" s="233">
        <f>IFERROR(((Data!Q46-Data!Q45)/Data!Q45),0)</f>
        <v>-5.0694657713032533E-2</v>
      </c>
      <c r="R46" s="234">
        <f>IFERROR(((Data!R46-Data!R45)/Data!R45),0)</f>
        <v>-4.8423370253978554E-2</v>
      </c>
      <c r="S46" s="234">
        <f>IFERROR(((Data!S46-Data!S45)/Data!S45),0)</f>
        <v>-0.12877179686240151</v>
      </c>
      <c r="T46" s="234">
        <f>IFERROR(((Data!T46-Data!T45)/Data!T45),0)</f>
        <v>-0.10271166629141305</v>
      </c>
      <c r="U46" s="234">
        <f>IFERROR(((Data!U46-Data!U45)/Data!U45),0)</f>
        <v>-0.16933334961103172</v>
      </c>
      <c r="V46" s="235">
        <f>IFERROR(((Data!V46-Data!V45)/Data!V45),0)</f>
        <v>0</v>
      </c>
      <c r="W46" s="236">
        <f>IFERROR(((Data!W46-Data!W45)/Data!W45),0)</f>
        <v>-1.8345422925308247E-2</v>
      </c>
      <c r="X46" s="236">
        <f>IFERROR(((Data!X46-Data!X45)/Data!X45),0)</f>
        <v>-9.3476956875950562E-2</v>
      </c>
      <c r="Y46" s="236">
        <f>IFERROR(((Data!Y46-Data!Y45)/Data!Y45),0)</f>
        <v>-8.6666760626954234E-2</v>
      </c>
      <c r="Z46" s="236">
        <f>IFERROR(((Data!Z46-Data!Z45)/Data!Z45),0)</f>
        <v>-0.16000002535002283</v>
      </c>
      <c r="AA46" s="236">
        <f>IFERROR(((Data!AA46-Data!AA45)/Data!AA45),0)</f>
        <v>-0.11824324324324324</v>
      </c>
      <c r="AB46" s="237">
        <f>IFERROR(((Data!AB46-Data!AB45)/Data!AB45),0)</f>
        <v>6.0822016560348763E-3</v>
      </c>
      <c r="AC46" s="237">
        <f>IFERROR(((Data!AC46-Data!AC45)/Data!AC45),0)</f>
        <v>-0.13939465449012198</v>
      </c>
      <c r="AD46" s="237">
        <f>IFERROR(((Data!AD46-Data!AD45)/Data!AD45),0)</f>
        <v>-8.9864728357974974E-2</v>
      </c>
      <c r="AE46" s="237">
        <f>IFERROR(((Data!AE46-Data!AE45)/Data!AE45),0)</f>
        <v>-5.7368389473684174E-2</v>
      </c>
      <c r="AF46" s="237">
        <f>IFERROR(((Data!AF46-Data!AF45)/Data!AF45),0)</f>
        <v>-0.14818374986428418</v>
      </c>
      <c r="AG46" s="238">
        <f>IFERROR(((Data!AG46-Data!AG45)/Data!AG45),0)</f>
        <v>-4.7053749463193704E-2</v>
      </c>
      <c r="AH46" s="238">
        <f>IFERROR(((Data!AH46-Data!AH45)/Data!AH45),0)</f>
        <v>-1.1865055116994655E-2</v>
      </c>
      <c r="AI46" s="238">
        <f>IFERROR(((Data!AI46-Data!AI45)/Data!AI45),0)</f>
        <v>-0.15452166216806279</v>
      </c>
      <c r="AJ46" s="238">
        <f>IFERROR(((Data!AJ46-Data!AJ45)/Data!AJ45),0)</f>
        <v>-0.1503170721206456</v>
      </c>
      <c r="AK46" s="238">
        <f>IFERROR(((Data!AK46-Data!AK45)/Data!AK45),0)</f>
        <v>-0.17773989535752965</v>
      </c>
      <c r="AL46" s="239">
        <f>IFERROR(((Data!AL46-Data!AL45)/Data!AL45),0)</f>
        <v>-0.20825417261429247</v>
      </c>
      <c r="AM46" s="239">
        <f>IFERROR(((Data!AM46-Data!AM45)/Data!AM45),0)</f>
        <v>-0.10094419336032068</v>
      </c>
      <c r="AN46" s="239">
        <f>IFERROR(((Data!AN46-Data!AN45)/Data!AN45),0)</f>
        <v>0</v>
      </c>
      <c r="AO46" s="239">
        <f>IFERROR(((Data!AO46-Data!AO45)/Data!AO45),0)</f>
        <v>-4.365592111536646E-2</v>
      </c>
      <c r="AP46" s="239">
        <f>IFERROR(((Data!AP46-Data!AP45)/Data!AP45),0)</f>
        <v>-6.1585402439024439E-2</v>
      </c>
      <c r="AQ46" s="240">
        <f>IFERROR(((Data!AQ46-Data!AQ45)/Data!AQ45),0)</f>
        <v>-7.4907279280704162E-2</v>
      </c>
      <c r="AR46" s="240">
        <f>IFERROR(((Data!AR46-Data!AR45)/Data!AR45),0)</f>
        <v>-7.6485203312266409E-2</v>
      </c>
      <c r="AS46" s="240">
        <f>IFERROR(((Data!AS46-Data!AS45)/Data!AS45),0)</f>
        <v>1.4310625301595509E-2</v>
      </c>
      <c r="AT46" s="240">
        <f>IFERROR(((Data!AT46-Data!AT45)/Data!AT45),0)</f>
        <v>-1.2220944770857851E-2</v>
      </c>
      <c r="AU46" s="241">
        <f>IFERROR(((Data!AU46-Data!AU45)/Data!AU45),0)</f>
        <v>-3.0887992874285564E-2</v>
      </c>
      <c r="AV46" s="227">
        <f>IFERROR(((Data!AV46-Data!AV45)/Data!AV45),0)</f>
        <v>-4.4705628563321158E-2</v>
      </c>
      <c r="AW46" s="227">
        <f>IFERROR(((Data!AW46-Data!AW45)/Data!AW45),0)</f>
        <v>-4.7641857360089218E-2</v>
      </c>
      <c r="AX46" s="227">
        <f>IFERROR(((Data!AX46-Data!AX45)/Data!AX45),0)</f>
        <v>4.492445962801575E-2</v>
      </c>
      <c r="AY46" s="227">
        <f>IFERROR(((Data!AY46-Data!AY45)/Data!AY45),0)</f>
        <v>-0.15451809050360246</v>
      </c>
      <c r="AZ46" s="227">
        <f>IFERROR(((Data!AZ46-Data!AZ45)/Data!AZ45),0)</f>
        <v>-0.11071520281315166</v>
      </c>
      <c r="BA46" s="228">
        <f>IFERROR(((Data!BA46-Data!BA45)/Data!BA45),0)</f>
        <v>3.5765210479306677E-3</v>
      </c>
      <c r="BB46" s="228">
        <f>IFERROR(((Data!BB46-Data!BB45)/Data!BB45),0)</f>
        <v>-4.3435654894990253E-2</v>
      </c>
      <c r="BC46" s="228">
        <f>IFERROR(((Data!BC46-Data!BC45)/Data!BC45),0)</f>
        <v>-0.14997231708451886</v>
      </c>
      <c r="BD46" s="228">
        <f>IFERROR(((Data!BD46-Data!BD45)/Data!BD45),0)</f>
        <v>0</v>
      </c>
      <c r="BE46" s="228">
        <f>IFERROR(((Data!BE46-Data!BE45)/Data!BE45),0)</f>
        <v>0</v>
      </c>
      <c r="BF46" s="229">
        <f>IFERROR(((Data!BF46-Data!BF45)/Data!BF45),0)</f>
        <v>-3.4725865273918306E-2</v>
      </c>
      <c r="BG46" s="229">
        <f>IFERROR(((Data!BG46-Data!BG45)/Data!BG45),0)</f>
        <v>-0.14301355839533414</v>
      </c>
      <c r="BH46" s="229">
        <f>IFERROR(((Data!BH46-Data!BH45)/Data!BH45),0)</f>
        <v>-0.14551971657293586</v>
      </c>
      <c r="BI46" s="229">
        <f>IFERROR(((Data!BI46-Data!BI45)/Data!BI45),0)</f>
        <v>-9.7259738463627676E-2</v>
      </c>
      <c r="BJ46" s="229">
        <f>IFERROR(((Data!BJ46-Data!BJ45)/Data!BJ45),0)</f>
        <v>-8.346905105567172E-2</v>
      </c>
    </row>
    <row r="47" spans="2:62">
      <c r="B47" s="214">
        <v>44621</v>
      </c>
      <c r="C47" s="230">
        <f>IFERROR(((Data!C47-Data!C46)/Data!C46),0)</f>
        <v>1.9852048835521784E-2</v>
      </c>
      <c r="D47" s="230">
        <f>IFERROR(((Data!D47-Data!D46)/Data!D46),0)</f>
        <v>-4.4708690001104834E-2</v>
      </c>
      <c r="E47" s="231">
        <f>IFERROR(((Data!E47-Data!E46)/Data!E46),0)</f>
        <v>-9.0550522332461511E-2</v>
      </c>
      <c r="F47" s="231">
        <f>IFERROR(((Data!F47-Data!F46)/Data!F46),0)</f>
        <v>-0.18680253377181494</v>
      </c>
      <c r="G47" s="231">
        <f>IFERROR(((Data!G47-Data!G46)/Data!G46),0)</f>
        <v>-7.5012266508136648E-3</v>
      </c>
      <c r="H47" s="232">
        <f>IFERROR(((Data!H47-Data!H46)/Data!H46),0)</f>
        <v>-4.824312749449252E-2</v>
      </c>
      <c r="I47" s="232">
        <f>IFERROR(((Data!I47-Data!I46)/Data!I46),0)</f>
        <v>3.092023670111033E-2</v>
      </c>
      <c r="J47" s="232">
        <f>IFERROR(((Data!J47-Data!J46)/Data!J46),0)</f>
        <v>2.5255977859876856E-2</v>
      </c>
      <c r="K47" s="232">
        <f>IFERROR(((Data!K47-Data!K46)/Data!K46),0)</f>
        <v>-5.7007057340002699E-2</v>
      </c>
      <c r="L47" s="232">
        <f>IFERROR(((Data!L47-Data!L46)/Data!L46),0)</f>
        <v>2.9963964680197148E-2</v>
      </c>
      <c r="M47" s="233">
        <f>IFERROR(((Data!M47-Data!M46)/Data!M46),0)</f>
        <v>9.2508881118776171E-2</v>
      </c>
      <c r="N47" s="233">
        <f>IFERROR(((Data!N47-Data!N46)/Data!N46),0)</f>
        <v>5.710746021947162E-2</v>
      </c>
      <c r="O47" s="233">
        <f>IFERROR(((Data!O47-Data!O46)/Data!O46),0)</f>
        <v>7.1634858824979511E-2</v>
      </c>
      <c r="P47" s="233">
        <f>IFERROR(((Data!P47-Data!P46)/Data!P46),0)</f>
        <v>0.21172756958199249</v>
      </c>
      <c r="Q47" s="233">
        <f>IFERROR(((Data!Q47-Data!Q46)/Data!Q46),0)</f>
        <v>2.8085340112260746E-2</v>
      </c>
      <c r="R47" s="234">
        <f>IFERROR(((Data!R47-Data!R46)/Data!R46),0)</f>
        <v>-2.7026273824480765E-2</v>
      </c>
      <c r="S47" s="234">
        <f>IFERROR(((Data!S47-Data!S46)/Data!S46),0)</f>
        <v>-1.1530359201774375E-3</v>
      </c>
      <c r="T47" s="234">
        <f>IFERROR(((Data!T47-Data!T46)/Data!T46),0)</f>
        <v>8.4675715906447943E-2</v>
      </c>
      <c r="U47" s="234">
        <f>IFERROR(((Data!U47-Data!U46)/Data!U46),0)</f>
        <v>-6.0192571210159918E-2</v>
      </c>
      <c r="V47" s="235">
        <f>IFERROR(((Data!V47-Data!V46)/Data!V46),0)</f>
        <v>0</v>
      </c>
      <c r="W47" s="236">
        <f>IFERROR(((Data!W47-Data!W46)/Data!W46),0)</f>
        <v>3.8678488701158892E-2</v>
      </c>
      <c r="X47" s="236">
        <f>IFERROR(((Data!X47-Data!X46)/Data!X46),0)</f>
        <v>6.9939459671999826E-2</v>
      </c>
      <c r="Y47" s="236">
        <f>IFERROR(((Data!Y47-Data!Y46)/Data!Y46),0)</f>
        <v>6.08449885430608E-2</v>
      </c>
      <c r="Z47" s="236">
        <f>IFERROR(((Data!Z47-Data!Z46)/Data!Z46),0)</f>
        <v>-6.8027592964118656E-4</v>
      </c>
      <c r="AA47" s="236">
        <f>IFERROR(((Data!AA47-Data!AA46)/Data!AA46),0)</f>
        <v>3.4482758620689599E-2</v>
      </c>
      <c r="AB47" s="237">
        <f>IFERROR(((Data!AB47-Data!AB46)/Data!AB46),0)</f>
        <v>-1.3907816318193478E-2</v>
      </c>
      <c r="AC47" s="237">
        <f>IFERROR(((Data!AC47-Data!AC46)/Data!AC46),0)</f>
        <v>-4.7732719527634637E-2</v>
      </c>
      <c r="AD47" s="237">
        <f>IFERROR(((Data!AD47-Data!AD46)/Data!AD46),0)</f>
        <v>5.2375659331415064E-3</v>
      </c>
      <c r="AE47" s="237">
        <f>IFERROR(((Data!AE47-Data!AE46)/Data!AE46),0)</f>
        <v>5.5829143858315193E-4</v>
      </c>
      <c r="AF47" s="237">
        <f>IFERROR(((Data!AF47-Data!AF46)/Data!AF46),0)</f>
        <v>1.2476178189839296E-2</v>
      </c>
      <c r="AG47" s="238">
        <f>IFERROR(((Data!AG47-Data!AG46)/Data!AG46),0)</f>
        <v>5.2262230649444803E-2</v>
      </c>
      <c r="AH47" s="238">
        <f>IFERROR(((Data!AH47-Data!AH46)/Data!AH46),0)</f>
        <v>0.11147710610741632</v>
      </c>
      <c r="AI47" s="238">
        <f>IFERROR(((Data!AI47-Data!AI46)/Data!AI46),0)</f>
        <v>0.37443357636982416</v>
      </c>
      <c r="AJ47" s="238">
        <f>IFERROR(((Data!AJ47-Data!AJ46)/Data!AJ46),0)</f>
        <v>8.0529809890232965E-2</v>
      </c>
      <c r="AK47" s="238">
        <f>IFERROR(((Data!AK47-Data!AK46)/Data!AK46),0)</f>
        <v>3.1978533362312239E-2</v>
      </c>
      <c r="AL47" s="239">
        <f>IFERROR(((Data!AL47-Data!AL46)/Data!AL46),0)</f>
        <v>0.25779715369403139</v>
      </c>
      <c r="AM47" s="239">
        <f>IFERROR(((Data!AM47-Data!AM46)/Data!AM46),0)</f>
        <v>9.9987819775738562E-2</v>
      </c>
      <c r="AN47" s="239">
        <f>IFERROR(((Data!AN47-Data!AN46)/Data!AN46),0)</f>
        <v>0</v>
      </c>
      <c r="AO47" s="239">
        <f>IFERROR(((Data!AO47-Data!AO46)/Data!AO46),0)</f>
        <v>-8.1420337712357158E-3</v>
      </c>
      <c r="AP47" s="239">
        <f>IFERROR(((Data!AP47-Data!AP46)/Data!AP46),0)</f>
        <v>0.10656277218568319</v>
      </c>
      <c r="AQ47" s="240">
        <f>IFERROR(((Data!AQ47-Data!AQ46)/Data!AQ46),0)</f>
        <v>0.19578847709543531</v>
      </c>
      <c r="AR47" s="240">
        <f>IFERROR(((Data!AR47-Data!AR46)/Data!AR46),0)</f>
        <v>0.19144827566551181</v>
      </c>
      <c r="AS47" s="240">
        <f>IFERROR(((Data!AS47-Data!AS46)/Data!AS46),0)</f>
        <v>0.15290755386081986</v>
      </c>
      <c r="AT47" s="240">
        <f>IFERROR(((Data!AT47-Data!AT46)/Data!AT46),0)</f>
        <v>9.1601239826825789E-2</v>
      </c>
      <c r="AU47" s="241">
        <f>IFERROR(((Data!AU47-Data!AU46)/Data!AU46),0)</f>
        <v>0.2629482218536211</v>
      </c>
      <c r="AV47" s="227">
        <f>IFERROR(((Data!AV47-Data!AV46)/Data!AV46),0)</f>
        <v>-5.6834557797127427E-2</v>
      </c>
      <c r="AW47" s="227">
        <f>IFERROR(((Data!AW47-Data!AW46)/Data!AW46),0)</f>
        <v>-1.4660548280140117E-2</v>
      </c>
      <c r="AX47" s="227">
        <f>IFERROR(((Data!AX47-Data!AX46)/Data!AX46),0)</f>
        <v>-4.4419735897857195E-3</v>
      </c>
      <c r="AY47" s="227">
        <f>IFERROR(((Data!AY47-Data!AY46)/Data!AY46),0)</f>
        <v>-9.1103106030824735E-2</v>
      </c>
      <c r="AZ47" s="227">
        <f>IFERROR(((Data!AZ47-Data!AZ46)/Data!AZ46),0)</f>
        <v>2.9483080560910285E-2</v>
      </c>
      <c r="BA47" s="228">
        <f>IFERROR(((Data!BA47-Data!BA46)/Data!BA46),0)</f>
        <v>9.2514335934944947E-3</v>
      </c>
      <c r="BB47" s="228">
        <f>IFERROR(((Data!BB47-Data!BB46)/Data!BB46),0)</f>
        <v>-3.1113993171968585E-2</v>
      </c>
      <c r="BC47" s="228">
        <f>IFERROR(((Data!BC47-Data!BC46)/Data!BC46),0)</f>
        <v>0.14562808474378275</v>
      </c>
      <c r="BD47" s="228">
        <f>IFERROR(((Data!BD47-Data!BD46)/Data!BD46),0)</f>
        <v>0</v>
      </c>
      <c r="BE47" s="228">
        <f>IFERROR(((Data!BE47-Data!BE46)/Data!BE46),0)</f>
        <v>0</v>
      </c>
      <c r="BF47" s="229">
        <f>IFERROR(((Data!BF47-Data!BF46)/Data!BF46),0)</f>
        <v>0.19076067447658032</v>
      </c>
      <c r="BG47" s="229">
        <f>IFERROR(((Data!BG47-Data!BG46)/Data!BG46),0)</f>
        <v>0.15651053488711217</v>
      </c>
      <c r="BH47" s="229">
        <f>IFERROR(((Data!BH47-Data!BH46)/Data!BH46),0)</f>
        <v>0.1267344730114264</v>
      </c>
      <c r="BI47" s="229">
        <f>IFERROR(((Data!BI47-Data!BI46)/Data!BI46),0)</f>
        <v>1.7742652245380342E-2</v>
      </c>
      <c r="BJ47" s="229">
        <f>IFERROR(((Data!BJ47-Data!BJ46)/Data!BJ46),0)</f>
        <v>0.15710542818569598</v>
      </c>
    </row>
    <row r="48" spans="2:62">
      <c r="B48" s="214">
        <v>44652</v>
      </c>
      <c r="C48" s="230">
        <f>IFERROR(((Data!C48-Data!C47)/Data!C47),0)</f>
        <v>0.14326449057537571</v>
      </c>
      <c r="D48" s="230">
        <f>IFERROR(((Data!D48-Data!D47)/Data!D47),0)</f>
        <v>8.8760920315454402E-3</v>
      </c>
      <c r="E48" s="231">
        <f>IFERROR(((Data!E48-Data!E47)/Data!E47),0)</f>
        <v>2.0697496251327538E-2</v>
      </c>
      <c r="F48" s="231">
        <f>IFERROR(((Data!F48-Data!F47)/Data!F47),0)</f>
        <v>4.8555148020500621E-2</v>
      </c>
      <c r="G48" s="231">
        <f>IFERROR(((Data!G48-Data!G47)/Data!G47),0)</f>
        <v>0.17775819256183084</v>
      </c>
      <c r="H48" s="232">
        <f>IFERROR(((Data!H48-Data!H47)/Data!H47),0)</f>
        <v>2.1039471272999082E-2</v>
      </c>
      <c r="I48" s="232">
        <f>IFERROR(((Data!I48-Data!I47)/Data!I47),0)</f>
        <v>-5.8319413086832743E-2</v>
      </c>
      <c r="J48" s="232">
        <f>IFERROR(((Data!J48-Data!J47)/Data!J47),0)</f>
        <v>-4.2764360643089278E-2</v>
      </c>
      <c r="K48" s="232">
        <f>IFERROR(((Data!K48-Data!K47)/Data!K47),0)</f>
        <v>-5.0378084373348076E-3</v>
      </c>
      <c r="L48" s="232">
        <f>IFERROR(((Data!L48-Data!L47)/Data!L47),0)</f>
        <v>6.3615335901407805E-2</v>
      </c>
      <c r="M48" s="233">
        <f>IFERROR(((Data!M48-Data!M47)/Data!M47),0)</f>
        <v>1.5195429659500296E-2</v>
      </c>
      <c r="N48" s="233">
        <f>IFERROR(((Data!N48-Data!N47)/Data!N47),0)</f>
        <v>-3.8063511173761264E-2</v>
      </c>
      <c r="O48" s="233">
        <f>IFERROR(((Data!O48-Data!O47)/Data!O47),0)</f>
        <v>-5.9083147969156757E-2</v>
      </c>
      <c r="P48" s="233">
        <f>IFERROR(((Data!P48-Data!P47)/Data!P47),0)</f>
        <v>-2.4092475246677979E-2</v>
      </c>
      <c r="Q48" s="233">
        <f>IFERROR(((Data!Q48-Data!Q47)/Data!Q47),0)</f>
        <v>4.0784910584992007E-2</v>
      </c>
      <c r="R48" s="234">
        <f>IFERROR(((Data!R48-Data!R47)/Data!R47),0)</f>
        <v>-4.1467455655451409E-2</v>
      </c>
      <c r="S48" s="234">
        <f>IFERROR(((Data!S48-Data!S47)/Data!S47),0)</f>
        <v>-0.10397796216563857</v>
      </c>
      <c r="T48" s="234">
        <f>IFERROR(((Data!T48-Data!T47)/Data!T47),0)</f>
        <v>-2.2604802865309959E-2</v>
      </c>
      <c r="U48" s="234">
        <f>IFERROR(((Data!U48-Data!U47)/Data!U47),0)</f>
        <v>0.17079426210161028</v>
      </c>
      <c r="V48" s="235">
        <f>IFERROR(((Data!V48-Data!V47)/Data!V47),0)</f>
        <v>0</v>
      </c>
      <c r="W48" s="236">
        <f>IFERROR(((Data!W48-Data!W47)/Data!W47),0)</f>
        <v>0.50561452069520618</v>
      </c>
      <c r="X48" s="236">
        <f>IFERROR(((Data!X48-Data!X47)/Data!X47),0)</f>
        <v>1.5503927655079007E-2</v>
      </c>
      <c r="Y48" s="236">
        <f>IFERROR(((Data!Y48-Data!Y47)/Data!Y47),0)</f>
        <v>0.19424468069752118</v>
      </c>
      <c r="Z48" s="236">
        <f>IFERROR(((Data!Z48-Data!Z47)/Data!Z47),0)</f>
        <v>0.27978222726734309</v>
      </c>
      <c r="AA48" s="236">
        <f>IFERROR(((Data!AA48-Data!AA47)/Data!AA47),0)</f>
        <v>5.5555555555555552E-2</v>
      </c>
      <c r="AB48" s="237">
        <f>IFERROR(((Data!AB48-Data!AB47)/Data!AB47),0)</f>
        <v>7.8597402975663838E-2</v>
      </c>
      <c r="AC48" s="237">
        <f>IFERROR(((Data!AC48-Data!AC47)/Data!AC47),0)</f>
        <v>0.27023494086208749</v>
      </c>
      <c r="AD48" s="237">
        <f>IFERROR(((Data!AD48-Data!AD47)/Data!AD47),0)</f>
        <v>4.2333780383349943E-3</v>
      </c>
      <c r="AE48" s="237">
        <f>IFERROR(((Data!AE48-Data!AE47)/Data!AE47),0)</f>
        <v>2.2879509439274779E-2</v>
      </c>
      <c r="AF48" s="237">
        <f>IFERROR(((Data!AF48-Data!AF47)/Data!AF47),0)</f>
        <v>5.8227886250591658E-2</v>
      </c>
      <c r="AG48" s="238">
        <f>IFERROR(((Data!AG48-Data!AG47)/Data!AG47),0)</f>
        <v>-5.1671945931215262E-2</v>
      </c>
      <c r="AH48" s="238">
        <f>IFERROR(((Data!AH48-Data!AH47)/Data!AH47),0)</f>
        <v>-0.1779373898794159</v>
      </c>
      <c r="AI48" s="238">
        <f>IFERROR(((Data!AI48-Data!AI47)/Data!AI47),0)</f>
        <v>-0.123770573935719</v>
      </c>
      <c r="AJ48" s="238">
        <f>IFERROR(((Data!AJ48-Data!AJ47)/Data!AJ47),0)</f>
        <v>-5.3707575513667845E-2</v>
      </c>
      <c r="AK48" s="238">
        <f>IFERROR(((Data!AK48-Data!AK47)/Data!AK47),0)</f>
        <v>4.6008307510348942E-2</v>
      </c>
      <c r="AL48" s="239">
        <f>IFERROR(((Data!AL48-Data!AL47)/Data!AL47),0)</f>
        <v>-0.13941391167349837</v>
      </c>
      <c r="AM48" s="239">
        <f>IFERROR(((Data!AM48-Data!AM47)/Data!AM47),0)</f>
        <v>-4.2359506829950898E-3</v>
      </c>
      <c r="AN48" s="239">
        <f>IFERROR(((Data!AN48-Data!AN47)/Data!AN47),0)</f>
        <v>0</v>
      </c>
      <c r="AO48" s="239">
        <f>IFERROR(((Data!AO48-Data!AO47)/Data!AO47),0)</f>
        <v>8.5452858612972568E-2</v>
      </c>
      <c r="AP48" s="239">
        <f>IFERROR(((Data!AP48-Data!AP47)/Data!AP47),0)</f>
        <v>1.2331121260572555E-2</v>
      </c>
      <c r="AQ48" s="240">
        <f>IFERROR(((Data!AQ48-Data!AQ47)/Data!AQ47),0)</f>
        <v>7.5471585674150757E-2</v>
      </c>
      <c r="AR48" s="240">
        <f>IFERROR(((Data!AR48-Data!AR47)/Data!AR47),0)</f>
        <v>3.7180750813583012E-2</v>
      </c>
      <c r="AS48" s="240">
        <f>IFERROR(((Data!AS48-Data!AS47)/Data!AS47),0)</f>
        <v>-1.1906750218486873E-2</v>
      </c>
      <c r="AT48" s="240">
        <f>IFERROR(((Data!AT48-Data!AT47)/Data!AT47),0)</f>
        <v>0.11290326799223897</v>
      </c>
      <c r="AU48" s="241">
        <f>IFERROR(((Data!AU48-Data!AU47)/Data!AU47),0)</f>
        <v>4.7318610494681057E-2</v>
      </c>
      <c r="AV48" s="227">
        <f>IFERROR(((Data!AV48-Data!AV47)/Data!AV47),0)</f>
        <v>9.0889248354726185E-2</v>
      </c>
      <c r="AW48" s="227">
        <f>IFERROR(((Data!AW48-Data!AW47)/Data!AW47),0)</f>
        <v>5.4644409265903471E-2</v>
      </c>
      <c r="AX48" s="227">
        <f>IFERROR(((Data!AX48-Data!AX47)/Data!AX47),0)</f>
        <v>0.15112068316163674</v>
      </c>
      <c r="AY48" s="227">
        <f>IFERROR(((Data!AY48-Data!AY47)/Data!AY47),0)</f>
        <v>8.4537266381364815E-2</v>
      </c>
      <c r="AZ48" s="227">
        <f>IFERROR(((Data!AZ48-Data!AZ47)/Data!AZ47),0)</f>
        <v>2.6331897238450586E-2</v>
      </c>
      <c r="BA48" s="228">
        <f>IFERROR(((Data!BA48-Data!BA47)/Data!BA47),0)</f>
        <v>0.13988553516403485</v>
      </c>
      <c r="BB48" s="228">
        <f>IFERROR(((Data!BB48-Data!BB47)/Data!BB47),0)</f>
        <v>1.109833231173306E-2</v>
      </c>
      <c r="BC48" s="228">
        <f>IFERROR(((Data!BC48-Data!BC47)/Data!BC47),0)</f>
        <v>0.13515433266245791</v>
      </c>
      <c r="BD48" s="228">
        <f>IFERROR(((Data!BD48-Data!BD47)/Data!BD47),0)</f>
        <v>0</v>
      </c>
      <c r="BE48" s="228">
        <f>IFERROR(((Data!BE48-Data!BE47)/Data!BE47),0)</f>
        <v>0</v>
      </c>
      <c r="BF48" s="229">
        <f>IFERROR(((Data!BF48-Data!BF47)/Data!BF47),0)</f>
        <v>-4.2474869555456818E-2</v>
      </c>
      <c r="BG48" s="229">
        <f>IFERROR(((Data!BG48-Data!BG47)/Data!BG47),0)</f>
        <v>6.9256811636779117E-2</v>
      </c>
      <c r="BH48" s="229">
        <f>IFERROR(((Data!BH48-Data!BH47)/Data!BH47),0)</f>
        <v>-6.4284106333827432E-2</v>
      </c>
      <c r="BI48" s="229">
        <f>IFERROR(((Data!BI48-Data!BI47)/Data!BI47),0)</f>
        <v>-1.4912797599227812E-2</v>
      </c>
      <c r="BJ48" s="229">
        <f>IFERROR(((Data!BJ48-Data!BJ47)/Data!BJ47),0)</f>
        <v>1.1626082425580426E-2</v>
      </c>
    </row>
    <row r="49" spans="2:62">
      <c r="B49" s="214">
        <v>44682</v>
      </c>
      <c r="C49" s="230">
        <f>IFERROR(((Data!C49-Data!C48)/Data!C48),0)</f>
        <v>0.12173301987078651</v>
      </c>
      <c r="D49" s="230">
        <f>IFERROR(((Data!D49-Data!D48)/Data!D48),0)</f>
        <v>1.3596833710859516E-2</v>
      </c>
      <c r="E49" s="231">
        <f>IFERROR(((Data!E49-Data!E48)/Data!E48),0)</f>
        <v>3.2204815520068347E-2</v>
      </c>
      <c r="F49" s="231">
        <f>IFERROR(((Data!F49-Data!F48)/Data!F48),0)</f>
        <v>-3.1458091428208184E-3</v>
      </c>
      <c r="G49" s="231">
        <f>IFERROR(((Data!G49-Data!G48)/Data!G48),0)</f>
        <v>-0.1152179119247259</v>
      </c>
      <c r="H49" s="232">
        <f>IFERROR(((Data!H49-Data!H48)/Data!H48),0)</f>
        <v>3.1327667985183327E-2</v>
      </c>
      <c r="I49" s="232">
        <f>IFERROR(((Data!I49-Data!I48)/Data!I48),0)</f>
        <v>3.1415891800334211E-3</v>
      </c>
      <c r="J49" s="232">
        <f>IFERROR(((Data!J49-Data!J48)/Data!J48),0)</f>
        <v>-5.9566188975436155E-2</v>
      </c>
      <c r="K49" s="232">
        <f>IFERROR(((Data!K49-Data!K48)/Data!K48),0)</f>
        <v>-8.1012683544303812E-2</v>
      </c>
      <c r="L49" s="232">
        <f>IFERROR(((Data!L49-Data!L48)/Data!L48),0)</f>
        <v>2.1881809336730243E-2</v>
      </c>
      <c r="M49" s="233">
        <f>IFERROR(((Data!M49-Data!M48)/Data!M48),0)</f>
        <v>-7.3278434046544216E-2</v>
      </c>
      <c r="N49" s="233">
        <f>IFERROR(((Data!N49-Data!N48)/Data!N48),0)</f>
        <v>5.7527210509433456E-2</v>
      </c>
      <c r="O49" s="233">
        <f>IFERROR(((Data!O49-Data!O48)/Data!O48),0)</f>
        <v>-0.15618791016101322</v>
      </c>
      <c r="P49" s="233">
        <f>IFERROR(((Data!P49-Data!P48)/Data!P48),0)</f>
        <v>-0.17165108526893744</v>
      </c>
      <c r="Q49" s="233">
        <f>IFERROR(((Data!Q49-Data!Q48)/Data!Q48),0)</f>
        <v>-4.5471207350510669E-2</v>
      </c>
      <c r="R49" s="234">
        <f>IFERROR(((Data!R49-Data!R48)/Data!R48),0)</f>
        <v>-2.3519360266871993E-2</v>
      </c>
      <c r="S49" s="234">
        <f>IFERROR(((Data!S49-Data!S48)/Data!S48),0)</f>
        <v>-4.048159446195445E-2</v>
      </c>
      <c r="T49" s="234">
        <f>IFERROR(((Data!T49-Data!T48)/Data!T48),0)</f>
        <v>-7.0727523769698583E-2</v>
      </c>
      <c r="U49" s="234">
        <f>IFERROR(((Data!U49-Data!U48)/Data!U48),0)</f>
        <v>-5.8351573321986823E-2</v>
      </c>
      <c r="V49" s="235">
        <f>IFERROR(((Data!V49-Data!V48)/Data!V48),0)</f>
        <v>0</v>
      </c>
      <c r="W49" s="236">
        <f>IFERROR(((Data!W49-Data!W48)/Data!W48),0)</f>
        <v>-0.34475165849423084</v>
      </c>
      <c r="X49" s="236">
        <f>IFERROR(((Data!X49-Data!X48)/Data!X48),0)</f>
        <v>-2.9709149083029594E-2</v>
      </c>
      <c r="Y49" s="236">
        <f>IFERROR(((Data!Y49-Data!Y48)/Data!Y48),0)</f>
        <v>1.3554144873396935E-2</v>
      </c>
      <c r="Z49" s="236">
        <f>IFERROR(((Data!Z49-Data!Z48)/Data!Z48),0)</f>
        <v>-9.7872317646617926E-2</v>
      </c>
      <c r="AA49" s="236">
        <f>IFERROR(((Data!AA49-Data!AA48)/Data!AA48),0)</f>
        <v>-0.11578947368421055</v>
      </c>
      <c r="AB49" s="237">
        <f>IFERROR(((Data!AB49-Data!AB48)/Data!AB48),0)</f>
        <v>-0.14679703128917318</v>
      </c>
      <c r="AC49" s="237">
        <f>IFERROR(((Data!AC49-Data!AC48)/Data!AC48),0)</f>
        <v>-7.5228004468762908E-3</v>
      </c>
      <c r="AD49" s="237">
        <f>IFERROR(((Data!AD49-Data!AD48)/Data!AD48),0)</f>
        <v>-8.2598638625230772E-2</v>
      </c>
      <c r="AE49" s="237">
        <f>IFERROR(((Data!AE49-Data!AE48)/Data!AE48),0)</f>
        <v>-3.4369906505839473E-2</v>
      </c>
      <c r="AF49" s="237">
        <f>IFERROR(((Data!AF49-Data!AF48)/Data!AF48),0)</f>
        <v>-0.1305156954483625</v>
      </c>
      <c r="AG49" s="238">
        <f>IFERROR(((Data!AG49-Data!AG48)/Data!AG48),0)</f>
        <v>-5.1413871284907285E-2</v>
      </c>
      <c r="AH49" s="238">
        <f>IFERROR(((Data!AH49-Data!AH48)/Data!AH48),0)</f>
        <v>-4.0796323826874425E-2</v>
      </c>
      <c r="AI49" s="238">
        <f>IFERROR(((Data!AI49-Data!AI48)/Data!AI48),0)</f>
        <v>8.1990673873611447E-2</v>
      </c>
      <c r="AJ49" s="238">
        <f>IFERROR(((Data!AJ49-Data!AJ48)/Data!AJ48),0)</f>
        <v>-9.4809529690368197E-2</v>
      </c>
      <c r="AK49" s="238">
        <f>IFERROR(((Data!AK49-Data!AK48)/Data!AK48),0)</f>
        <v>-9.3735890717253106E-2</v>
      </c>
      <c r="AL49" s="239">
        <f>IFERROR(((Data!AL49-Data!AL48)/Data!AL48),0)</f>
        <v>1.8940167046415133E-2</v>
      </c>
      <c r="AM49" s="239">
        <f>IFERROR(((Data!AM49-Data!AM48)/Data!AM48),0)</f>
        <v>-7.6588231818010125E-2</v>
      </c>
      <c r="AN49" s="239">
        <f>IFERROR(((Data!AN49-Data!AN48)/Data!AN48),0)</f>
        <v>0</v>
      </c>
      <c r="AO49" s="239">
        <f>IFERROR(((Data!AO49-Data!AO48)/Data!AO48),0)</f>
        <v>-0.33101913930729993</v>
      </c>
      <c r="AP49" s="239">
        <f>IFERROR(((Data!AP49-Data!AP48)/Data!AP48),0)</f>
        <v>-0.12412989991171341</v>
      </c>
      <c r="AQ49" s="240">
        <f>IFERROR(((Data!AQ49-Data!AQ48)/Data!AQ48),0)</f>
        <v>-8.3820592013672285E-2</v>
      </c>
      <c r="AR49" s="240">
        <f>IFERROR(((Data!AR49-Data!AR48)/Data!AR48),0)</f>
        <v>-0.15741897593907175</v>
      </c>
      <c r="AS49" s="240">
        <f>IFERROR(((Data!AS49-Data!AS48)/Data!AS48),0)</f>
        <v>-5.6904167364017245E-3</v>
      </c>
      <c r="AT49" s="240">
        <f>IFERROR(((Data!AT49-Data!AT48)/Data!AT48),0)</f>
        <v>-0.13415589344901027</v>
      </c>
      <c r="AU49" s="241">
        <f>IFERROR(((Data!AU49-Data!AU48)/Data!AU48),0)</f>
        <v>-3.3132604423716801E-2</v>
      </c>
      <c r="AV49" s="227">
        <f>IFERROR(((Data!AV49-Data!AV48)/Data!AV48),0)</f>
        <v>5.2978799042097291E-2</v>
      </c>
      <c r="AW49" s="227">
        <f>IFERROR(((Data!AW49-Data!AW48)/Data!AW48),0)</f>
        <v>-2.6607517384098004E-2</v>
      </c>
      <c r="AX49" s="227">
        <f>IFERROR(((Data!AX49-Data!AX48)/Data!AX48),0)</f>
        <v>-2.4964247903043767E-2</v>
      </c>
      <c r="AY49" s="227">
        <f>IFERROR(((Data!AY49-Data!AY48)/Data!AY48),0)</f>
        <v>-6.0680829777689294E-2</v>
      </c>
      <c r="AZ49" s="227">
        <f>IFERROR(((Data!AZ49-Data!AZ48)/Data!AZ48),0)</f>
        <v>-0.18705244149863873</v>
      </c>
      <c r="BA49" s="228">
        <f>IFERROR(((Data!BA49-Data!BA48)/Data!BA48),0)</f>
        <v>-1.5929613152909972E-2</v>
      </c>
      <c r="BB49" s="228">
        <f>IFERROR(((Data!BB49-Data!BB48)/Data!BB48),0)</f>
        <v>-0.19755510041769825</v>
      </c>
      <c r="BC49" s="228">
        <f>IFERROR(((Data!BC49-Data!BC48)/Data!BC48),0)</f>
        <v>-4.1671930753796285E-2</v>
      </c>
      <c r="BD49" s="228">
        <f>IFERROR(((Data!BD49-Data!BD48)/Data!BD48),0)</f>
        <v>0</v>
      </c>
      <c r="BE49" s="228">
        <f>IFERROR(((Data!BE49-Data!BE48)/Data!BE48),0)</f>
        <v>0</v>
      </c>
      <c r="BF49" s="229">
        <f>IFERROR(((Data!BF49-Data!BF48)/Data!BF48),0)</f>
        <v>7.9287410916441661E-2</v>
      </c>
      <c r="BG49" s="229">
        <f>IFERROR(((Data!BG49-Data!BG48)/Data!BG48),0)</f>
        <v>-5.2618802293217727E-2</v>
      </c>
      <c r="BH49" s="229">
        <f>IFERROR(((Data!BH49-Data!BH48)/Data!BH48),0)</f>
        <v>0.16090675881534774</v>
      </c>
      <c r="BI49" s="229">
        <f>IFERROR(((Data!BI49-Data!BI48)/Data!BI48),0)</f>
        <v>-0.14626870924998975</v>
      </c>
      <c r="BJ49" s="229">
        <f>IFERROR(((Data!BJ49-Data!BJ48)/Data!BJ48),0)</f>
        <v>0.15486613129226512</v>
      </c>
    </row>
    <row r="50" spans="2:62">
      <c r="B50" s="214">
        <v>44713</v>
      </c>
      <c r="C50" s="230">
        <f>IFERROR(((Data!C50-Data!C49)/Data!C49),0)</f>
        <v>5.6847471055808875E-2</v>
      </c>
      <c r="D50" s="230">
        <f>IFERROR(((Data!D50-Data!D49)/Data!D49),0)</f>
        <v>-7.1581592565108293E-2</v>
      </c>
      <c r="E50" s="231">
        <f>IFERROR(((Data!E50-Data!E49)/Data!E49),0)</f>
        <v>6.3316332277821324E-2</v>
      </c>
      <c r="F50" s="231">
        <f>IFERROR(((Data!F50-Data!F49)/Data!F49),0)</f>
        <v>-1.2244422300916656E-2</v>
      </c>
      <c r="G50" s="231">
        <f>IFERROR(((Data!G50-Data!G49)/Data!G49),0)</f>
        <v>-3.6641166713253272E-2</v>
      </c>
      <c r="H50" s="232">
        <f>IFERROR(((Data!H50-Data!H49)/Data!H49),0)</f>
        <v>-0.1005766340814406</v>
      </c>
      <c r="I50" s="232">
        <f>IFERROR(((Data!I50-Data!I49)/Data!I49),0)</f>
        <v>-1.8198414124075326E-2</v>
      </c>
      <c r="J50" s="232">
        <f>IFERROR(((Data!J50-Data!J49)/Data!J49),0)</f>
        <v>-7.0636412268811857E-2</v>
      </c>
      <c r="K50" s="232">
        <f>IFERROR(((Data!K50-Data!K49)/Data!K49),0)</f>
        <v>-0.13360876401126071</v>
      </c>
      <c r="L50" s="232">
        <f>IFERROR(((Data!L50-Data!L49)/Data!L49),0)</f>
        <v>-5.0321292225284385E-2</v>
      </c>
      <c r="M50" s="233">
        <f>IFERROR(((Data!M50-Data!M49)/Data!M49),0)</f>
        <v>-3.4859413814922489E-2</v>
      </c>
      <c r="N50" s="233">
        <f>IFERROR(((Data!N50-Data!N49)/Data!N49),0)</f>
        <v>5.5268253095698576E-3</v>
      </c>
      <c r="O50" s="233">
        <f>IFERROR(((Data!O50-Data!O49)/Data!O49),0)</f>
        <v>-3.3345871886743331E-2</v>
      </c>
      <c r="P50" s="233">
        <f>IFERROR(((Data!P50-Data!P49)/Data!P49),0)</f>
        <v>-7.3512003160086131E-2</v>
      </c>
      <c r="Q50" s="233">
        <f>IFERROR(((Data!Q50-Data!Q49)/Data!Q49),0)</f>
        <v>-6.8164268505893244E-2</v>
      </c>
      <c r="R50" s="234">
        <f>IFERROR(((Data!R50-Data!R49)/Data!R49),0)</f>
        <v>-5.8174658502121911E-2</v>
      </c>
      <c r="S50" s="234">
        <f>IFERROR(((Data!S50-Data!S49)/Data!S49),0)</f>
        <v>0.10405370513813582</v>
      </c>
      <c r="T50" s="234">
        <f>IFERROR(((Data!T50-Data!T49)/Data!T49),0)</f>
        <v>-9.5065740549421476E-2</v>
      </c>
      <c r="U50" s="234">
        <f>IFERROR(((Data!U50-Data!U49)/Data!U49),0)</f>
        <v>-0.16189012008169923</v>
      </c>
      <c r="V50" s="235">
        <f>IFERROR(((Data!V50-Data!V49)/Data!V49),0)</f>
        <v>0</v>
      </c>
      <c r="W50" s="236">
        <f>IFERROR(((Data!W50-Data!W49)/Data!W49),0)</f>
        <v>2.1519905796593502E-2</v>
      </c>
      <c r="X50" s="236">
        <f>IFERROR(((Data!X50-Data!X49)/Data!X49),0)</f>
        <v>-0.14012325730083228</v>
      </c>
      <c r="Y50" s="236">
        <f>IFERROR(((Data!Y50-Data!Y49)/Data!Y49),0)</f>
        <v>-8.6181238946826319E-2</v>
      </c>
      <c r="Z50" s="236">
        <f>IFERROR(((Data!Z50-Data!Z49)/Data!Z49),0)</f>
        <v>-9.7287742603694521E-2</v>
      </c>
      <c r="AA50" s="236">
        <f>IFERROR(((Data!AA50-Data!AA49)/Data!AA49),0)</f>
        <v>-8.7301587301587269E-2</v>
      </c>
      <c r="AB50" s="237">
        <f>IFERROR(((Data!AB50-Data!AB49)/Data!AB49),0)</f>
        <v>-0.14046659426624639</v>
      </c>
      <c r="AC50" s="237">
        <f>IFERROR(((Data!AC50-Data!AC49)/Data!AC49),0)</f>
        <v>-1.7325420739877247E-2</v>
      </c>
      <c r="AD50" s="237">
        <f>IFERROR(((Data!AD50-Data!AD49)/Data!AD49),0)</f>
        <v>-7.8141004281041718E-2</v>
      </c>
      <c r="AE50" s="237">
        <f>IFERROR(((Data!AE50-Data!AE49)/Data!AE49),0)</f>
        <v>-3.5028225988700555E-2</v>
      </c>
      <c r="AF50" s="237">
        <f>IFERROR(((Data!AF50-Data!AF49)/Data!AF49),0)</f>
        <v>7.0926204610835472E-2</v>
      </c>
      <c r="AG50" s="238">
        <f>IFERROR(((Data!AG50-Data!AG49)/Data!AG49),0)</f>
        <v>-2.2364746678583493E-2</v>
      </c>
      <c r="AH50" s="238">
        <f>IFERROR(((Data!AH50-Data!AH49)/Data!AH49),0)</f>
        <v>-1.7436592272417686E-2</v>
      </c>
      <c r="AI50" s="238">
        <f>IFERROR(((Data!AI50-Data!AI49)/Data!AI49),0)</f>
        <v>-2.5121994128980644E-2</v>
      </c>
      <c r="AJ50" s="238">
        <f>IFERROR(((Data!AJ50-Data!AJ49)/Data!AJ49),0)</f>
        <v>-8.4134272260936768E-2</v>
      </c>
      <c r="AK50" s="238">
        <f>IFERROR(((Data!AK50-Data!AK49)/Data!AK49),0)</f>
        <v>-0.1666874310667498</v>
      </c>
      <c r="AL50" s="239">
        <f>IFERROR(((Data!AL50-Data!AL49)/Data!AL49),0)</f>
        <v>-0.15325290732058147</v>
      </c>
      <c r="AM50" s="239">
        <f>IFERROR(((Data!AM50-Data!AM49)/Data!AM49),0)</f>
        <v>-7.3961963318184706E-2</v>
      </c>
      <c r="AN50" s="239">
        <f>IFERROR(((Data!AN50-Data!AN49)/Data!AN49),0)</f>
        <v>0</v>
      </c>
      <c r="AO50" s="239">
        <f>IFERROR(((Data!AO50-Data!AO49)/Data!AO49),0)</f>
        <v>-5.3187409616710396E-2</v>
      </c>
      <c r="AP50" s="239">
        <f>IFERROR(((Data!AP50-Data!AP49)/Data!AP49),0)</f>
        <v>-8.6092715231788075E-2</v>
      </c>
      <c r="AQ50" s="240">
        <f>IFERROR(((Data!AQ50-Data!AQ49)/Data!AQ49),0)</f>
        <v>-4.1914917979181843E-2</v>
      </c>
      <c r="AR50" s="240">
        <f>IFERROR(((Data!AR50-Data!AR49)/Data!AR49),0)</f>
        <v>-7.5841589153053252E-2</v>
      </c>
      <c r="AS50" s="240">
        <f>IFERROR(((Data!AS50-Data!AS49)/Data!AS49),0)</f>
        <v>5.9249307224345044E-2</v>
      </c>
      <c r="AT50" s="240">
        <f>IFERROR(((Data!AT50-Data!AT49)/Data!AT49),0)</f>
        <v>-3.0083731779003916E-2</v>
      </c>
      <c r="AU50" s="241">
        <f>IFERROR(((Data!AU50-Data!AU49)/Data!AU49),0)</f>
        <v>-4.9065391700874948E-2</v>
      </c>
      <c r="AV50" s="227">
        <f>IFERROR(((Data!AV50-Data!AV49)/Data!AV49),0)</f>
        <v>-5.2119351435805379E-2</v>
      </c>
      <c r="AW50" s="227">
        <f>IFERROR(((Data!AW50-Data!AW49)/Data!AW49),0)</f>
        <v>-1.2520097119836798E-2</v>
      </c>
      <c r="AX50" s="227">
        <f>IFERROR(((Data!AX50-Data!AX49)/Data!AX49),0)</f>
        <v>0.12240895222503362</v>
      </c>
      <c r="AY50" s="227">
        <f>IFERROR(((Data!AY50-Data!AY49)/Data!AY49),0)</f>
        <v>-5.4446791641863425E-2</v>
      </c>
      <c r="AZ50" s="227">
        <f>IFERROR(((Data!AZ50-Data!AZ49)/Data!AZ49),0)</f>
        <v>1.5412903162410958E-2</v>
      </c>
      <c r="BA50" s="228">
        <f>IFERROR(((Data!BA50-Data!BA49)/Data!BA49),0)</f>
        <v>-2.7688521089314459E-3</v>
      </c>
      <c r="BB50" s="228">
        <f>IFERROR(((Data!BB50-Data!BB49)/Data!BB49),0)</f>
        <v>4.9574670134225424E-2</v>
      </c>
      <c r="BC50" s="228">
        <f>IFERROR(((Data!BC50-Data!BC49)/Data!BC49),0)</f>
        <v>-0.16236190462970035</v>
      </c>
      <c r="BD50" s="228">
        <f>IFERROR(((Data!BD50-Data!BD49)/Data!BD49),0)</f>
        <v>0</v>
      </c>
      <c r="BE50" s="228">
        <f>IFERROR(((Data!BE50-Data!BE49)/Data!BE49),0)</f>
        <v>0</v>
      </c>
      <c r="BF50" s="229">
        <f>IFERROR(((Data!BF50-Data!BF49)/Data!BF49),0)</f>
        <v>-8.4897525017690698E-2</v>
      </c>
      <c r="BG50" s="229">
        <f>IFERROR(((Data!BG50-Data!BG49)/Data!BG49),0)</f>
        <v>-0.18881466428002319</v>
      </c>
      <c r="BH50" s="229">
        <f>IFERROR(((Data!BH50-Data!BH49)/Data!BH49),0)</f>
        <v>-7.242364027710485E-2</v>
      </c>
      <c r="BI50" s="229">
        <f>IFERROR(((Data!BI50-Data!BI49)/Data!BI49),0)</f>
        <v>-5.7692294652126927E-2</v>
      </c>
      <c r="BJ50" s="229">
        <f>IFERROR(((Data!BJ50-Data!BJ49)/Data!BJ49),0)</f>
        <v>-0.12032008970222934</v>
      </c>
    </row>
    <row r="51" spans="2:62">
      <c r="B51" s="214">
        <v>44743</v>
      </c>
      <c r="C51" s="230">
        <f>IFERROR(((Data!C51-Data!C50)/Data!C50),0)</f>
        <v>6.5224169751511102E-2</v>
      </c>
      <c r="D51" s="230">
        <f>IFERROR(((Data!D51-Data!D50)/Data!D50),0)</f>
        <v>9.1792213216300544E-2</v>
      </c>
      <c r="E51" s="231">
        <f>IFERROR(((Data!E51-Data!E50)/Data!E50),0)</f>
        <v>3.5746502782544542E-2</v>
      </c>
      <c r="F51" s="231">
        <f>IFERROR(((Data!F51-Data!F50)/Data!F50),0)</f>
        <v>0.18843910242752612</v>
      </c>
      <c r="G51" s="231">
        <f>IFERROR(((Data!G51-Data!G50)/Data!G50),0)</f>
        <v>1.6084002566314315E-2</v>
      </c>
      <c r="H51" s="232">
        <f>IFERROR(((Data!H51-Data!H50)/Data!H50),0)</f>
        <v>8.9850089561902574E-2</v>
      </c>
      <c r="I51" s="232">
        <f>IFERROR(((Data!I51-Data!I50)/Data!I50),0)</f>
        <v>6.3946572741338137E-2</v>
      </c>
      <c r="J51" s="232">
        <f>IFERROR(((Data!J51-Data!J50)/Data!J50),0)</f>
        <v>0.13811245995210095</v>
      </c>
      <c r="K51" s="232">
        <f>IFERROR(((Data!K51-Data!K50)/Data!K50),0)</f>
        <v>0.19395859478669011</v>
      </c>
      <c r="L51" s="232">
        <f>IFERROR(((Data!L51-Data!L50)/Data!L50),0)</f>
        <v>0.20894406123032547</v>
      </c>
      <c r="M51" s="233">
        <f>IFERROR(((Data!M51-Data!M50)/Data!M50),0)</f>
        <v>0.13556460120424285</v>
      </c>
      <c r="N51" s="233">
        <f>IFERROR(((Data!N51-Data!N50)/Data!N50),0)</f>
        <v>-6.9063188203609488E-2</v>
      </c>
      <c r="O51" s="233">
        <f>IFERROR(((Data!O51-Data!O50)/Data!O50),0)</f>
        <v>7.522595402462591E-2</v>
      </c>
      <c r="P51" s="233">
        <f>IFERROR(((Data!P51-Data!P50)/Data!P50),0)</f>
        <v>3.4717732984985906E-2</v>
      </c>
      <c r="Q51" s="233">
        <f>IFERROR(((Data!Q51-Data!Q50)/Data!Q50),0)</f>
        <v>0.23337486925182938</v>
      </c>
      <c r="R51" s="234">
        <f>IFERROR(((Data!R51-Data!R50)/Data!R50),0)</f>
        <v>0.1603080286595317</v>
      </c>
      <c r="S51" s="234">
        <f>IFERROR(((Data!S51-Data!S50)/Data!S50),0)</f>
        <v>7.0626753975678205E-2</v>
      </c>
      <c r="T51" s="234">
        <f>IFERROR(((Data!T51-Data!T50)/Data!T50),0)</f>
        <v>0.23425008168738692</v>
      </c>
      <c r="U51" s="234">
        <f>IFERROR(((Data!U51-Data!U50)/Data!U50),0)</f>
        <v>8.3179314119737863E-2</v>
      </c>
      <c r="V51" s="235">
        <f>IFERROR(((Data!V51-Data!V50)/Data!V50),0)</f>
        <v>0</v>
      </c>
      <c r="W51" s="236">
        <f>IFERROR(((Data!W51-Data!W50)/Data!W50),0)</f>
        <v>0.12702113290241879</v>
      </c>
      <c r="X51" s="236">
        <f>IFERROR(((Data!X51-Data!X50)/Data!X50),0)</f>
        <v>0.10621166143666982</v>
      </c>
      <c r="Y51" s="236">
        <f>IFERROR(((Data!Y51-Data!Y50)/Data!Y50),0)</f>
        <v>0.1105691287963536</v>
      </c>
      <c r="Z51" s="236">
        <f>IFERROR(((Data!Z51-Data!Z50)/Data!Z50),0)</f>
        <v>8.0992849106948719E-2</v>
      </c>
      <c r="AA51" s="236">
        <f>IFERROR(((Data!AA51-Data!AA50)/Data!AA50),0)</f>
        <v>7.8260869565217425E-2</v>
      </c>
      <c r="AB51" s="237">
        <f>IFERROR(((Data!AB51-Data!AB50)/Data!AB50),0)</f>
        <v>7.8291650516742597E-2</v>
      </c>
      <c r="AC51" s="237">
        <f>IFERROR(((Data!AC51-Data!AC50)/Data!AC50),0)</f>
        <v>3.2506839715001276E-2</v>
      </c>
      <c r="AD51" s="237">
        <f>IFERROR(((Data!AD51-Data!AD50)/Data!AD50),0)</f>
        <v>0.16719280007521406</v>
      </c>
      <c r="AE51" s="237">
        <f>IFERROR(((Data!AE51-Data!AE50)/Data!AE50),0)</f>
        <v>2.1662739539514288E-2</v>
      </c>
      <c r="AF51" s="237">
        <f>IFERROR(((Data!AF51-Data!AF50)/Data!AF50),0)</f>
        <v>-2.5691288294049913E-3</v>
      </c>
      <c r="AG51" s="238">
        <f>IFERROR(((Data!AG51-Data!AG50)/Data!AG50),0)</f>
        <v>1.0651616653565047E-2</v>
      </c>
      <c r="AH51" s="238">
        <f>IFERROR(((Data!AH51-Data!AH50)/Data!AH50),0)</f>
        <v>6.0058778358918173E-2</v>
      </c>
      <c r="AI51" s="238">
        <f>IFERROR(((Data!AI51-Data!AI50)/Data!AI50),0)</f>
        <v>6.8999133770234644E-2</v>
      </c>
      <c r="AJ51" s="238">
        <f>IFERROR(((Data!AJ51-Data!AJ50)/Data!AJ50),0)</f>
        <v>0.17044842204537919</v>
      </c>
      <c r="AK51" s="238">
        <f>IFERROR(((Data!AK51-Data!AK50)/Data!AK50),0)</f>
        <v>0.11393917242919573</v>
      </c>
      <c r="AL51" s="239">
        <f>IFERROR(((Data!AL51-Data!AL50)/Data!AL50),0)</f>
        <v>0.15366646520058388</v>
      </c>
      <c r="AM51" s="239">
        <f>IFERROR(((Data!AM51-Data!AM50)/Data!AM50),0)</f>
        <v>0.14458871266430443</v>
      </c>
      <c r="AN51" s="239">
        <f>IFERROR(((Data!AN51-Data!AN50)/Data!AN50),0)</f>
        <v>0</v>
      </c>
      <c r="AO51" s="239">
        <f>IFERROR(((Data!AO51-Data!AO50)/Data!AO50),0)</f>
        <v>9.2973175407926836E-2</v>
      </c>
      <c r="AP51" s="239">
        <f>IFERROR(((Data!AP51-Data!AP50)/Data!AP50),0)</f>
        <v>-5.9420260869565207E-2</v>
      </c>
      <c r="AQ51" s="240">
        <f>IFERROR(((Data!AQ51-Data!AQ50)/Data!AQ50),0)</f>
        <v>0.16955085133105746</v>
      </c>
      <c r="AR51" s="240">
        <f>IFERROR(((Data!AR51-Data!AR50)/Data!AR50),0)</f>
        <v>0.21016806094558976</v>
      </c>
      <c r="AS51" s="240">
        <f>IFERROR(((Data!AS51-Data!AS50)/Data!AS50),0)</f>
        <v>1.0170068523821473E-2</v>
      </c>
      <c r="AT51" s="240">
        <f>IFERROR(((Data!AT51-Data!AT50)/Data!AT50),0)</f>
        <v>9.3050431708500955E-2</v>
      </c>
      <c r="AU51" s="241">
        <f>IFERROR(((Data!AU51-Data!AU50)/Data!AU50),0)</f>
        <v>8.0262048816741122E-2</v>
      </c>
      <c r="AV51" s="227">
        <f>IFERROR(((Data!AV51-Data!AV50)/Data!AV50),0)</f>
        <v>0.20346383755116931</v>
      </c>
      <c r="AW51" s="227">
        <f>IFERROR(((Data!AW51-Data!AW50)/Data!AW50),0)</f>
        <v>0.10813389664380313</v>
      </c>
      <c r="AX51" s="227">
        <f>IFERROR(((Data!AX51-Data!AX50)/Data!AX50),0)</f>
        <v>0.11656440669630179</v>
      </c>
      <c r="AY51" s="227">
        <f>IFERROR(((Data!AY51-Data!AY50)/Data!AY50),0)</f>
        <v>0.16589528412647131</v>
      </c>
      <c r="AZ51" s="227">
        <f>IFERROR(((Data!AZ51-Data!AZ50)/Data!AZ50),0)</f>
        <v>0.17564123703953255</v>
      </c>
      <c r="BA51" s="228">
        <f>IFERROR(((Data!BA51-Data!BA50)/Data!BA50),0)</f>
        <v>0.17556590574839442</v>
      </c>
      <c r="BB51" s="228">
        <f>IFERROR(((Data!BB51-Data!BB50)/Data!BB50),0)</f>
        <v>0.18927162317844243</v>
      </c>
      <c r="BC51" s="228">
        <f>IFERROR(((Data!BC51-Data!BC50)/Data!BC50),0)</f>
        <v>0.21178769412636131</v>
      </c>
      <c r="BD51" s="228">
        <f>IFERROR(((Data!BD51-Data!BD50)/Data!BD50),0)</f>
        <v>0</v>
      </c>
      <c r="BE51" s="228">
        <f>IFERROR(((Data!BE51-Data!BE50)/Data!BE50),0)</f>
        <v>0</v>
      </c>
      <c r="BF51" s="229">
        <f>IFERROR(((Data!BF51-Data!BF50)/Data!BF50),0)</f>
        <v>6.4835561657714161E-2</v>
      </c>
      <c r="BG51" s="229">
        <f>IFERROR(((Data!BG51-Data!BG50)/Data!BG50),0)</f>
        <v>0.17188472326437748</v>
      </c>
      <c r="BH51" s="229">
        <f>IFERROR(((Data!BH51-Data!BH50)/Data!BH50),0)</f>
        <v>5.5420790613360797E-2</v>
      </c>
      <c r="BI51" s="229">
        <f>IFERROR(((Data!BI51-Data!BI50)/Data!BI50),0)</f>
        <v>0.16090534244100932</v>
      </c>
      <c r="BJ51" s="229">
        <f>IFERROR(((Data!BJ51-Data!BJ50)/Data!BJ50),0)</f>
        <v>-0.1802071217954794</v>
      </c>
    </row>
    <row r="52" spans="2:62">
      <c r="B52" s="214">
        <v>44774</v>
      </c>
      <c r="C52" s="230">
        <f>IFERROR(((Data!C52-Data!C51)/Data!C51),0)</f>
        <v>0.13537793507498153</v>
      </c>
      <c r="D52" s="230">
        <f>IFERROR(((Data!D52-Data!D51)/Data!D51),0)</f>
        <v>4.7820281222779787E-2</v>
      </c>
      <c r="E52" s="231">
        <f>IFERROR(((Data!E52-Data!E51)/Data!E51),0)</f>
        <v>3.5185252615429347E-2</v>
      </c>
      <c r="F52" s="231">
        <f>IFERROR(((Data!F52-Data!F51)/Data!F51),0)</f>
        <v>-0.1156647720621248</v>
      </c>
      <c r="G52" s="231">
        <f>IFERROR(((Data!G52-Data!G51)/Data!G51),0)</f>
        <v>0.253175671847295</v>
      </c>
      <c r="H52" s="232">
        <f>IFERROR(((Data!H52-Data!H51)/Data!H51),0)</f>
        <v>5.805498443352379E-2</v>
      </c>
      <c r="I52" s="232">
        <f>IFERROR(((Data!I52-Data!I51)/Data!I51),0)</f>
        <v>3.6187392713533523E-2</v>
      </c>
      <c r="J52" s="232">
        <f>IFERROR(((Data!J52-Data!J51)/Data!J51),0)</f>
        <v>3.8487598269066697E-2</v>
      </c>
      <c r="K52" s="232">
        <f>IFERROR(((Data!K52-Data!K51)/Data!K51),0)</f>
        <v>0.30892152620297009</v>
      </c>
      <c r="L52" s="232">
        <f>IFERROR(((Data!L52-Data!L51)/Data!L51),0)</f>
        <v>0.11874412982307812</v>
      </c>
      <c r="M52" s="233">
        <f>IFERROR(((Data!M52-Data!M51)/Data!M51),0)</f>
        <v>-5.3170013008136854E-2</v>
      </c>
      <c r="N52" s="233">
        <f>IFERROR(((Data!N52-Data!N51)/Data!N51),0)</f>
        <v>5.1946556173494793E-2</v>
      </c>
      <c r="O52" s="233">
        <f>IFERROR(((Data!O52-Data!O51)/Data!O51),0)</f>
        <v>-2.9249849966122713E-3</v>
      </c>
      <c r="P52" s="233">
        <f>IFERROR(((Data!P52-Data!P51)/Data!P51),0)</f>
        <v>2.6654107545107223E-2</v>
      </c>
      <c r="Q52" s="233">
        <f>IFERROR(((Data!Q52-Data!Q51)/Data!Q51),0)</f>
        <v>3.2350501053270315E-2</v>
      </c>
      <c r="R52" s="234">
        <f>IFERROR(((Data!R52-Data!R51)/Data!R51),0)</f>
        <v>7.6916773493381066E-2</v>
      </c>
      <c r="S52" s="234">
        <f>IFERROR(((Data!S52-Data!S51)/Data!S51),0)</f>
        <v>-4.1502839667977284E-2</v>
      </c>
      <c r="T52" s="234">
        <f>IFERROR(((Data!T52-Data!T51)/Data!T51),0)</f>
        <v>1.0493493150523567E-2</v>
      </c>
      <c r="U52" s="234">
        <f>IFERROR(((Data!U52-Data!U51)/Data!U51),0)</f>
        <v>0.19539261801502744</v>
      </c>
      <c r="V52" s="235">
        <f>IFERROR(((Data!V52-Data!V51)/Data!V51),0)</f>
        <v>0</v>
      </c>
      <c r="W52" s="236">
        <f>IFERROR(((Data!W52-Data!W51)/Data!W51),0)</f>
        <v>0.12024647348695323</v>
      </c>
      <c r="X52" s="236">
        <f>IFERROR(((Data!X52-Data!X51)/Data!X51),0)</f>
        <v>6.7823356532738313E-2</v>
      </c>
      <c r="Y52" s="236">
        <f>IFERROR(((Data!Y52-Data!Y51)/Data!Y51),0)</f>
        <v>0.12445097510070087</v>
      </c>
      <c r="Z52" s="236">
        <f>IFERROR(((Data!Z52-Data!Z51)/Data!Z51),0)</f>
        <v>0.1154078221795435</v>
      </c>
      <c r="AA52" s="236">
        <f>IFERROR(((Data!AA52-Data!AA51)/Data!AA51),0)</f>
        <v>0.35483862903225799</v>
      </c>
      <c r="AB52" s="237">
        <f>IFERROR(((Data!AB52-Data!AB51)/Data!AB51),0)</f>
        <v>7.9274526117240257E-2</v>
      </c>
      <c r="AC52" s="237">
        <f>IFERROR(((Data!AC52-Data!AC51)/Data!AC51),0)</f>
        <v>9.7251875070551455E-2</v>
      </c>
      <c r="AD52" s="237">
        <f>IFERROR(((Data!AD52-Data!AD51)/Data!AD51),0)</f>
        <v>2.0329155677686811E-2</v>
      </c>
      <c r="AE52" s="237">
        <f>IFERROR(((Data!AE52-Data!AE51)/Data!AE51),0)</f>
        <v>8.7105994269340972E-2</v>
      </c>
      <c r="AF52" s="237">
        <f>IFERROR(((Data!AF52-Data!AF51)/Data!AF51),0)</f>
        <v>4.9513467694458982E-2</v>
      </c>
      <c r="AG52" s="238">
        <f>IFERROR(((Data!AG52-Data!AG51)/Data!AG51),0)</f>
        <v>-2.4917178143048127E-2</v>
      </c>
      <c r="AH52" s="238">
        <f>IFERROR(((Data!AH52-Data!AH51)/Data!AH51),0)</f>
        <v>-3.6619949709093262E-2</v>
      </c>
      <c r="AI52" s="238">
        <f>IFERROR(((Data!AI52-Data!AI51)/Data!AI51),0)</f>
        <v>3.7882445546939522E-2</v>
      </c>
      <c r="AJ52" s="238">
        <f>IFERROR(((Data!AJ52-Data!AJ51)/Data!AJ51),0)</f>
        <v>6.6067591040944298E-2</v>
      </c>
      <c r="AK52" s="238">
        <f>IFERROR(((Data!AK52-Data!AK51)/Data!AK51),0)</f>
        <v>-1.0080645161290322E-2</v>
      </c>
      <c r="AL52" s="239">
        <f>IFERROR(((Data!AL52-Data!AL51)/Data!AL51),0)</f>
        <v>4.0688245188463618E-2</v>
      </c>
      <c r="AM52" s="239">
        <f>IFERROR(((Data!AM52-Data!AM51)/Data!AM51),0)</f>
        <v>6.3108791056646088E-2</v>
      </c>
      <c r="AN52" s="239">
        <f>IFERROR(((Data!AN52-Data!AN51)/Data!AN51),0)</f>
        <v>0</v>
      </c>
      <c r="AO52" s="239">
        <f>IFERROR(((Data!AO52-Data!AO51)/Data!AO51),0)</f>
        <v>1.3789378117001247E-2</v>
      </c>
      <c r="AP52" s="239">
        <f>IFERROR(((Data!AP52-Data!AP51)/Data!AP51),0)</f>
        <v>8.7827362470651371E-2</v>
      </c>
      <c r="AQ52" s="240">
        <f>IFERROR(((Data!AQ52-Data!AQ51)/Data!AQ51),0)</f>
        <v>8.5980582984970591E-2</v>
      </c>
      <c r="AR52" s="240">
        <f>IFERROR(((Data!AR52-Data!AR51)/Data!AR51),0)</f>
        <v>6.053593069283001E-2</v>
      </c>
      <c r="AS52" s="240">
        <f>IFERROR(((Data!AS52-Data!AS51)/Data!AS51),0)</f>
        <v>1.400025771904493E-2</v>
      </c>
      <c r="AT52" s="240">
        <f>IFERROR(((Data!AT52-Data!AT51)/Data!AT51),0)</f>
        <v>0.12694687108307562</v>
      </c>
      <c r="AU52" s="241">
        <f>IFERROR(((Data!AU52-Data!AU51)/Data!AU51),0)</f>
        <v>6.065201185680115E-2</v>
      </c>
      <c r="AV52" s="227">
        <f>IFERROR(((Data!AV52-Data!AV51)/Data!AV51),0)</f>
        <v>8.5123261422909834E-3</v>
      </c>
      <c r="AW52" s="227">
        <f>IFERROR(((Data!AW52-Data!AW51)/Data!AW51),0)</f>
        <v>2.9275633557162947E-2</v>
      </c>
      <c r="AX52" s="227">
        <f>IFERROR(((Data!AX52-Data!AX51)/Data!AX51),0)</f>
        <v>0.17157581186696227</v>
      </c>
      <c r="AY52" s="227">
        <f>IFERROR(((Data!AY52-Data!AY51)/Data!AY51),0)</f>
        <v>0.10751152106944604</v>
      </c>
      <c r="AZ52" s="227">
        <f>IFERROR(((Data!AZ52-Data!AZ51)/Data!AZ51),0)</f>
        <v>1.6239631447111862E-2</v>
      </c>
      <c r="BA52" s="228">
        <f>IFERROR(((Data!BA52-Data!BA51)/Data!BA51),0)</f>
        <v>0.11373552839943313</v>
      </c>
      <c r="BB52" s="228">
        <f>IFERROR(((Data!BB52-Data!BB51)/Data!BB51),0)</f>
        <v>7.5090695048476E-2</v>
      </c>
      <c r="BC52" s="228">
        <f>IFERROR(((Data!BC52-Data!BC51)/Data!BC51),0)</f>
        <v>0.37499183205056219</v>
      </c>
      <c r="BD52" s="228">
        <f>IFERROR(((Data!BD52-Data!BD51)/Data!BD51),0)</f>
        <v>0</v>
      </c>
      <c r="BE52" s="228">
        <f>IFERROR(((Data!BE52-Data!BE51)/Data!BE51),0)</f>
        <v>0</v>
      </c>
      <c r="BF52" s="229">
        <f>IFERROR(((Data!BF52-Data!BF51)/Data!BF51),0)</f>
        <v>8.7098495971721826E-2</v>
      </c>
      <c r="BG52" s="229">
        <f>IFERROR(((Data!BG52-Data!BG51)/Data!BG51),0)</f>
        <v>5.247401006903931E-2</v>
      </c>
      <c r="BH52" s="229">
        <f>IFERROR(((Data!BH52-Data!BH51)/Data!BH51),0)</f>
        <v>3.1080584783453422E-2</v>
      </c>
      <c r="BI52" s="229">
        <f>IFERROR(((Data!BI52-Data!BI51)/Data!BI51),0)</f>
        <v>5.9294174706090587E-2</v>
      </c>
      <c r="BJ52" s="229">
        <f>IFERROR(((Data!BJ52-Data!BJ51)/Data!BJ51),0)</f>
        <v>1.0160228994813796E-2</v>
      </c>
    </row>
    <row r="53" spans="2:62">
      <c r="B53" s="214">
        <v>44805</v>
      </c>
      <c r="C53" s="230">
        <f>IFERROR(((Data!C53-Data!C52)/Data!C52),0)</f>
        <v>-3.0946771643743529E-2</v>
      </c>
      <c r="D53" s="230">
        <f>IFERROR(((Data!D53-Data!D52)/Data!D52),0)</f>
        <v>-0.14115901417601692</v>
      </c>
      <c r="E53" s="231">
        <f>IFERROR(((Data!E53-Data!E52)/Data!E52),0)</f>
        <v>-2.1577788482744071E-2</v>
      </c>
      <c r="F53" s="231">
        <f>IFERROR(((Data!F53-Data!F52)/Data!F52),0)</f>
        <v>0.10571599051533219</v>
      </c>
      <c r="G53" s="231">
        <f>IFERROR(((Data!G53-Data!G52)/Data!G52),0)</f>
        <v>-4.3999105708328011E-2</v>
      </c>
      <c r="H53" s="232">
        <f>IFERROR(((Data!H53-Data!H52)/Data!H52),0)</f>
        <v>-4.9677506962439583E-2</v>
      </c>
      <c r="I53" s="232">
        <f>IFERROR(((Data!I53-Data!I52)/Data!I52),0)</f>
        <v>-4.3570418313053506E-2</v>
      </c>
      <c r="J53" s="232">
        <f>IFERROR(((Data!J53-Data!J52)/Data!J52),0)</f>
        <v>-2.4351246484378846E-2</v>
      </c>
      <c r="K53" s="232">
        <f>IFERROR(((Data!K53-Data!K52)/Data!K52),0)</f>
        <v>1.4242034008462476E-2</v>
      </c>
      <c r="L53" s="232">
        <f>IFERROR(((Data!L53-Data!L52)/Data!L52),0)</f>
        <v>-2.6529420476066639E-2</v>
      </c>
      <c r="M53" s="233">
        <f>IFERROR(((Data!M53-Data!M52)/Data!M52),0)</f>
        <v>6.574612283184747E-2</v>
      </c>
      <c r="N53" s="233">
        <f>IFERROR(((Data!N53-Data!N52)/Data!N52),0)</f>
        <v>2.1354325856465625E-2</v>
      </c>
      <c r="O53" s="233">
        <f>IFERROR(((Data!O53-Data!O52)/Data!O52),0)</f>
        <v>-6.3806436746677006E-2</v>
      </c>
      <c r="P53" s="233">
        <f>IFERROR(((Data!P53-Data!P52)/Data!P52),0)</f>
        <v>-8.1755199000550893E-2</v>
      </c>
      <c r="Q53" s="233">
        <f>IFERROR(((Data!Q53-Data!Q52)/Data!Q52),0)</f>
        <v>0.30307983086838208</v>
      </c>
      <c r="R53" s="234">
        <f>IFERROR(((Data!R53-Data!R52)/Data!R52),0)</f>
        <v>-3.890763744019525E-2</v>
      </c>
      <c r="S53" s="234">
        <f>IFERROR(((Data!S53-Data!S52)/Data!S52),0)</f>
        <v>-0.15752049954421146</v>
      </c>
      <c r="T53" s="234">
        <f>IFERROR(((Data!T53-Data!T52)/Data!T52),0)</f>
        <v>-7.8187578645590033E-2</v>
      </c>
      <c r="U53" s="234">
        <f>IFERROR(((Data!U53-Data!U52)/Data!U52),0)</f>
        <v>5.6127362453873036E-2</v>
      </c>
      <c r="V53" s="235">
        <f>IFERROR(((Data!V53-Data!V52)/Data!V52),0)</f>
        <v>0</v>
      </c>
      <c r="W53" s="236">
        <f>IFERROR(((Data!W53-Data!W52)/Data!W52),0)</f>
        <v>-7.1997334179406236E-2</v>
      </c>
      <c r="X53" s="236">
        <f>IFERROR(((Data!X53-Data!X52)/Data!X52),0)</f>
        <v>-8.6305142920978448E-2</v>
      </c>
      <c r="Y53" s="236">
        <f>IFERROR(((Data!Y53-Data!Y52)/Data!Y52),0)</f>
        <v>-5.6877684847606823E-2</v>
      </c>
      <c r="Z53" s="236">
        <f>IFERROR(((Data!Z53-Data!Z52)/Data!Z52),0)</f>
        <v>-4.7128944292168795E-2</v>
      </c>
      <c r="AA53" s="236">
        <f>IFERROR(((Data!AA53-Data!AA52)/Data!AA52),0)</f>
        <v>-2.3809465702944455E-2</v>
      </c>
      <c r="AB53" s="237">
        <f>IFERROR(((Data!AB53-Data!AB52)/Data!AB52),0)</f>
        <v>-4.7116118288285977E-2</v>
      </c>
      <c r="AC53" s="237">
        <f>IFERROR(((Data!AC53-Data!AC52)/Data!AC52),0)</f>
        <v>0.25373861549684573</v>
      </c>
      <c r="AD53" s="237">
        <f>IFERROR(((Data!AD53-Data!AD52)/Data!AD52),0)</f>
        <v>-5.7929228773738649E-2</v>
      </c>
      <c r="AE53" s="237">
        <f>IFERROR(((Data!AE53-Data!AE52)/Data!AE52),0)</f>
        <v>0.11649978105429165</v>
      </c>
      <c r="AF53" s="237">
        <f>IFERROR(((Data!AF53-Data!AF52)/Data!AF52),0)</f>
        <v>1.0907800959795591E-3</v>
      </c>
      <c r="AG53" s="238">
        <f>IFERROR(((Data!AG53-Data!AG52)/Data!AG52),0)</f>
        <v>-6.433817574866757E-2</v>
      </c>
      <c r="AH53" s="238">
        <f>IFERROR(((Data!AH53-Data!AH52)/Data!AH52),0)</f>
        <v>-5.3250274524820299E-2</v>
      </c>
      <c r="AI53" s="238">
        <f>IFERROR(((Data!AI53-Data!AI52)/Data!AI52),0)</f>
        <v>-5.1312371043157314E-2</v>
      </c>
      <c r="AJ53" s="238">
        <f>IFERROR(((Data!AJ53-Data!AJ52)/Data!AJ52),0)</f>
        <v>-3.6776896052643733E-2</v>
      </c>
      <c r="AK53" s="238">
        <f>IFERROR(((Data!AK53-Data!AK52)/Data!AK52),0)</f>
        <v>-2.9735266802444035E-2</v>
      </c>
      <c r="AL53" s="239">
        <f>IFERROR(((Data!AL53-Data!AL52)/Data!AL52),0)</f>
        <v>4.2793118210625305E-3</v>
      </c>
      <c r="AM53" s="239">
        <f>IFERROR(((Data!AM53-Data!AM52)/Data!AM52),0)</f>
        <v>2.3884313999727569E-2</v>
      </c>
      <c r="AN53" s="239">
        <f>IFERROR(((Data!AN53-Data!AN52)/Data!AN52),0)</f>
        <v>0</v>
      </c>
      <c r="AO53" s="239">
        <f>IFERROR(((Data!AO53-Data!AO52)/Data!AO52),0)</f>
        <v>-2.5613903847629443E-2</v>
      </c>
      <c r="AP53" s="239">
        <f>IFERROR(((Data!AP53-Data!AP52)/Data!AP52),0)</f>
        <v>-8.498583810158182E-2</v>
      </c>
      <c r="AQ53" s="240">
        <f>IFERROR(((Data!AQ53-Data!AQ52)/Data!AQ52),0)</f>
        <v>0.1620248462656759</v>
      </c>
      <c r="AR53" s="240">
        <f>IFERROR(((Data!AR53-Data!AR52)/Data!AR52),0)</f>
        <v>0.16843425315927713</v>
      </c>
      <c r="AS53" s="240">
        <f>IFERROR(((Data!AS53-Data!AS52)/Data!AS52),0)</f>
        <v>9.6338874204363989E-2</v>
      </c>
      <c r="AT53" s="240">
        <f>IFERROR(((Data!AT53-Data!AT52)/Data!AT52),0)</f>
        <v>5.9447109592265505E-2</v>
      </c>
      <c r="AU53" s="241">
        <f>IFERROR(((Data!AU53-Data!AU52)/Data!AU52),0)</f>
        <v>0.24088644349763172</v>
      </c>
      <c r="AV53" s="227">
        <f>IFERROR(((Data!AV53-Data!AV52)/Data!AV52),0)</f>
        <v>1.376007339874144E-2</v>
      </c>
      <c r="AW53" s="227">
        <f>IFERROR(((Data!AW53-Data!AW52)/Data!AW52),0)</f>
        <v>-3.9197819718228874E-2</v>
      </c>
      <c r="AX53" s="227">
        <f>IFERROR(((Data!AX53-Data!AX52)/Data!AX52),0)</f>
        <v>1.4776834802918831E-2</v>
      </c>
      <c r="AY53" s="227">
        <f>IFERROR(((Data!AY53-Data!AY52)/Data!AY52),0)</f>
        <v>4.0005628059945376E-2</v>
      </c>
      <c r="AZ53" s="227">
        <f>IFERROR(((Data!AZ53-Data!AZ52)/Data!AZ52),0)</f>
        <v>-3.225799223264126E-2</v>
      </c>
      <c r="BA53" s="228">
        <f>IFERROR(((Data!BA53-Data!BA52)/Data!BA52),0)</f>
        <v>-6.5121675977956126E-3</v>
      </c>
      <c r="BB53" s="228">
        <f>IFERROR(((Data!BB53-Data!BB52)/Data!BB52),0)</f>
        <v>-7.1915995777681416E-2</v>
      </c>
      <c r="BC53" s="228">
        <f>IFERROR(((Data!BC53-Data!BC52)/Data!BC52),0)</f>
        <v>6.235305268012032E-2</v>
      </c>
      <c r="BD53" s="228">
        <f>IFERROR(((Data!BD53-Data!BD52)/Data!BD52),0)</f>
        <v>0</v>
      </c>
      <c r="BE53" s="228">
        <f>IFERROR(((Data!BE53-Data!BE52)/Data!BE52),0)</f>
        <v>0</v>
      </c>
      <c r="BF53" s="229">
        <f>IFERROR(((Data!BF53-Data!BF52)/Data!BF52),0)</f>
        <v>2.6533313162229292E-2</v>
      </c>
      <c r="BG53" s="229">
        <f>IFERROR(((Data!BG53-Data!BG52)/Data!BG52),0)</f>
        <v>-0.12635687321626365</v>
      </c>
      <c r="BH53" s="229">
        <f>IFERROR(((Data!BH53-Data!BH52)/Data!BH52),0)</f>
        <v>-9.9574643429286985E-2</v>
      </c>
      <c r="BI53" s="229">
        <f>IFERROR(((Data!BI53-Data!BI52)/Data!BI52),0)</f>
        <v>-6.5748605065590812E-2</v>
      </c>
      <c r="BJ53" s="229">
        <f>IFERROR(((Data!BJ53-Data!BJ52)/Data!BJ52),0)</f>
        <v>-0.14986097966586193</v>
      </c>
    </row>
    <row r="54" spans="2:62">
      <c r="B54" s="214">
        <v>44835</v>
      </c>
      <c r="C54" s="230">
        <f>IFERROR(((Data!C54-Data!C53)/Data!C53),0)</f>
        <v>6.3396898667687884E-2</v>
      </c>
      <c r="D54" s="230">
        <f>IFERROR(((Data!D54-Data!D53)/Data!D53),0)</f>
        <v>2.0143391839979194E-2</v>
      </c>
      <c r="E54" s="231">
        <f>IFERROR(((Data!E54-Data!E53)/Data!E53),0)</f>
        <v>7.9229451307058135E-2</v>
      </c>
      <c r="F54" s="231">
        <f>IFERROR(((Data!F54-Data!F53)/Data!F53),0)</f>
        <v>-2.1678663062682318E-2</v>
      </c>
      <c r="G54" s="231">
        <f>IFERROR(((Data!G54-Data!G53)/Data!G53),0)</f>
        <v>0.10077723697060945</v>
      </c>
      <c r="H54" s="232">
        <f>IFERROR(((Data!H54-Data!H53)/Data!H53),0)</f>
        <v>4.5487009574561317E-2</v>
      </c>
      <c r="I54" s="232">
        <f>IFERROR(((Data!I54-Data!I53)/Data!I53),0)</f>
        <v>5.3013008687359975E-2</v>
      </c>
      <c r="J54" s="232">
        <f>IFERROR(((Data!J54-Data!J53)/Data!J53),0)</f>
        <v>0.23567924098485543</v>
      </c>
      <c r="K54" s="232">
        <f>IFERROR(((Data!K54-Data!K53)/Data!K53),0)</f>
        <v>0.12537613341529122</v>
      </c>
      <c r="L54" s="232">
        <f>IFERROR(((Data!L54-Data!L53)/Data!L53),0)</f>
        <v>6.8351498059724167E-2</v>
      </c>
      <c r="M54" s="233">
        <f>IFERROR(((Data!M54-Data!M53)/Data!M53),0)</f>
        <v>7.1944395116237E-2</v>
      </c>
      <c r="N54" s="233">
        <f>IFERROR(((Data!N54-Data!N53)/Data!N53),0)</f>
        <v>2.2603081057318102E-2</v>
      </c>
      <c r="O54" s="233">
        <f>IFERROR(((Data!O54-Data!O53)/Data!O53),0)</f>
        <v>5.3956127922527145E-2</v>
      </c>
      <c r="P54" s="233">
        <f>IFERROR(((Data!P54-Data!P53)/Data!P53),0)</f>
        <v>-0.1075649196887859</v>
      </c>
      <c r="Q54" s="233">
        <f>IFERROR(((Data!Q54-Data!Q53)/Data!Q53),0)</f>
        <v>5.7907606987237896E-2</v>
      </c>
      <c r="R54" s="234">
        <f>IFERROR(((Data!R54-Data!R53)/Data!R53),0)</f>
        <v>9.4928852485816353E-2</v>
      </c>
      <c r="S54" s="234">
        <f>IFERROR(((Data!S54-Data!S53)/Data!S53),0)</f>
        <v>7.1359025258268455E-2</v>
      </c>
      <c r="T54" s="234">
        <f>IFERROR(((Data!T54-Data!T53)/Data!T53),0)</f>
        <v>8.0740093171099717E-2</v>
      </c>
      <c r="U54" s="234">
        <f>IFERROR(((Data!U54-Data!U53)/Data!U53),0)</f>
        <v>4.0418146341463422E-2</v>
      </c>
      <c r="V54" s="235">
        <f>IFERROR(((Data!V54-Data!V53)/Data!V53),0)</f>
        <v>0</v>
      </c>
      <c r="W54" s="236">
        <f>IFERROR(((Data!W54-Data!W53)/Data!W53),0)</f>
        <v>-6.9842597123899758E-2</v>
      </c>
      <c r="X54" s="236">
        <f>IFERROR(((Data!X54-Data!X53)/Data!X53),0)</f>
        <v>4.3879892311086674E-2</v>
      </c>
      <c r="Y54" s="236">
        <f>IFERROR(((Data!Y54-Data!Y53)/Data!Y53),0)</f>
        <v>0.19327726096164752</v>
      </c>
      <c r="Z54" s="236">
        <f>IFERROR(((Data!Z54-Data!Z53)/Data!Z53),0)</f>
        <v>-2.212887902354127E-2</v>
      </c>
      <c r="AA54" s="236">
        <f>IFERROR(((Data!AA54-Data!AA53)/Data!AA53),0)</f>
        <v>-1.8292682926829097E-2</v>
      </c>
      <c r="AB54" s="237">
        <f>IFERROR(((Data!AB54-Data!AB53)/Data!AB53),0)</f>
        <v>8.1176794613156203E-2</v>
      </c>
      <c r="AC54" s="237">
        <f>IFERROR(((Data!AC54-Data!AC53)/Data!AC53),0)</f>
        <v>3.3650122889685739E-2</v>
      </c>
      <c r="AD54" s="237">
        <f>IFERROR(((Data!AD54-Data!AD53)/Data!AD53),0)</f>
        <v>7.3516082867683963E-2</v>
      </c>
      <c r="AE54" s="237">
        <f>IFERROR(((Data!AE54-Data!AE53)/Data!AE53),0)</f>
        <v>3.7771576246051737E-3</v>
      </c>
      <c r="AF54" s="237">
        <f>IFERROR(((Data!AF54-Data!AF53)/Data!AF53),0)</f>
        <v>-2.353155731120988E-3</v>
      </c>
      <c r="AG54" s="238">
        <f>IFERROR(((Data!AG54-Data!AG53)/Data!AG53),0)</f>
        <v>6.2771295393118459E-2</v>
      </c>
      <c r="AH54" s="238">
        <f>IFERROR(((Data!AH54-Data!AH53)/Data!AH53),0)</f>
        <v>8.7870179697901868E-2</v>
      </c>
      <c r="AI54" s="238">
        <f>IFERROR(((Data!AI54-Data!AI53)/Data!AI53),0)</f>
        <v>-0.18238877059614203</v>
      </c>
      <c r="AJ54" s="238">
        <f>IFERROR(((Data!AJ54-Data!AJ53)/Data!AJ53),0)</f>
        <v>-2.374364290549873E-2</v>
      </c>
      <c r="AK54" s="238">
        <f>IFERROR(((Data!AK54-Data!AK53)/Data!AK53),0)</f>
        <v>9.8936488069515438E-2</v>
      </c>
      <c r="AL54" s="239">
        <f>IFERROR(((Data!AL54-Data!AL53)/Data!AL53),0)</f>
        <v>2.7725772780630403E-2</v>
      </c>
      <c r="AM54" s="239">
        <f>IFERROR(((Data!AM54-Data!AM53)/Data!AM53),0)</f>
        <v>2.7512916374618609E-2</v>
      </c>
      <c r="AN54" s="239">
        <f>IFERROR(((Data!AN54-Data!AN53)/Data!AN53),0)</f>
        <v>0</v>
      </c>
      <c r="AO54" s="239">
        <f>IFERROR(((Data!AO54-Data!AO53)/Data!AO53),0)</f>
        <v>1.5233971951819568E-2</v>
      </c>
      <c r="AP54" s="239">
        <f>IFERROR(((Data!AP54-Data!AP53)/Data!AP53),0)</f>
        <v>-6.9658825686031555E-3</v>
      </c>
      <c r="AQ54" s="240">
        <f>IFERROR(((Data!AQ54-Data!AQ53)/Data!AQ53),0)</f>
        <v>6.3309211794521335E-3</v>
      </c>
      <c r="AR54" s="240">
        <f>IFERROR(((Data!AR54-Data!AR53)/Data!AR53),0)</f>
        <v>3.4970581358837793E-2</v>
      </c>
      <c r="AS54" s="240">
        <f>IFERROR(((Data!AS54-Data!AS53)/Data!AS53),0)</f>
        <v>3.3677639162117329E-2</v>
      </c>
      <c r="AT54" s="240">
        <f>IFERROR(((Data!AT54-Data!AT53)/Data!AT53),0)</f>
        <v>2.0014318227919322E-2</v>
      </c>
      <c r="AU54" s="241">
        <f>IFERROR(((Data!AU54-Data!AU53)/Data!AU53),0)</f>
        <v>-2.9377913731178141E-2</v>
      </c>
      <c r="AV54" s="227">
        <f>IFERROR(((Data!AV54-Data!AV53)/Data!AV53),0)</f>
        <v>-5.4052546549318299E-2</v>
      </c>
      <c r="AW54" s="227">
        <f>IFERROR(((Data!AW54-Data!AW53)/Data!AW53),0)</f>
        <v>6.3651779215223123E-2</v>
      </c>
      <c r="AX54" s="227">
        <f>IFERROR(((Data!AX54-Data!AX53)/Data!AX53),0)</f>
        <v>4.6447968233043584E-3</v>
      </c>
      <c r="AY54" s="227">
        <f>IFERROR(((Data!AY54-Data!AY53)/Data!AY53),0)</f>
        <v>5.4840101327619642E-2</v>
      </c>
      <c r="AZ54" s="227">
        <f>IFERROR(((Data!AZ54-Data!AZ53)/Data!AZ53),0)</f>
        <v>2.1794795091519024E-2</v>
      </c>
      <c r="BA54" s="228">
        <f>IFERROR(((Data!BA54-Data!BA53)/Data!BA53),0)</f>
        <v>5.8444761905174655E-2</v>
      </c>
      <c r="BB54" s="228">
        <f>IFERROR(((Data!BB54-Data!BB53)/Data!BB53),0)</f>
        <v>-1.6780616353922671E-2</v>
      </c>
      <c r="BC54" s="228">
        <f>IFERROR(((Data!BC54-Data!BC53)/Data!BC53),0)</f>
        <v>0.18179000235936163</v>
      </c>
      <c r="BD54" s="228">
        <f>IFERROR(((Data!BD54-Data!BD53)/Data!BD53),0)</f>
        <v>-2.6399757913546845E-2</v>
      </c>
      <c r="BE54" s="228">
        <f>IFERROR(((Data!BE54-Data!BE53)/Data!BE53),0)</f>
        <v>0</v>
      </c>
      <c r="BF54" s="229">
        <f>IFERROR(((Data!BF54-Data!BF53)/Data!BF53),0)</f>
        <v>-2.0578619249550789E-2</v>
      </c>
      <c r="BG54" s="229">
        <f>IFERROR(((Data!BG54-Data!BG53)/Data!BG53),0)</f>
        <v>8.6526407194233435E-2</v>
      </c>
      <c r="BH54" s="229">
        <f>IFERROR(((Data!BH54-Data!BH53)/Data!BH53),0)</f>
        <v>-4.1899902099892111E-2</v>
      </c>
      <c r="BI54" s="229">
        <f>IFERROR(((Data!BI54-Data!BI53)/Data!BI53),0)</f>
        <v>7.7508352051681925E-2</v>
      </c>
      <c r="BJ54" s="229">
        <f>IFERROR(((Data!BJ54-Data!BJ53)/Data!BJ53),0)</f>
        <v>-0.15517437271471421</v>
      </c>
    </row>
    <row r="55" spans="2:62">
      <c r="B55" s="214">
        <v>44866</v>
      </c>
      <c r="C55" s="230">
        <f>IFERROR(((Data!C55-Data!C54)/Data!C54),0)</f>
        <v>-3.1884862305423887E-2</v>
      </c>
      <c r="D55" s="230">
        <f>IFERROR(((Data!D55-Data!D54)/Data!D54),0)</f>
        <v>6.4566859324205916E-2</v>
      </c>
      <c r="E55" s="231">
        <f>IFERROR(((Data!E55-Data!E54)/Data!E54),0)</f>
        <v>-5.8089101561611296E-2</v>
      </c>
      <c r="F55" s="231">
        <f>IFERROR(((Data!F55-Data!F54)/Data!F54),0)</f>
        <v>-5.0454585390515769E-2</v>
      </c>
      <c r="G55" s="231">
        <f>IFERROR(((Data!G55-Data!G54)/Data!G54),0)</f>
        <v>0.1467420490313768</v>
      </c>
      <c r="H55" s="232">
        <f>IFERROR(((Data!H55-Data!H54)/Data!H54),0)</f>
        <v>2.3712555545293491E-2</v>
      </c>
      <c r="I55" s="232">
        <f>IFERROR(((Data!I55-Data!I54)/Data!I54),0)</f>
        <v>7.466420622238791E-2</v>
      </c>
      <c r="J55" s="232">
        <f>IFERROR(((Data!J55-Data!J54)/Data!J54),0)</f>
        <v>-5.2428785820474244E-3</v>
      </c>
      <c r="K55" s="232">
        <f>IFERROR(((Data!K55-Data!K54)/Data!K54),0)</f>
        <v>4.4563281446106294E-2</v>
      </c>
      <c r="L55" s="232">
        <f>IFERROR(((Data!L55-Data!L54)/Data!L54),0)</f>
        <v>1.5053725660384829E-2</v>
      </c>
      <c r="M55" s="233">
        <f>IFERROR(((Data!M55-Data!M54)/Data!M54),0)</f>
        <v>2.8665505201367729E-2</v>
      </c>
      <c r="N55" s="233">
        <f>IFERROR(((Data!N55-Data!N54)/Data!N54),0)</f>
        <v>1.20553710074408E-2</v>
      </c>
      <c r="O55" s="233">
        <f>IFERROR(((Data!O55-Data!O54)/Data!O54),0)</f>
        <v>-0.13156185203682513</v>
      </c>
      <c r="P55" s="233">
        <f>IFERROR(((Data!P55-Data!P54)/Data!P54),0)</f>
        <v>0.16693861930053541</v>
      </c>
      <c r="Q55" s="233">
        <f>IFERROR(((Data!Q55-Data!Q54)/Data!Q54),0)</f>
        <v>-8.7580004989562723E-3</v>
      </c>
      <c r="R55" s="234">
        <f>IFERROR(((Data!R55-Data!R54)/Data!R54),0)</f>
        <v>2.5579607835345294E-2</v>
      </c>
      <c r="S55" s="234">
        <f>IFERROR(((Data!S55-Data!S54)/Data!S54),0)</f>
        <v>-4.8982839796406904E-3</v>
      </c>
      <c r="T55" s="234">
        <f>IFERROR(((Data!T55-Data!T54)/Data!T54),0)</f>
        <v>4.4487640060511147E-2</v>
      </c>
      <c r="U55" s="234">
        <f>IFERROR(((Data!U55-Data!U54)/Data!U54),0)</f>
        <v>0.10850633332869836</v>
      </c>
      <c r="V55" s="235">
        <f>IFERROR(((Data!V55-Data!V54)/Data!V54),0)</f>
        <v>0</v>
      </c>
      <c r="W55" s="236">
        <f>IFERROR(((Data!W55-Data!W54)/Data!W54),0)</f>
        <v>6.4673064024898547E-3</v>
      </c>
      <c r="X55" s="236">
        <f>IFERROR(((Data!X55-Data!X54)/Data!X54),0)</f>
        <v>-5.3096974337211878E-3</v>
      </c>
      <c r="Y55" s="236">
        <f>IFERROR(((Data!Y55-Data!Y54)/Data!Y54),0)</f>
        <v>-1.291080853447177E-2</v>
      </c>
      <c r="Z55" s="236">
        <f>IFERROR(((Data!Z55-Data!Z54)/Data!Z54),0)</f>
        <v>5.0746268656716415E-2</v>
      </c>
      <c r="AA55" s="236">
        <f>IFERROR(((Data!AA55-Data!AA54)/Data!AA54),0)</f>
        <v>-3.1056521739131512E-3</v>
      </c>
      <c r="AB55" s="237">
        <f>IFERROR(((Data!AB55-Data!AB54)/Data!AB54),0)</f>
        <v>5.0097851233036055E-2</v>
      </c>
      <c r="AC55" s="237">
        <f>IFERROR(((Data!AC55-Data!AC54)/Data!AC54),0)</f>
        <v>7.0925969586569118E-2</v>
      </c>
      <c r="AD55" s="237">
        <f>IFERROR(((Data!AD55-Data!AD54)/Data!AD54),0)</f>
        <v>5.391693334986828E-2</v>
      </c>
      <c r="AE55" s="237">
        <f>IFERROR(((Data!AE55-Data!AE54)/Data!AE54),0)</f>
        <v>3.7628785391472888E-3</v>
      </c>
      <c r="AF55" s="237">
        <f>IFERROR(((Data!AF55-Data!AF54)/Data!AF54),0)</f>
        <v>-2.1194530410015833E-2</v>
      </c>
      <c r="AG55" s="238">
        <f>IFERROR(((Data!AG55-Data!AG54)/Data!AG54),0)</f>
        <v>6.4646506327227168E-2</v>
      </c>
      <c r="AH55" s="238">
        <f>IFERROR(((Data!AH55-Data!AH54)/Data!AH54),0)</f>
        <v>7.4898434483327628E-2</v>
      </c>
      <c r="AI55" s="238">
        <f>IFERROR(((Data!AI55-Data!AI54)/Data!AI54),0)</f>
        <v>2.0583769639309327E-3</v>
      </c>
      <c r="AJ55" s="238">
        <f>IFERROR(((Data!AJ55-Data!AJ54)/Data!AJ54),0)</f>
        <v>-2.349671720340429E-2</v>
      </c>
      <c r="AK55" s="238">
        <f>IFERROR(((Data!AK55-Data!AK54)/Data!AK54),0)</f>
        <v>-4.7625066307781419E-2</v>
      </c>
      <c r="AL55" s="239">
        <f>IFERROR(((Data!AL55-Data!AL54)/Data!AL54),0)</f>
        <v>8.1920133423350437E-3</v>
      </c>
      <c r="AM55" s="239">
        <f>IFERROR(((Data!AM55-Data!AM54)/Data!AM54),0)</f>
        <v>-5.9385980997870992E-2</v>
      </c>
      <c r="AN55" s="239">
        <f>IFERROR(((Data!AN55-Data!AN54)/Data!AN54),0)</f>
        <v>0</v>
      </c>
      <c r="AO55" s="239">
        <f>IFERROR(((Data!AO55-Data!AO54)/Data!AO54),0)</f>
        <v>-0.10864468298979733</v>
      </c>
      <c r="AP55" s="239">
        <f>IFERROR(((Data!AP55-Data!AP54)/Data!AP54),0)</f>
        <v>6.079502538441079E-2</v>
      </c>
      <c r="AQ55" s="240">
        <f>IFERROR(((Data!AQ55-Data!AQ54)/Data!AQ54),0)</f>
        <v>-3.6398982359308642E-2</v>
      </c>
      <c r="AR55" s="240">
        <f>IFERROR(((Data!AR55-Data!AR54)/Data!AR54),0)</f>
        <v>-7.7121483354731721E-2</v>
      </c>
      <c r="AS55" s="240">
        <f>IFERROR(((Data!AS55-Data!AS54)/Data!AS54),0)</f>
        <v>1.9575616700889781E-2</v>
      </c>
      <c r="AT55" s="240">
        <f>IFERROR(((Data!AT55-Data!AT54)/Data!AT54),0)</f>
        <v>1.6818563773340595E-2</v>
      </c>
      <c r="AU55" s="241">
        <f>IFERROR(((Data!AU55-Data!AU54)/Data!AU54),0)</f>
        <v>0.19762613649851632</v>
      </c>
      <c r="AV55" s="227">
        <f>IFERROR(((Data!AV55-Data!AV54)/Data!AV54),0)</f>
        <v>5.2397517333610401E-2</v>
      </c>
      <c r="AW55" s="227">
        <f>IFERROR(((Data!AW55-Data!AW54)/Data!AW54),0)</f>
        <v>-2.9181383933561279E-3</v>
      </c>
      <c r="AX55" s="227">
        <f>IFERROR(((Data!AX55-Data!AX54)/Data!AX54),0)</f>
        <v>0.19131581671714964</v>
      </c>
      <c r="AY55" s="227">
        <f>IFERROR(((Data!AY55-Data!AY54)/Data!AY54),0)</f>
        <v>0.14152673265798077</v>
      </c>
      <c r="AZ55" s="227">
        <f>IFERROR(((Data!AZ55-Data!AZ54)/Data!AZ54),0)</f>
        <v>3.6700186081450495E-2</v>
      </c>
      <c r="BA55" s="228">
        <f>IFERROR(((Data!BA55-Data!BA54)/Data!BA54),0)</f>
        <v>-1.6378126548587078E-2</v>
      </c>
      <c r="BB55" s="228">
        <f>IFERROR(((Data!BB55-Data!BB54)/Data!BB54),0)</f>
        <v>6.0579126377983357E-2</v>
      </c>
      <c r="BC55" s="228">
        <f>IFERROR(((Data!BC55-Data!BC54)/Data!BC54),0)</f>
        <v>7.6407921492916524E-3</v>
      </c>
      <c r="BD55" s="228">
        <f>IFERROR(((Data!BD55-Data!BD54)/Data!BD54),0)</f>
        <v>2.4203799818016351E-2</v>
      </c>
      <c r="BE55" s="228">
        <f>IFERROR(((Data!BE55-Data!BE54)/Data!BE54),0)</f>
        <v>0</v>
      </c>
      <c r="BF55" s="229">
        <f>IFERROR(((Data!BF55-Data!BF54)/Data!BF54),0)</f>
        <v>-3.9585800398559016E-2</v>
      </c>
      <c r="BG55" s="229">
        <f>IFERROR(((Data!BG55-Data!BG54)/Data!BG54),0)</f>
        <v>8.1484518109820409E-2</v>
      </c>
      <c r="BH55" s="229">
        <f>IFERROR(((Data!BH55-Data!BH54)/Data!BH54),0)</f>
        <v>-1.0323952546709585E-2</v>
      </c>
      <c r="BI55" s="229">
        <f>IFERROR(((Data!BI55-Data!BI54)/Data!BI54),0)</f>
        <v>7.3256810884424511E-2</v>
      </c>
      <c r="BJ55" s="229">
        <f>IFERROR(((Data!BJ55-Data!BJ54)/Data!BJ54),0)</f>
        <v>0.10192368844820685</v>
      </c>
    </row>
    <row r="56" spans="2:62">
      <c r="B56" s="214">
        <v>44896</v>
      </c>
      <c r="C56" s="230">
        <f>IFERROR(((Data!C56-Data!C55)/Data!C55),0)</f>
        <v>-4.3198511579919531E-2</v>
      </c>
      <c r="D56" s="230">
        <f>IFERROR(((Data!D56-Data!D55)/Data!D55),0)</f>
        <v>-0.1170913947559778</v>
      </c>
      <c r="E56" s="231">
        <f>IFERROR(((Data!E56-Data!E55)/Data!E55),0)</f>
        <v>-6.4579983570950544E-2</v>
      </c>
      <c r="F56" s="231">
        <f>IFERROR(((Data!F56-Data!F55)/Data!F55),0)</f>
        <v>0.18346105718636521</v>
      </c>
      <c r="G56" s="231">
        <f>IFERROR(((Data!G56-Data!G55)/Data!G55),0)</f>
        <v>-0.11165232436287909</v>
      </c>
      <c r="H56" s="232">
        <f>IFERROR(((Data!H56-Data!H55)/Data!H55),0)</f>
        <v>-6.1528968451751931E-2</v>
      </c>
      <c r="I56" s="232">
        <f>IFERROR(((Data!I56-Data!I55)/Data!I55),0)</f>
        <v>1.2247919532661551E-2</v>
      </c>
      <c r="J56" s="232">
        <f>IFERROR(((Data!J56-Data!J55)/Data!J55),0)</f>
        <v>3.6061042175757584E-2</v>
      </c>
      <c r="K56" s="232">
        <f>IFERROR(((Data!K56-Data!K55)/Data!K55),0)</f>
        <v>3.4129864646070518E-3</v>
      </c>
      <c r="L56" s="232">
        <f>IFERROR(((Data!L56-Data!L55)/Data!L55),0)</f>
        <v>-4.4491575524469355E-2</v>
      </c>
      <c r="M56" s="233">
        <f>IFERROR(((Data!M56-Data!M55)/Data!M55),0)</f>
        <v>-4.2684391105079947E-2</v>
      </c>
      <c r="N56" s="233">
        <f>IFERROR(((Data!N56-Data!N55)/Data!N55),0)</f>
        <v>-5.5625585036247753E-2</v>
      </c>
      <c r="O56" s="233">
        <f>IFERROR(((Data!O56-Data!O55)/Data!O55),0)</f>
        <v>-6.2158997674016371E-2</v>
      </c>
      <c r="P56" s="233">
        <f>IFERROR(((Data!P56-Data!P55)/Data!P55),0)</f>
        <v>6.4644482332221337E-2</v>
      </c>
      <c r="Q56" s="233">
        <f>IFERROR(((Data!Q56-Data!Q55)/Data!Q55),0)</f>
        <v>-0.22542644077772173</v>
      </c>
      <c r="R56" s="234">
        <f>IFERROR(((Data!R56-Data!R55)/Data!R55),0)</f>
        <v>5.2774015633547944E-3</v>
      </c>
      <c r="S56" s="234">
        <f>IFERROR(((Data!S56-Data!S55)/Data!S55),0)</f>
        <v>0.10712472270932372</v>
      </c>
      <c r="T56" s="234">
        <f>IFERROR(((Data!T56-Data!T55)/Data!T55),0)</f>
        <v>-6.8670049486518267E-2</v>
      </c>
      <c r="U56" s="234">
        <f>IFERROR(((Data!U56-Data!U55)/Data!U55),0)</f>
        <v>1.3897305135951669E-2</v>
      </c>
      <c r="V56" s="235">
        <f>IFERROR(((Data!V56-Data!V55)/Data!V55),0)</f>
        <v>0</v>
      </c>
      <c r="W56" s="236">
        <f>IFERROR(((Data!W56-Data!W55)/Data!W55),0)</f>
        <v>-8.726669076305224E-2</v>
      </c>
      <c r="X56" s="236">
        <f>IFERROR(((Data!X56-Data!X55)/Data!X55),0)</f>
        <v>-7.6067617030476431E-2</v>
      </c>
      <c r="Y56" s="236">
        <f>IFERROR(((Data!Y56-Data!Y55)/Data!Y55),0)</f>
        <v>-5.4696753641105489E-2</v>
      </c>
      <c r="Z56" s="236">
        <f>IFERROR(((Data!Z56-Data!Z55)/Data!Z55),0)</f>
        <v>-6.3068215909090952E-2</v>
      </c>
      <c r="AA56" s="236">
        <f>IFERROR(((Data!AA56-Data!AA55)/Data!AA55),0)</f>
        <v>-0.10591894740928022</v>
      </c>
      <c r="AB56" s="237">
        <f>IFERROR(((Data!AB56-Data!AB55)/Data!AB55),0)</f>
        <v>-2.471970383235015E-2</v>
      </c>
      <c r="AC56" s="237">
        <f>IFERROR(((Data!AC56-Data!AC55)/Data!AC55),0)</f>
        <v>-8.1734571063192887E-2</v>
      </c>
      <c r="AD56" s="237">
        <f>IFERROR(((Data!AD56-Data!AD55)/Data!AD55),0)</f>
        <v>-1.6666695515359133E-2</v>
      </c>
      <c r="AE56" s="237">
        <f>IFERROR(((Data!AE56-Data!AE55)/Data!AE55),0)</f>
        <v>5.3889411074678852E-2</v>
      </c>
      <c r="AF56" s="237">
        <f>IFERROR(((Data!AF56-Data!AF55)/Data!AF55),0)</f>
        <v>-4.2182331948199423E-3</v>
      </c>
      <c r="AG56" s="238">
        <f>IFERROR(((Data!AG56-Data!AG55)/Data!AG55),0)</f>
        <v>-3.9548284780200053E-2</v>
      </c>
      <c r="AH56" s="238">
        <f>IFERROR(((Data!AH56-Data!AH55)/Data!AH55),0)</f>
        <v>-7.752536866667023E-2</v>
      </c>
      <c r="AI56" s="238">
        <f>IFERROR(((Data!AI56-Data!AI55)/Data!AI55),0)</f>
        <v>-0.10332728990488363</v>
      </c>
      <c r="AJ56" s="238">
        <f>IFERROR(((Data!AJ56-Data!AJ55)/Data!AJ55),0)</f>
        <v>-6.8115772970529967E-2</v>
      </c>
      <c r="AK56" s="238">
        <f>IFERROR(((Data!AK56-Data!AK55)/Data!AK55),0)</f>
        <v>-7.3539240854470136E-3</v>
      </c>
      <c r="AL56" s="239">
        <f>IFERROR(((Data!AL56-Data!AL55)/Data!AL55),0)</f>
        <v>-9.2781566301249452E-2</v>
      </c>
      <c r="AM56" s="239">
        <f>IFERROR(((Data!AM56-Data!AM55)/Data!AM55),0)</f>
        <v>-2.7240980611465942E-3</v>
      </c>
      <c r="AN56" s="239">
        <f>IFERROR(((Data!AN56-Data!AN55)/Data!AN55),0)</f>
        <v>0</v>
      </c>
      <c r="AO56" s="239">
        <f>IFERROR(((Data!AO56-Data!AO55)/Data!AO55),0)</f>
        <v>-7.2888884195249125E-3</v>
      </c>
      <c r="AP56" s="239">
        <f>IFERROR(((Data!AP56-Data!AP55)/Data!AP55),0)</f>
        <v>-2.865547265295498E-2</v>
      </c>
      <c r="AQ56" s="240">
        <f>IFERROR(((Data!AQ56-Data!AQ55)/Data!AQ55),0)</f>
        <v>-9.3269211538780459E-3</v>
      </c>
      <c r="AR56" s="240">
        <f>IFERROR(((Data!AR56-Data!AR55)/Data!AR55),0)</f>
        <v>-8.9434871503204592E-3</v>
      </c>
      <c r="AS56" s="240">
        <f>IFERROR(((Data!AS56-Data!AS55)/Data!AS55),0)</f>
        <v>-6.672934049510218E-2</v>
      </c>
      <c r="AT56" s="240">
        <f>IFERROR(((Data!AT56-Data!AT55)/Data!AT55),0)</f>
        <v>-7.1157901950741578E-2</v>
      </c>
      <c r="AU56" s="241">
        <f>IFERROR(((Data!AU56-Data!AU55)/Data!AU55),0)</f>
        <v>-0.15113973932329555</v>
      </c>
      <c r="AV56" s="227">
        <f>IFERROR(((Data!AV56-Data!AV55)/Data!AV55),0)</f>
        <v>-3.9531671610393657E-2</v>
      </c>
      <c r="AW56" s="227">
        <f>IFERROR(((Data!AW56-Data!AW55)/Data!AW55),0)</f>
        <v>-2.8629306946851001E-2</v>
      </c>
      <c r="AX56" s="227">
        <f>IFERROR(((Data!AX56-Data!AX55)/Data!AX55),0)</f>
        <v>5.8251714499364948E-2</v>
      </c>
      <c r="AY56" s="227">
        <f>IFERROR(((Data!AY56-Data!AY55)/Data!AY55),0)</f>
        <v>-3.5504969747158423E-2</v>
      </c>
      <c r="AZ56" s="227">
        <f>IFERROR(((Data!AZ56-Data!AZ55)/Data!AZ55),0)</f>
        <v>6.3540269794571105E-3</v>
      </c>
      <c r="BA56" s="228">
        <f>IFERROR(((Data!BA56-Data!BA55)/Data!BA55),0)</f>
        <v>-4.9476669835888533E-2</v>
      </c>
      <c r="BB56" s="228">
        <f>IFERROR(((Data!BB56-Data!BB55)/Data!BB55),0)</f>
        <v>-3.2734084365345414E-4</v>
      </c>
      <c r="BC56" s="228">
        <f>IFERROR(((Data!BC56-Data!BC55)/Data!BC55),0)</f>
        <v>-0.1855554335546504</v>
      </c>
      <c r="BD56" s="228">
        <f>IFERROR(((Data!BD56-Data!BD55)/Data!BD55),0)</f>
        <v>-1.9544705462928506E-3</v>
      </c>
      <c r="BE56" s="228">
        <f>IFERROR(((Data!BE56-Data!BE55)/Data!BE55),0)</f>
        <v>0</v>
      </c>
      <c r="BF56" s="229">
        <f>IFERROR(((Data!BF56-Data!BF55)/Data!BF55),0)</f>
        <v>3.1917097457213585E-2</v>
      </c>
      <c r="BG56" s="229">
        <f>IFERROR(((Data!BG56-Data!BG55)/Data!BG55),0)</f>
        <v>-9.3136606176210987E-2</v>
      </c>
      <c r="BH56" s="229">
        <f>IFERROR(((Data!BH56-Data!BH55)/Data!BH55),0)</f>
        <v>8.9739760598403051E-2</v>
      </c>
      <c r="BI56" s="229">
        <f>IFERROR(((Data!BI56-Data!BI55)/Data!BI55),0)</f>
        <v>-3.4950291836893317E-3</v>
      </c>
      <c r="BJ56" s="229">
        <f>IFERROR(((Data!BJ56-Data!BJ55)/Data!BJ55),0)</f>
        <v>0.24851494372917285</v>
      </c>
    </row>
    <row r="57" spans="2:62">
      <c r="B57" s="214">
        <v>44927</v>
      </c>
      <c r="C57" s="230">
        <f>IFERROR(((Data!C57-Data!C56)/Data!C56),0)</f>
        <v>0.10370641089174054</v>
      </c>
      <c r="D57" s="230">
        <f>IFERROR(((Data!D57-Data!D56)/Data!D56),0)</f>
        <v>0.16535626934152434</v>
      </c>
      <c r="E57" s="231">
        <f>IFERROR(((Data!E57-Data!E56)/Data!E56),0)</f>
        <v>5.9645504462101866E-2</v>
      </c>
      <c r="F57" s="231">
        <f>IFERROR(((Data!F57-Data!F56)/Data!F56),0)</f>
        <v>-7.9987902509962933E-2</v>
      </c>
      <c r="G57" s="231">
        <f>IFERROR(((Data!G57-Data!G56)/Data!G56),0)</f>
        <v>4.502166233766236E-2</v>
      </c>
      <c r="H57" s="232">
        <f>IFERROR(((Data!H57-Data!H56)/Data!H56),0)</f>
        <v>-5.2674830407361838E-2</v>
      </c>
      <c r="I57" s="232">
        <f>IFERROR(((Data!I57-Data!I56)/Data!I56),0)</f>
        <v>-1.5139934606601329E-2</v>
      </c>
      <c r="J57" s="232">
        <f>IFERROR(((Data!J57-Data!J56)/Data!J56),0)</f>
        <v>-6.6559569716523395E-2</v>
      </c>
      <c r="K57" s="232">
        <f>IFERROR(((Data!K57-Data!K56)/Data!K56),0)</f>
        <v>-1.0204047792585836E-2</v>
      </c>
      <c r="L57" s="232">
        <f>IFERROR(((Data!L57-Data!L56)/Data!L56),0)</f>
        <v>-0.12084245475749031</v>
      </c>
      <c r="M57" s="233">
        <f>IFERROR(((Data!M57-Data!M56)/Data!M56),0)</f>
        <v>3.3053670654255872E-2</v>
      </c>
      <c r="N57" s="233">
        <f>IFERROR(((Data!N57-Data!N56)/Data!N56),0)</f>
        <v>2.0436384908528327E-2</v>
      </c>
      <c r="O57" s="233">
        <f>IFERROR(((Data!O57-Data!O56)/Data!O56),0)</f>
        <v>-6.8788488248414006E-2</v>
      </c>
      <c r="P57" s="233">
        <f>IFERROR(((Data!P57-Data!P56)/Data!P56),0)</f>
        <v>-3.7381410839136273E-3</v>
      </c>
      <c r="Q57" s="233">
        <f>IFERROR(((Data!Q57-Data!Q56)/Data!Q56),0)</f>
        <v>0.11501897119735791</v>
      </c>
      <c r="R57" s="234">
        <f>IFERROR(((Data!R57-Data!R56)/Data!R56),0)</f>
        <v>1.8505984252472716E-2</v>
      </c>
      <c r="S57" s="234">
        <f>IFERROR(((Data!S57-Data!S56)/Data!S56),0)</f>
        <v>-6.2795069447753288E-2</v>
      </c>
      <c r="T57" s="234">
        <f>IFERROR(((Data!T57-Data!T56)/Data!T56),0)</f>
        <v>-5.0533337037361369E-2</v>
      </c>
      <c r="U57" s="234">
        <f>IFERROR(((Data!U57-Data!U56)/Data!U56),0)</f>
        <v>7.5089330748764407E-2</v>
      </c>
      <c r="V57" s="235">
        <f>IFERROR(((Data!V57-Data!V56)/Data!V56),0)</f>
        <v>0</v>
      </c>
      <c r="W57" s="236">
        <f>IFERROR(((Data!W57-Data!W56)/Data!W56),0)</f>
        <v>-0.36644580548926153</v>
      </c>
      <c r="X57" s="236">
        <f>IFERROR(((Data!X57-Data!X56)/Data!X56),0)</f>
        <v>2.5036058769102112E-2</v>
      </c>
      <c r="Y57" s="236">
        <f>IFERROR(((Data!Y57-Data!Y56)/Data!Y56),0)</f>
        <v>0.10440254970002633</v>
      </c>
      <c r="Z57" s="236">
        <f>IFERROR(((Data!Z57-Data!Z56)/Data!Z56),0)</f>
        <v>1.0309351497004999E-2</v>
      </c>
      <c r="AA57" s="236">
        <f>IFERROR(((Data!AA57-Data!AA56)/Data!AA56),0)</f>
        <v>-0.11149825783972123</v>
      </c>
      <c r="AB57" s="237">
        <f>IFERROR(((Data!AB57-Data!AB56)/Data!AB56),0)</f>
        <v>1.6964834978736475E-2</v>
      </c>
      <c r="AC57" s="237">
        <f>IFERROR(((Data!AC57-Data!AC56)/Data!AC56),0)</f>
        <v>-0.2344972079014592</v>
      </c>
      <c r="AD57" s="237">
        <f>IFERROR(((Data!AD57-Data!AD56)/Data!AD56),0)</f>
        <v>1.8177746617419714E-2</v>
      </c>
      <c r="AE57" s="237">
        <f>IFERROR(((Data!AE57-Data!AE56)/Data!AE56),0)</f>
        <v>-3.4237430882279145E-2</v>
      </c>
      <c r="AF57" s="237">
        <f>IFERROR(((Data!AF57-Data!AF56)/Data!AF56),0)</f>
        <v>-7.850898441991469E-2</v>
      </c>
      <c r="AG57" s="238">
        <f>IFERROR(((Data!AG57-Data!AG56)/Data!AG56),0)</f>
        <v>3.1320148712638135E-2</v>
      </c>
      <c r="AH57" s="238">
        <f>IFERROR(((Data!AH57-Data!AH56)/Data!AH56),0)</f>
        <v>1.6940803776236642E-2</v>
      </c>
      <c r="AI57" s="238">
        <f>IFERROR(((Data!AI57-Data!AI56)/Data!AI56),0)</f>
        <v>5.5171114746824144E-2</v>
      </c>
      <c r="AJ57" s="238">
        <f>IFERROR(((Data!AJ57-Data!AJ56)/Data!AJ56),0)</f>
        <v>-3.9832129145343724E-2</v>
      </c>
      <c r="AK57" s="238">
        <f>IFERROR(((Data!AK57-Data!AK56)/Data!AK56),0)</f>
        <v>-5.7920903299971613E-3</v>
      </c>
      <c r="AL57" s="239">
        <f>IFERROR(((Data!AL57-Data!AL56)/Data!AL56),0)</f>
        <v>-5.5196833303101434E-2</v>
      </c>
      <c r="AM57" s="239">
        <f>IFERROR(((Data!AM57-Data!AM56)/Data!AM56),0)</f>
        <v>-5.0652450041200628E-2</v>
      </c>
      <c r="AN57" s="239">
        <f>IFERROR(((Data!AN57-Data!AN56)/Data!AN56),0)</f>
        <v>-1.3109349583103608E-2</v>
      </c>
      <c r="AO57" s="239">
        <f>IFERROR(((Data!AO57-Data!AO56)/Data!AO56),0)</f>
        <v>9.381994733179834E-3</v>
      </c>
      <c r="AP57" s="239">
        <f>IFERROR(((Data!AP57-Data!AP56)/Data!AP56),0)</f>
        <v>-6.8835085290017708E-2</v>
      </c>
      <c r="AQ57" s="240">
        <f>IFERROR(((Data!AQ57-Data!AQ56)/Data!AQ56),0)</f>
        <v>-5.5389889058164395E-2</v>
      </c>
      <c r="AR57" s="240">
        <f>IFERROR(((Data!AR57-Data!AR56)/Data!AR56),0)</f>
        <v>-8.0654337096518328E-2</v>
      </c>
      <c r="AS57" s="240">
        <f>IFERROR(((Data!AS57-Data!AS56)/Data!AS56),0)</f>
        <v>2.1867375233516072E-2</v>
      </c>
      <c r="AT57" s="240">
        <f>IFERROR(((Data!AT57-Data!AT56)/Data!AT56),0)</f>
        <v>-4.5817015580798211E-2</v>
      </c>
      <c r="AU57" s="241">
        <f>IFERROR(((Data!AU57-Data!AU56)/Data!AU56),0)</f>
        <v>-0.10683014344821616</v>
      </c>
      <c r="AV57" s="227">
        <f>IFERROR(((Data!AV57-Data!AV56)/Data!AV56),0)</f>
        <v>6.1302754539282458E-3</v>
      </c>
      <c r="AW57" s="227">
        <f>IFERROR(((Data!AW57-Data!AW56)/Data!AW56),0)</f>
        <v>-3.0003624279736327E-2</v>
      </c>
      <c r="AX57" s="227">
        <f>IFERROR(((Data!AX57-Data!AX56)/Data!AX56),0)</f>
        <v>-0.13330319247971537</v>
      </c>
      <c r="AY57" s="227">
        <f>IFERROR(((Data!AY57-Data!AY56)/Data!AY56),0)</f>
        <v>0.12497014662073228</v>
      </c>
      <c r="AZ57" s="227">
        <f>IFERROR(((Data!AZ57-Data!AZ56)/Data!AZ56),0)</f>
        <v>2.4654179134243306E-2</v>
      </c>
      <c r="BA57" s="228">
        <f>IFERROR(((Data!BA57-Data!BA56)/Data!BA56),0)</f>
        <v>-4.954951715719623E-2</v>
      </c>
      <c r="BB57" s="228">
        <f>IFERROR(((Data!BB57-Data!BB56)/Data!BB56),0)</f>
        <v>-5.9437168650005326E-2</v>
      </c>
      <c r="BC57" s="228">
        <f>IFERROR(((Data!BC57-Data!BC56)/Data!BC56),0)</f>
        <v>0.27105093843151667</v>
      </c>
      <c r="BD57" s="228">
        <f>IFERROR(((Data!BD57-Data!BD56)/Data!BD56),0)</f>
        <v>-9.0083683316709642E-2</v>
      </c>
      <c r="BE57" s="228">
        <f>IFERROR(((Data!BE57-Data!BE56)/Data!BE56),0)</f>
        <v>0</v>
      </c>
      <c r="BF57" s="229">
        <f>IFERROR(((Data!BF57-Data!BF56)/Data!BF56),0)</f>
        <v>-6.8926722272253327E-2</v>
      </c>
      <c r="BG57" s="229">
        <f>IFERROR(((Data!BG57-Data!BG56)/Data!BG56),0)</f>
        <v>5.732034630723478E-2</v>
      </c>
      <c r="BH57" s="229">
        <f>IFERROR(((Data!BH57-Data!BH56)/Data!BH56),0)</f>
        <v>-9.8766611020667569E-2</v>
      </c>
      <c r="BI57" s="229">
        <f>IFERROR(((Data!BI57-Data!BI56)/Data!BI56),0)</f>
        <v>-0.13740458602508315</v>
      </c>
      <c r="BJ57" s="229">
        <f>IFERROR(((Data!BJ57-Data!BJ56)/Data!BJ56),0)</f>
        <v>-3.8547487077895085E-2</v>
      </c>
    </row>
    <row r="58" spans="2:62">
      <c r="B58" s="214">
        <v>44958</v>
      </c>
      <c r="C58" s="230">
        <f>IFERROR(((Data!C58-Data!C57)/Data!C57),0)</f>
        <v>-7.9165927054684934E-2</v>
      </c>
      <c r="D58" s="230">
        <f>IFERROR(((Data!D58-Data!D57)/Data!D57),0)</f>
        <v>-6.9453639958310401E-2</v>
      </c>
      <c r="E58" s="231">
        <f>IFERROR(((Data!E58-Data!E57)/Data!E57),0)</f>
        <v>-3.0459887031171463E-2</v>
      </c>
      <c r="F58" s="231">
        <f>IFERROR(((Data!F58-Data!F57)/Data!F57),0)</f>
        <v>-1.2420280888260178E-2</v>
      </c>
      <c r="G58" s="231">
        <f>IFERROR(((Data!G58-Data!G57)/Data!G57),0)</f>
        <v>-0.16552747585428099</v>
      </c>
      <c r="H58" s="232">
        <f>IFERROR(((Data!H58-Data!H57)/Data!H57),0)</f>
        <v>-1.0109617594870237E-3</v>
      </c>
      <c r="I58" s="232">
        <f>IFERROR(((Data!I58-Data!I57)/Data!I57),0)</f>
        <v>-2.4322128811845611E-3</v>
      </c>
      <c r="J58" s="232">
        <f>IFERROR(((Data!J58-Data!J57)/Data!J57),0)</f>
        <v>-3.1551172947550027E-2</v>
      </c>
      <c r="K58" s="232">
        <f>IFERROR(((Data!K58-Data!K57)/Data!K57),0)</f>
        <v>-5.2405480199218549E-2</v>
      </c>
      <c r="L58" s="232">
        <f>IFERROR(((Data!L58-Data!L57)/Data!L57),0)</f>
        <v>-0.12704923448512759</v>
      </c>
      <c r="M58" s="233">
        <f>IFERROR(((Data!M58-Data!M57)/Data!M57),0)</f>
        <v>-7.5302055372515705E-2</v>
      </c>
      <c r="N58" s="233">
        <f>IFERROR(((Data!N58-Data!N57)/Data!N57),0)</f>
        <v>-1.7459601912523661E-3</v>
      </c>
      <c r="O58" s="233">
        <f>IFERROR(((Data!O58-Data!O57)/Data!O57),0)</f>
        <v>0.13377431503137482</v>
      </c>
      <c r="P58" s="233">
        <f>IFERROR(((Data!P58-Data!P57)/Data!P57),0)</f>
        <v>-2.6569265427098986E-2</v>
      </c>
      <c r="Q58" s="233">
        <f>IFERROR(((Data!Q58-Data!Q57)/Data!Q57),0)</f>
        <v>-0.15970441306685551</v>
      </c>
      <c r="R58" s="234">
        <f>IFERROR(((Data!R58-Data!R57)/Data!R57),0)</f>
        <v>-7.1784269033345538E-3</v>
      </c>
      <c r="S58" s="234">
        <f>IFERROR(((Data!S58-Data!S57)/Data!S57),0)</f>
        <v>-0.19773068787160608</v>
      </c>
      <c r="T58" s="234">
        <f>IFERROR(((Data!T58-Data!T57)/Data!T57),0)</f>
        <v>-1.2357800578556771E-2</v>
      </c>
      <c r="U58" s="234">
        <f>IFERROR(((Data!U58-Data!U57)/Data!U57),0)</f>
        <v>-1.3303736584381441E-2</v>
      </c>
      <c r="V58" s="235">
        <f>IFERROR(((Data!V58-Data!V57)/Data!V57),0)</f>
        <v>0</v>
      </c>
      <c r="W58" s="236">
        <f>IFERROR(((Data!W58-Data!W57)/Data!W57),0)</f>
        <v>-0.60348069410610616</v>
      </c>
      <c r="X58" s="236">
        <f>IFERROR(((Data!X58-Data!X57)/Data!X57),0)</f>
        <v>-4.8614316803814173E-2</v>
      </c>
      <c r="Y58" s="236">
        <f>IFERROR(((Data!Y58-Data!Y57)/Data!Y57),0)</f>
        <v>-0.10820047865585589</v>
      </c>
      <c r="Z58" s="236">
        <f>IFERROR(((Data!Z58-Data!Z57)/Data!Z57),0)</f>
        <v>-6.902760855842946E-2</v>
      </c>
      <c r="AA58" s="236">
        <f>IFERROR(((Data!AA58-Data!AA57)/Data!AA57),0)</f>
        <v>-0.2313725490196078</v>
      </c>
      <c r="AB58" s="237">
        <f>IFERROR(((Data!AB58-Data!AB57)/Data!AB57),0)</f>
        <v>0.10147530521300099</v>
      </c>
      <c r="AC58" s="237">
        <f>IFERROR(((Data!AC58-Data!AC57)/Data!AC57),0)</f>
        <v>-0.1473080928797712</v>
      </c>
      <c r="AD58" s="237">
        <f>IFERROR(((Data!AD58-Data!AD57)/Data!AD57),0)</f>
        <v>2.4804043758961059E-2</v>
      </c>
      <c r="AE58" s="237">
        <f>IFERROR(((Data!AE58-Data!AE57)/Data!AE57),0)</f>
        <v>9.6685452977632765E-3</v>
      </c>
      <c r="AF58" s="237">
        <f>IFERROR(((Data!AF58-Data!AF57)/Data!AF57),0)</f>
        <v>3.7082445223787376E-2</v>
      </c>
      <c r="AG58" s="238">
        <f>IFERROR(((Data!AG58-Data!AG57)/Data!AG57),0)</f>
        <v>6.3289914386887294E-3</v>
      </c>
      <c r="AH58" s="238">
        <f>IFERROR(((Data!AH58-Data!AH57)/Data!AH57),0)</f>
        <v>-3.0122211418610271E-2</v>
      </c>
      <c r="AI58" s="238">
        <f>IFERROR(((Data!AI58-Data!AI57)/Data!AI57),0)</f>
        <v>-7.5904268222217866E-2</v>
      </c>
      <c r="AJ58" s="238">
        <f>IFERROR(((Data!AJ58-Data!AJ57)/Data!AJ57),0)</f>
        <v>1.1759859082894826E-2</v>
      </c>
      <c r="AK58" s="238">
        <f>IFERROR(((Data!AK58-Data!AK57)/Data!AK57),0)</f>
        <v>-6.2051198332514219E-2</v>
      </c>
      <c r="AL58" s="239">
        <f>IFERROR(((Data!AL58-Data!AL57)/Data!AL57),0)</f>
        <v>-0.1375661225189666</v>
      </c>
      <c r="AM58" s="239">
        <f>IFERROR(((Data!AM58-Data!AM57)/Data!AM57),0)</f>
        <v>-7.2077833302657768E-2</v>
      </c>
      <c r="AN58" s="239">
        <f>IFERROR(((Data!AN58-Data!AN57)/Data!AN57),0)</f>
        <v>-0.10567862131025378</v>
      </c>
      <c r="AO58" s="239">
        <f>IFERROR(((Data!AO58-Data!AO57)/Data!AO57),0)</f>
        <v>-0.15417254181536941</v>
      </c>
      <c r="AP58" s="239">
        <f>IFERROR(((Data!AP58-Data!AP57)/Data!AP57),0)</f>
        <v>-5.1177856233596351E-2</v>
      </c>
      <c r="AQ58" s="240">
        <f>IFERROR(((Data!AQ58-Data!AQ57)/Data!AQ57),0)</f>
        <v>3.2392025991550402E-2</v>
      </c>
      <c r="AR58" s="240">
        <f>IFERROR(((Data!AR58-Data!AR57)/Data!AR57),0)</f>
        <v>-3.5275999460532774E-2</v>
      </c>
      <c r="AS58" s="240">
        <f>IFERROR(((Data!AS58-Data!AS57)/Data!AS57),0)</f>
        <v>3.2521521033729829E-2</v>
      </c>
      <c r="AT58" s="240">
        <f>IFERROR(((Data!AT58-Data!AT57)/Data!AT57),0)</f>
        <v>6.3569110564427073E-2</v>
      </c>
      <c r="AU58" s="241">
        <f>IFERROR(((Data!AU58-Data!AU57)/Data!AU57),0)</f>
        <v>1.8300679738562101E-2</v>
      </c>
      <c r="AV58" s="227">
        <f>IFERROR(((Data!AV58-Data!AV57)/Data!AV57),0)</f>
        <v>-4.5056746909044341E-2</v>
      </c>
      <c r="AW58" s="227">
        <f>IFERROR(((Data!AW58-Data!AW57)/Data!AW57),0)</f>
        <v>-1.8285556095756435E-2</v>
      </c>
      <c r="AX58" s="227">
        <f>IFERROR(((Data!AX58-Data!AX57)/Data!AX57),0)</f>
        <v>0.13478739955367602</v>
      </c>
      <c r="AY58" s="227">
        <f>IFERROR(((Data!AY58-Data!AY57)/Data!AY57),0)</f>
        <v>6.0574030163880958E-2</v>
      </c>
      <c r="AZ58" s="227">
        <f>IFERROR(((Data!AZ58-Data!AZ57)/Data!AZ57),0)</f>
        <v>-4.2253449741980628E-2</v>
      </c>
      <c r="BA58" s="228">
        <f>IFERROR(((Data!BA58-Data!BA57)/Data!BA57),0)</f>
        <v>-3.6862357523147439E-3</v>
      </c>
      <c r="BB58" s="228">
        <f>IFERROR(((Data!BB58-Data!BB57)/Data!BB57),0)</f>
        <v>-0.12074587110838671</v>
      </c>
      <c r="BC58" s="228">
        <f>IFERROR(((Data!BC58-Data!BC57)/Data!BC57),0)</f>
        <v>-6.219026840944257E-2</v>
      </c>
      <c r="BD58" s="228">
        <f>IFERROR(((Data!BD58-Data!BD57)/Data!BD57),0)</f>
        <v>3.8544280510143407E-2</v>
      </c>
      <c r="BE58" s="228">
        <f>IFERROR(((Data!BE58-Data!BE57)/Data!BE57),0)</f>
        <v>0</v>
      </c>
      <c r="BF58" s="229">
        <f>IFERROR(((Data!BF58-Data!BF57)/Data!BF57),0)</f>
        <v>-1.5949814342926298E-2</v>
      </c>
      <c r="BG58" s="229">
        <f>IFERROR(((Data!BG58-Data!BG57)/Data!BG57),0)</f>
        <v>-8.3201276509349123E-2</v>
      </c>
      <c r="BH58" s="229">
        <f>IFERROR(((Data!BH58-Data!BH57)/Data!BH57),0)</f>
        <v>-3.8159363846561371E-2</v>
      </c>
      <c r="BI58" s="229">
        <f>IFERROR(((Data!BI58-Data!BI57)/Data!BI57),0)</f>
        <v>-6.0272718082590937E-2</v>
      </c>
      <c r="BJ58" s="229">
        <f>IFERROR(((Data!BJ58-Data!BJ57)/Data!BJ57),0)</f>
        <v>-5.0393839622645702E-2</v>
      </c>
    </row>
    <row r="59" spans="2:62">
      <c r="B59" s="214">
        <v>44986</v>
      </c>
      <c r="C59" s="230">
        <f>IFERROR(((Data!C59-Data!C58)/Data!C58),0)</f>
        <v>-8.7350408268889887E-2</v>
      </c>
      <c r="D59" s="230">
        <f>IFERROR(((Data!D59-Data!D58)/Data!D58),0)</f>
        <v>2.3765543966086029E-4</v>
      </c>
      <c r="E59" s="231">
        <f>IFERROR(((Data!E59-Data!E58)/Data!E58),0)</f>
        <v>-3.8518793334509277E-2</v>
      </c>
      <c r="F59" s="231">
        <f>IFERROR(((Data!F59-Data!F58)/Data!F58),0)</f>
        <v>1.5804093144318212E-2</v>
      </c>
      <c r="G59" s="231">
        <f>IFERROR(((Data!G59-Data!G58)/Data!G58),0)</f>
        <v>-3.5825133115622278E-2</v>
      </c>
      <c r="H59" s="232">
        <f>IFERROR(((Data!H59-Data!H58)/Data!H58),0)</f>
        <v>2.0818313614868159E-3</v>
      </c>
      <c r="I59" s="232">
        <f>IFERROR(((Data!I59-Data!I58)/Data!I58),0)</f>
        <v>6.2203634273738139E-3</v>
      </c>
      <c r="J59" s="232">
        <f>IFERROR(((Data!J59-Data!J58)/Data!J58),0)</f>
        <v>1.7059574902342774E-2</v>
      </c>
      <c r="K59" s="232">
        <f>IFERROR(((Data!K59-Data!K58)/Data!K58),0)</f>
        <v>-1.8132909587202E-3</v>
      </c>
      <c r="L59" s="232">
        <f>IFERROR(((Data!L59-Data!L58)/Data!L58),0)</f>
        <v>-9.100763741651674E-2</v>
      </c>
      <c r="M59" s="233">
        <f>IFERROR(((Data!M59-Data!M58)/Data!M58),0)</f>
        <v>3.5418557253635546E-2</v>
      </c>
      <c r="N59" s="233">
        <f>IFERROR(((Data!N59-Data!N58)/Data!N58),0)</f>
        <v>7.092386965453909E-2</v>
      </c>
      <c r="O59" s="233">
        <f>IFERROR(((Data!O59-Data!O58)/Data!O58),0)</f>
        <v>0.12665402865665196</v>
      </c>
      <c r="P59" s="233">
        <f>IFERROR(((Data!P59-Data!P58)/Data!P58),0)</f>
        <v>-1.5730842402812611E-2</v>
      </c>
      <c r="Q59" s="233">
        <f>IFERROR(((Data!Q59-Data!Q58)/Data!Q58),0)</f>
        <v>-2.0290834482617471E-2</v>
      </c>
      <c r="R59" s="234">
        <f>IFERROR(((Data!R59-Data!R58)/Data!R58),0)</f>
        <v>2.6100593042225107E-2</v>
      </c>
      <c r="S59" s="234">
        <f>IFERROR(((Data!S59-Data!S58)/Data!S58),0)</f>
        <v>0.13423552107921691</v>
      </c>
      <c r="T59" s="234">
        <f>IFERROR(((Data!T59-Data!T58)/Data!T58),0)</f>
        <v>1.4360907285248702E-2</v>
      </c>
      <c r="U59" s="234">
        <f>IFERROR(((Data!U59-Data!U58)/Data!U58),0)</f>
        <v>0.19213480898876403</v>
      </c>
      <c r="V59" s="235">
        <f>IFERROR(((Data!V59-Data!V58)/Data!V58),0)</f>
        <v>0</v>
      </c>
      <c r="W59" s="236">
        <f>IFERROR(((Data!W59-Data!W58)/Data!W58),0)</f>
        <v>0.81568111639846164</v>
      </c>
      <c r="X59" s="236">
        <f>IFERROR(((Data!X59-Data!X58)/Data!X58),0)</f>
        <v>-6.0725759679427616E-2</v>
      </c>
      <c r="Y59" s="236">
        <f>IFERROR(((Data!Y59-Data!Y58)/Data!Y58),0)</f>
        <v>6.3167542585346681E-2</v>
      </c>
      <c r="Z59" s="236">
        <f>IFERROR(((Data!Z59-Data!Z58)/Data!Z58),0)</f>
        <v>-2.1276607816507798E-2</v>
      </c>
      <c r="AA59" s="236">
        <f>IFERROR(((Data!AA59-Data!AA58)/Data!AA58),0)</f>
        <v>1.5306122448979446E-2</v>
      </c>
      <c r="AB59" s="237">
        <f>IFERROR(((Data!AB59-Data!AB58)/Data!AB58),0)</f>
        <v>5.6129324777836427E-3</v>
      </c>
      <c r="AC59" s="237">
        <f>IFERROR(((Data!AC59-Data!AC58)/Data!AC58),0)</f>
        <v>6.8547153432762062E-2</v>
      </c>
      <c r="AD59" s="237">
        <f>IFERROR(((Data!AD59-Data!AD58)/Data!AD58),0)</f>
        <v>4.9694990705922912E-2</v>
      </c>
      <c r="AE59" s="237">
        <f>IFERROR(((Data!AE59-Data!AE58)/Data!AE58),0)</f>
        <v>2.006380264361508E-2</v>
      </c>
      <c r="AF59" s="237">
        <f>IFERROR(((Data!AF59-Data!AF58)/Data!AF58),0)</f>
        <v>6.3297435415503714E-2</v>
      </c>
      <c r="AG59" s="238">
        <f>IFERROR(((Data!AG59-Data!AG58)/Data!AG58),0)</f>
        <v>-3.2283418470831708E-2</v>
      </c>
      <c r="AH59" s="238">
        <f>IFERROR(((Data!AH59-Data!AH58)/Data!AH58),0)</f>
        <v>-4.0066003974134651E-2</v>
      </c>
      <c r="AI59" s="238">
        <f>IFERROR(((Data!AI59-Data!AI58)/Data!AI58),0)</f>
        <v>-2.7760276943974451E-2</v>
      </c>
      <c r="AJ59" s="238">
        <f>IFERROR(((Data!AJ59-Data!AJ58)/Data!AJ58),0)</f>
        <v>-0.10303138326694759</v>
      </c>
      <c r="AK59" s="238">
        <f>IFERROR(((Data!AK59-Data!AK58)/Data!AK58),0)</f>
        <v>-7.2367437337005944E-2</v>
      </c>
      <c r="AL59" s="239">
        <f>IFERROR(((Data!AL59-Data!AL58)/Data!AL58),0)</f>
        <v>8.5122666100531666E-2</v>
      </c>
      <c r="AM59" s="239">
        <f>IFERROR(((Data!AM59-Data!AM58)/Data!AM58),0)</f>
        <v>-2.2025079202571109E-2</v>
      </c>
      <c r="AN59" s="239">
        <f>IFERROR(((Data!AN59-Data!AN58)/Data!AN58),0)</f>
        <v>1.0407093604233652E-2</v>
      </c>
      <c r="AO59" s="239">
        <f>IFERROR(((Data!AO59-Data!AO58)/Data!AO58),0)</f>
        <v>0.10555511638752862</v>
      </c>
      <c r="AP59" s="239">
        <f>IFERROR(((Data!AP59-Data!AP58)/Data!AP58),0)</f>
        <v>-7.1061675648572756E-2</v>
      </c>
      <c r="AQ59" s="240">
        <f>IFERROR(((Data!AQ59-Data!AQ58)/Data!AQ58),0)</f>
        <v>4.3765033041232283E-2</v>
      </c>
      <c r="AR59" s="240">
        <f>IFERROR(((Data!AR59-Data!AR58)/Data!AR58),0)</f>
        <v>5.34180846493163E-2</v>
      </c>
      <c r="AS59" s="240">
        <f>IFERROR(((Data!AS59-Data!AS58)/Data!AS58),0)</f>
        <v>-9.6809868661799289E-3</v>
      </c>
      <c r="AT59" s="240">
        <f>IFERROR(((Data!AT59-Data!AT58)/Data!AT58),0)</f>
        <v>-1.3525798436518218E-2</v>
      </c>
      <c r="AU59" s="241">
        <f>IFERROR(((Data!AU59-Data!AU58)/Data!AU58),0)</f>
        <v>-8.3440562684452893E-3</v>
      </c>
      <c r="AV59" s="227">
        <f>IFERROR(((Data!AV59-Data!AV58)/Data!AV58),0)</f>
        <v>4.0517858404343021E-2</v>
      </c>
      <c r="AW59" s="227">
        <f>IFERROR(((Data!AW59-Data!AW58)/Data!AW58),0)</f>
        <v>5.5409736609374448E-2</v>
      </c>
      <c r="AX59" s="227">
        <f>IFERROR(((Data!AX59-Data!AX58)/Data!AX58),0)</f>
        <v>6.6307991495766411E-2</v>
      </c>
      <c r="AY59" s="227">
        <f>IFERROR(((Data!AY59-Data!AY58)/Data!AY58),0)</f>
        <v>6.87497912340094E-2</v>
      </c>
      <c r="AZ59" s="227">
        <f>IFERROR(((Data!AZ59-Data!AZ58)/Data!AZ58),0)</f>
        <v>-6.8933896303472422E-2</v>
      </c>
      <c r="BA59" s="228">
        <f>IFERROR(((Data!BA59-Data!BA58)/Data!BA58),0)</f>
        <v>3.7683105977681028E-2</v>
      </c>
      <c r="BB59" s="228">
        <f>IFERROR(((Data!BB59-Data!BB58)/Data!BB58),0)</f>
        <v>5.5033392941890406E-2</v>
      </c>
      <c r="BC59" s="228">
        <f>IFERROR(((Data!BC59-Data!BC58)/Data!BC58),0)</f>
        <v>5.3449647409243635E-2</v>
      </c>
      <c r="BD59" s="228">
        <f>IFERROR(((Data!BD59-Data!BD58)/Data!BD58),0)</f>
        <v>-1.0738530762739985E-2</v>
      </c>
      <c r="BE59" s="228">
        <f>IFERROR(((Data!BE59-Data!BE58)/Data!BE58),0)</f>
        <v>0</v>
      </c>
      <c r="BF59" s="229">
        <f>IFERROR(((Data!BF59-Data!BF58)/Data!BF58),0)</f>
        <v>-4.7395475372002685E-2</v>
      </c>
      <c r="BG59" s="229">
        <f>IFERROR(((Data!BG59-Data!BG58)/Data!BG58),0)</f>
        <v>3.377994039700738E-2</v>
      </c>
      <c r="BH59" s="229">
        <f>IFERROR(((Data!BH59-Data!BH58)/Data!BH58),0)</f>
        <v>-4.7267034634423534E-2</v>
      </c>
      <c r="BI59" s="229">
        <f>IFERROR(((Data!BI59-Data!BI58)/Data!BI58),0)</f>
        <v>-1.8070803535890665E-2</v>
      </c>
      <c r="BJ59" s="229">
        <f>IFERROR(((Data!BJ59-Data!BJ58)/Data!BJ58),0)</f>
        <v>4.8231666722263561E-2</v>
      </c>
    </row>
    <row r="60" spans="2:62">
      <c r="B60" s="214">
        <v>45017</v>
      </c>
      <c r="C60" s="230">
        <f>IFERROR(((Data!C60-Data!C59)/Data!C59),0)</f>
        <v>5.885921054555019E-2</v>
      </c>
      <c r="D60" s="230">
        <f>IFERROR(((Data!D60-Data!D59)/Data!D59),0)</f>
        <v>0.15244779291124202</v>
      </c>
      <c r="E60" s="231">
        <f>IFERROR(((Data!E60-Data!E59)/Data!E59),0)</f>
        <v>3.5865188301324895E-2</v>
      </c>
      <c r="F60" s="231">
        <f>IFERROR(((Data!F60-Data!F59)/Data!F59),0)</f>
        <v>5.6974056088884241E-3</v>
      </c>
      <c r="G60" s="231">
        <f>IFERROR(((Data!G60-Data!G59)/Data!G59),0)</f>
        <v>0.15235770511570343</v>
      </c>
      <c r="H60" s="232">
        <f>IFERROR(((Data!H60-Data!H59)/Data!H59),0)</f>
        <v>0.11841767965559749</v>
      </c>
      <c r="I60" s="232">
        <f>IFERROR(((Data!I60-Data!I59)/Data!I59),0)</f>
        <v>4.8491789341995675E-2</v>
      </c>
      <c r="J60" s="232">
        <f>IFERROR(((Data!J60-Data!J59)/Data!J59),0)</f>
        <v>1.747265793256835E-3</v>
      </c>
      <c r="K60" s="232">
        <f>IFERROR(((Data!K60-Data!K59)/Data!K59),0)</f>
        <v>0.11625798576308785</v>
      </c>
      <c r="L60" s="232">
        <f>IFERROR(((Data!L60-Data!L59)/Data!L59),0)</f>
        <v>0.12554631554557585</v>
      </c>
      <c r="M60" s="233">
        <f>IFERROR(((Data!M60-Data!M59)/Data!M59),0)</f>
        <v>4.6282494058990003E-3</v>
      </c>
      <c r="N60" s="233">
        <f>IFERROR(((Data!N60-Data!N59)/Data!N59),0)</f>
        <v>6.6432260005183152E-2</v>
      </c>
      <c r="O60" s="233">
        <f>IFERROR(((Data!O60-Data!O59)/Data!O59),0)</f>
        <v>0.19088984478161805</v>
      </c>
      <c r="P60" s="233">
        <f>IFERROR(((Data!P60-Data!P59)/Data!P59),0)</f>
        <v>-1.0584250769486675E-3</v>
      </c>
      <c r="Q60" s="233">
        <f>IFERROR(((Data!Q60-Data!Q59)/Data!Q59),0)</f>
        <v>0.3098032319032144</v>
      </c>
      <c r="R60" s="234">
        <f>IFERROR(((Data!R60-Data!R59)/Data!R59),0)</f>
        <v>9.2505326616538638E-2</v>
      </c>
      <c r="S60" s="234">
        <f>IFERROR(((Data!S60-Data!S59)/Data!S59),0)</f>
        <v>-1.5048522176267668E-3</v>
      </c>
      <c r="T60" s="234">
        <f>IFERROR(((Data!T60-Data!T59)/Data!T59),0)</f>
        <v>0.19484158563830442</v>
      </c>
      <c r="U60" s="234">
        <f>IFERROR(((Data!U60-Data!U59)/Data!U59),0)</f>
        <v>0.12912351798536326</v>
      </c>
      <c r="V60" s="235">
        <f>IFERROR(((Data!V60-Data!V59)/Data!V59),0)</f>
        <v>0</v>
      </c>
      <c r="W60" s="236">
        <f>IFERROR(((Data!W60-Data!W59)/Data!W59),0)</f>
        <v>7.9271377288188061E-2</v>
      </c>
      <c r="X60" s="236">
        <f>IFERROR(((Data!X60-Data!X59)/Data!X59),0)</f>
        <v>5.7030267436631477E-2</v>
      </c>
      <c r="Y60" s="236">
        <f>IFERROR(((Data!Y60-Data!Y59)/Data!Y59),0)</f>
        <v>0.10074624127496912</v>
      </c>
      <c r="Z60" s="236">
        <f>IFERROR(((Data!Z60-Data!Z59)/Data!Z59),0)</f>
        <v>0.22859021795546197</v>
      </c>
      <c r="AA60" s="236">
        <f>IFERROR(((Data!AA60-Data!AA59)/Data!AA59),0)</f>
        <v>0.22613065326633167</v>
      </c>
      <c r="AB60" s="237">
        <f>IFERROR(((Data!AB60-Data!AB59)/Data!AB59),0)</f>
        <v>-7.0741344979677254E-2</v>
      </c>
      <c r="AC60" s="237">
        <f>IFERROR(((Data!AC60-Data!AC59)/Data!AC59),0)</f>
        <v>8.466702276324839E-2</v>
      </c>
      <c r="AD60" s="237">
        <f>IFERROR(((Data!AD60-Data!AD59)/Data!AD59),0)</f>
        <v>-8.6524076196123866E-3</v>
      </c>
      <c r="AE60" s="237">
        <f>IFERROR(((Data!AE60-Data!AE59)/Data!AE59),0)</f>
        <v>4.1573554610166381E-2</v>
      </c>
      <c r="AF60" s="237">
        <f>IFERROR(((Data!AF60-Data!AF59)/Data!AF59),0)</f>
        <v>4.9060833785449939E-2</v>
      </c>
      <c r="AG60" s="238">
        <f>IFERROR(((Data!AG60-Data!AG59)/Data!AG59),0)</f>
        <v>4.164185690944921E-3</v>
      </c>
      <c r="AH60" s="238">
        <f>IFERROR(((Data!AH60-Data!AH59)/Data!AH59),0)</f>
        <v>-0.1226933153867408</v>
      </c>
      <c r="AI60" s="238">
        <f>IFERROR(((Data!AI60-Data!AI59)/Data!AI59),0)</f>
        <v>0.11486627599485502</v>
      </c>
      <c r="AJ60" s="238">
        <f>IFERROR(((Data!AJ60-Data!AJ59)/Data!AJ59),0)</f>
        <v>7.1498335327506463E-2</v>
      </c>
      <c r="AK60" s="238">
        <f>IFERROR(((Data!AK60-Data!AK59)/Data!AK59),0)</f>
        <v>0.12239173860370461</v>
      </c>
      <c r="AL60" s="239">
        <f>IFERROR(((Data!AL60-Data!AL59)/Data!AL59),0)</f>
        <v>-7.3027090694935223E-2</v>
      </c>
      <c r="AM60" s="239">
        <f>IFERROR(((Data!AM60-Data!AM59)/Data!AM59),0)</f>
        <v>4.4363455510082861E-2</v>
      </c>
      <c r="AN60" s="239">
        <f>IFERROR(((Data!AN60-Data!AN59)/Data!AN59),0)</f>
        <v>-4.6186425032594507E-2</v>
      </c>
      <c r="AO60" s="239">
        <f>IFERROR(((Data!AO60-Data!AO59)/Data!AO59),0)</f>
        <v>6.5469646408839816E-2</v>
      </c>
      <c r="AP60" s="239">
        <f>IFERROR(((Data!AP60-Data!AP59)/Data!AP59),0)</f>
        <v>7.004606451612902E-2</v>
      </c>
      <c r="AQ60" s="240">
        <f>IFERROR(((Data!AQ60-Data!AQ59)/Data!AQ59),0)</f>
        <v>4.547559039194745E-2</v>
      </c>
      <c r="AR60" s="240">
        <f>IFERROR(((Data!AR60-Data!AR59)/Data!AR59),0)</f>
        <v>0.13945061514602494</v>
      </c>
      <c r="AS60" s="240">
        <f>IFERROR(((Data!AS60-Data!AS59)/Data!AS59),0)</f>
        <v>5.7689693917494643E-2</v>
      </c>
      <c r="AT60" s="240">
        <f>IFERROR(((Data!AT60-Data!AT59)/Data!AT59),0)</f>
        <v>0.11636091644185471</v>
      </c>
      <c r="AU60" s="241">
        <f>IFERROR(((Data!AU60-Data!AU59)/Data!AU59),0)</f>
        <v>0.13980586407766996</v>
      </c>
      <c r="AV60" s="227">
        <f>IFERROR(((Data!AV60-Data!AV59)/Data!AV59),0)</f>
        <v>-4.0248461959921336E-2</v>
      </c>
      <c r="AW60" s="227">
        <f>IFERROR(((Data!AW60-Data!AW59)/Data!AW59),0)</f>
        <v>0.10438733509668824</v>
      </c>
      <c r="AX60" s="227">
        <f>IFERROR(((Data!AX60-Data!AX59)/Data!AX59),0)</f>
        <v>4.3558949227421255E-2</v>
      </c>
      <c r="AY60" s="227">
        <f>IFERROR(((Data!AY60-Data!AY59)/Data!AY59),0)</f>
        <v>0.15750533591148222</v>
      </c>
      <c r="AZ60" s="227">
        <f>IFERROR(((Data!AZ60-Data!AZ59)/Data!AZ59),0)</f>
        <v>4.0802871050237097E-2</v>
      </c>
      <c r="BA60" s="228">
        <f>IFERROR(((Data!BA60-Data!BA59)/Data!BA59),0)</f>
        <v>6.5888015611968651E-2</v>
      </c>
      <c r="BB60" s="228">
        <f>IFERROR(((Data!BB60-Data!BB59)/Data!BB59),0)</f>
        <v>-2.1706699482836961E-2</v>
      </c>
      <c r="BC60" s="228">
        <f>IFERROR(((Data!BC60-Data!BC59)/Data!BC59),0)</f>
        <v>0.20880285442702687</v>
      </c>
      <c r="BD60" s="228">
        <f>IFERROR(((Data!BD60-Data!BD59)/Data!BD59),0)</f>
        <v>0.12416685389450488</v>
      </c>
      <c r="BE60" s="228">
        <f>IFERROR(((Data!BE60-Data!BE59)/Data!BE59),0)</f>
        <v>0</v>
      </c>
      <c r="BF60" s="229">
        <f>IFERROR(((Data!BF60-Data!BF59)/Data!BF59),0)</f>
        <v>-5.4682022334508765E-2</v>
      </c>
      <c r="BG60" s="229">
        <f>IFERROR(((Data!BG60-Data!BG59)/Data!BG59),0)</f>
        <v>3.1561263983235513E-2</v>
      </c>
      <c r="BH60" s="229">
        <f>IFERROR(((Data!BH60-Data!BH59)/Data!BH59),0)</f>
        <v>1.551136765373903E-2</v>
      </c>
      <c r="BI60" s="229">
        <f>IFERROR(((Data!BI60-Data!BI59)/Data!BI59),0)</f>
        <v>-1.7884880562030723E-2</v>
      </c>
      <c r="BJ60" s="229">
        <f>IFERROR(((Data!BJ60-Data!BJ59)/Data!BJ59),0)</f>
        <v>-5.2276967196794394E-2</v>
      </c>
    </row>
    <row r="61" spans="2:62">
      <c r="B61" s="214">
        <v>45047</v>
      </c>
      <c r="C61" s="230">
        <f>IFERROR(((Data!C61-Data!C60)/Data!C60),0)</f>
        <v>7.506717257044826E-2</v>
      </c>
      <c r="D61" s="230">
        <f>IFERROR(((Data!D61-Data!D60)/Data!D60),0)</f>
        <v>8.5266523971950392E-2</v>
      </c>
      <c r="E61" s="231">
        <f>IFERROR(((Data!E61-Data!E60)/Data!E60),0)</f>
        <v>9.0592640411725253E-2</v>
      </c>
      <c r="F61" s="231">
        <f>IFERROR(((Data!F61-Data!F60)/Data!F60),0)</f>
        <v>0.13846814016210374</v>
      </c>
      <c r="G61" s="231">
        <f>IFERROR(((Data!G61-Data!G60)/Data!G60),0)</f>
        <v>0.3321542326519461</v>
      </c>
      <c r="H61" s="232">
        <f>IFERROR(((Data!H61-Data!H60)/Data!H60),0)</f>
        <v>3.9369446084155567E-2</v>
      </c>
      <c r="I61" s="232">
        <f>IFERROR(((Data!I61-Data!I60)/Data!I60),0)</f>
        <v>-4.5478825756988542E-2</v>
      </c>
      <c r="J61" s="232">
        <f>IFERROR(((Data!J61-Data!J60)/Data!J60),0)</f>
        <v>6.3779041709905823E-2</v>
      </c>
      <c r="K61" s="232">
        <f>IFERROR(((Data!K61-Data!K60)/Data!K60),0)</f>
        <v>0.16598862219709321</v>
      </c>
      <c r="L61" s="232">
        <f>IFERROR(((Data!L61-Data!L60)/Data!L60),0)</f>
        <v>-0.11648427378971787</v>
      </c>
      <c r="M61" s="233">
        <f>IFERROR(((Data!M61-Data!M60)/Data!M60),0)</f>
        <v>-1.2453867827800887E-2</v>
      </c>
      <c r="N61" s="233">
        <f>IFERROR(((Data!N61-Data!N60)/Data!N60),0)</f>
        <v>-8.698032254776969E-2</v>
      </c>
      <c r="O61" s="233">
        <f>IFERROR(((Data!O61-Data!O60)/Data!O60),0)</f>
        <v>6.7422975688816805E-2</v>
      </c>
      <c r="P61" s="233">
        <f>IFERROR(((Data!P61-Data!P60)/Data!P60),0)</f>
        <v>1.080738729570742E-2</v>
      </c>
      <c r="Q61" s="233">
        <f>IFERROR(((Data!Q61-Data!Q60)/Data!Q60),0)</f>
        <v>-1.633946976920906E-2</v>
      </c>
      <c r="R61" s="234">
        <f>IFERROR(((Data!R61-Data!R60)/Data!R60),0)</f>
        <v>-6.714177708251011E-2</v>
      </c>
      <c r="S61" s="234">
        <f>IFERROR(((Data!S61-Data!S60)/Data!S60),0)</f>
        <v>0.17439982324728628</v>
      </c>
      <c r="T61" s="234">
        <f>IFERROR(((Data!T61-Data!T60)/Data!T60),0)</f>
        <v>0.11426559548597282</v>
      </c>
      <c r="U61" s="234">
        <f>IFERROR(((Data!U61-Data!U60)/Data!U60),0)</f>
        <v>-4.5910099017276631E-3</v>
      </c>
      <c r="V61" s="235">
        <f>IFERROR(((Data!V61-Data!V60)/Data!V60),0)</f>
        <v>0</v>
      </c>
      <c r="W61" s="236">
        <f>IFERROR(((Data!W61-Data!W60)/Data!W60),0)</f>
        <v>2.8075722397476358E-2</v>
      </c>
      <c r="X61" s="236">
        <f>IFERROR(((Data!X61-Data!X60)/Data!X60),0)</f>
        <v>6.1909459294003315E-2</v>
      </c>
      <c r="Y61" s="236">
        <f>IFERROR(((Data!Y61-Data!Y60)/Data!Y60),0)</f>
        <v>-1.8079073446327677E-2</v>
      </c>
      <c r="Z61" s="236">
        <f>IFERROR(((Data!Z61-Data!Z60)/Data!Z60),0)</f>
        <v>1.3941050938337843E-2</v>
      </c>
      <c r="AA61" s="236">
        <f>IFERROR(((Data!AA61-Data!AA60)/Data!AA60),0)</f>
        <v>6.147540983606558E-2</v>
      </c>
      <c r="AB61" s="237">
        <f>IFERROR(((Data!AB61-Data!AB60)/Data!AB60),0)</f>
        <v>3.4138896484036223E-2</v>
      </c>
      <c r="AC61" s="237">
        <f>IFERROR(((Data!AC61-Data!AC60)/Data!AC60),0)</f>
        <v>6.8348091247321288E-2</v>
      </c>
      <c r="AD61" s="237">
        <f>IFERROR(((Data!AD61-Data!AD60)/Data!AD60),0)</f>
        <v>4.1535397135372833E-2</v>
      </c>
      <c r="AE61" s="237">
        <f>IFERROR(((Data!AE61-Data!AE60)/Data!AE60),0)</f>
        <v>0.13905576824034332</v>
      </c>
      <c r="AF61" s="237">
        <f>IFERROR(((Data!AF61-Data!AF60)/Data!AF60),0)</f>
        <v>2.1913366480597486E-2</v>
      </c>
      <c r="AG61" s="238">
        <f>IFERROR(((Data!AG61-Data!AG60)/Data!AG60),0)</f>
        <v>2.1821929070054338E-2</v>
      </c>
      <c r="AH61" s="238">
        <f>IFERROR(((Data!AH61-Data!AH60)/Data!AH60),0)</f>
        <v>5.2324886500406328E-2</v>
      </c>
      <c r="AI61" s="238">
        <f>IFERROR(((Data!AI61-Data!AI60)/Data!AI60),0)</f>
        <v>0.11709768793271072</v>
      </c>
      <c r="AJ61" s="238">
        <f>IFERROR(((Data!AJ61-Data!AJ60)/Data!AJ60),0)</f>
        <v>0.11880896622569756</v>
      </c>
      <c r="AK61" s="238">
        <f>IFERROR(((Data!AK61-Data!AK60)/Data!AK60),0)</f>
        <v>-6.36791963986547E-2</v>
      </c>
      <c r="AL61" s="239">
        <f>IFERROR(((Data!AL61-Data!AL60)/Data!AL60),0)</f>
        <v>-8.6403913595933732E-3</v>
      </c>
      <c r="AM61" s="239">
        <f>IFERROR(((Data!AM61-Data!AM60)/Data!AM60),0)</f>
        <v>2.871705498982096E-2</v>
      </c>
      <c r="AN61" s="239">
        <f>IFERROR(((Data!AN61-Data!AN60)/Data!AN60),0)</f>
        <v>-3.2669273291144107E-2</v>
      </c>
      <c r="AO61" s="239">
        <f>IFERROR(((Data!AO61-Data!AO60)/Data!AO60),0)</f>
        <v>-1.0370754149730231E-2</v>
      </c>
      <c r="AP61" s="239">
        <f>IFERROR(((Data!AP61-Data!AP60)/Data!AP60),0)</f>
        <v>5.5986219741364682E-2</v>
      </c>
      <c r="AQ61" s="240">
        <f>IFERROR(((Data!AQ61-Data!AQ60)/Data!AQ60),0)</f>
        <v>0.14921855403926954</v>
      </c>
      <c r="AR61" s="240">
        <f>IFERROR(((Data!AR61-Data!AR60)/Data!AR60),0)</f>
        <v>0.10622518629247656</v>
      </c>
      <c r="AS61" s="240">
        <f>IFERROR(((Data!AS61-Data!AS60)/Data!AS60),0)</f>
        <v>0.1278313075579593</v>
      </c>
      <c r="AT61" s="240">
        <f>IFERROR(((Data!AT61-Data!AT60)/Data!AT60),0)</f>
        <v>2.3402449792531071E-2</v>
      </c>
      <c r="AU61" s="241">
        <f>IFERROR(((Data!AU61-Data!AU60)/Data!AU60),0)</f>
        <v>8.9721677806189198E-2</v>
      </c>
      <c r="AV61" s="227">
        <f>IFERROR(((Data!AV61-Data!AV60)/Data!AV60),0)</f>
        <v>8.5561345812083189E-2</v>
      </c>
      <c r="AW61" s="227">
        <f>IFERROR(((Data!AW61-Data!AW60)/Data!AW60),0)</f>
        <v>9.2916261707281177E-4</v>
      </c>
      <c r="AX61" s="227">
        <f>IFERROR(((Data!AX61-Data!AX60)/Data!AX60),0)</f>
        <v>0.17410014646522973</v>
      </c>
      <c r="AY61" s="227">
        <f>IFERROR(((Data!AY61-Data!AY60)/Data!AY60),0)</f>
        <v>0.22692339248132143</v>
      </c>
      <c r="AZ61" s="227">
        <f>IFERROR(((Data!AZ61-Data!AZ60)/Data!AZ60),0)</f>
        <v>0.17515025875584611</v>
      </c>
      <c r="BA61" s="228">
        <f>IFERROR(((Data!BA61-Data!BA60)/Data!BA60),0)</f>
        <v>8.5672835060895403E-2</v>
      </c>
      <c r="BB61" s="228">
        <f>IFERROR(((Data!BB61-Data!BB60)/Data!BB60),0)</f>
        <v>0.12527475305784774</v>
      </c>
      <c r="BC61" s="228">
        <f>IFERROR(((Data!BC61-Data!BC60)/Data!BC60),0)</f>
        <v>1.5725041198056518E-2</v>
      </c>
      <c r="BD61" s="228">
        <f>IFERROR(((Data!BD61-Data!BD60)/Data!BD60),0)</f>
        <v>0.33034051154342903</v>
      </c>
      <c r="BE61" s="228">
        <f>IFERROR(((Data!BE61-Data!BE60)/Data!BE60),0)</f>
        <v>0</v>
      </c>
      <c r="BF61" s="229">
        <f>IFERROR(((Data!BF61-Data!BF60)/Data!BF60),0)</f>
        <v>-1.1047645781647656E-2</v>
      </c>
      <c r="BG61" s="229">
        <f>IFERROR(((Data!BG61-Data!BG60)/Data!BG60),0)</f>
        <v>-7.4564391315807818E-2</v>
      </c>
      <c r="BH61" s="229">
        <f>IFERROR(((Data!BH61-Data!BH60)/Data!BH60),0)</f>
        <v>2.1191075531988336E-2</v>
      </c>
      <c r="BI61" s="229">
        <f>IFERROR(((Data!BI61-Data!BI60)/Data!BI60),0)</f>
        <v>1.583539612721019E-3</v>
      </c>
      <c r="BJ61" s="229">
        <f>IFERROR(((Data!BJ61-Data!BJ60)/Data!BJ60),0)</f>
        <v>3.6630031218003019E-2</v>
      </c>
    </row>
    <row r="62" spans="2:62">
      <c r="B62" s="214">
        <v>45078</v>
      </c>
      <c r="C62" s="230">
        <f>IFERROR(((Data!C62-Data!C61)/Data!C61),0)</f>
        <v>0.10204694129806378</v>
      </c>
      <c r="D62" s="230">
        <f>IFERROR(((Data!D62-Data!D61)/Data!D61),0)</f>
        <v>0.13157884931082506</v>
      </c>
      <c r="E62" s="231">
        <f>IFERROR(((Data!E62-Data!E61)/Data!E61),0)</f>
        <v>4.4979025780332089E-2</v>
      </c>
      <c r="F62" s="231">
        <f>IFERROR(((Data!F62-Data!F61)/Data!F61),0)</f>
        <v>5.4832605647035106E-2</v>
      </c>
      <c r="G62" s="231">
        <f>IFERROR(((Data!G62-Data!G61)/Data!G61),0)</f>
        <v>0.52818702192971512</v>
      </c>
      <c r="H62" s="232">
        <f>IFERROR(((Data!H62-Data!H61)/Data!H61),0)</f>
        <v>-8.3302265128794392E-2</v>
      </c>
      <c r="I62" s="232">
        <f>IFERROR(((Data!I62-Data!I61)/Data!I61),0)</f>
        <v>6.8325163745725712E-2</v>
      </c>
      <c r="J62" s="232">
        <f>IFERROR(((Data!J62-Data!J61)/Data!J61),0)</f>
        <v>7.9357317150520718E-2</v>
      </c>
      <c r="K62" s="232">
        <f>IFERROR(((Data!K62-Data!K61)/Data!K61),0)</f>
        <v>0.10816468644341419</v>
      </c>
      <c r="L62" s="232">
        <f>IFERROR(((Data!L62-Data!L61)/Data!L61),0)</f>
        <v>1.7179425080690001E-2</v>
      </c>
      <c r="M62" s="233">
        <f>IFERROR(((Data!M62-Data!M61)/Data!M61),0)</f>
        <v>7.8177124871067066E-2</v>
      </c>
      <c r="N62" s="233">
        <f>IFERROR(((Data!N62-Data!N61)/Data!N61),0)</f>
        <v>0.14631029918445235</v>
      </c>
      <c r="O62" s="233">
        <f>IFERROR(((Data!O62-Data!O61)/Data!O61),0)</f>
        <v>0.10438809976512967</v>
      </c>
      <c r="P62" s="233">
        <f>IFERROR(((Data!P62-Data!P61)/Data!P61),0)</f>
        <v>1.8553471698113222E-2</v>
      </c>
      <c r="Q62" s="233">
        <f>IFERROR(((Data!Q62-Data!Q61)/Data!Q61),0)</f>
        <v>3.6168948425988148E-3</v>
      </c>
      <c r="R62" s="234">
        <f>IFERROR(((Data!R62-Data!R61)/Data!R61),0)</f>
        <v>0.12236754177645746</v>
      </c>
      <c r="S62" s="234">
        <f>IFERROR(((Data!S62-Data!S61)/Data!S61),0)</f>
        <v>0.24631033650064338</v>
      </c>
      <c r="T62" s="234">
        <f>IFERROR(((Data!T62-Data!T61)/Data!T61),0)</f>
        <v>3.2954280795655405E-2</v>
      </c>
      <c r="U62" s="234">
        <f>IFERROR(((Data!U62-Data!U61)/Data!U61),0)</f>
        <v>2.3899354297693916E-2</v>
      </c>
      <c r="V62" s="235">
        <f>IFERROR(((Data!V62-Data!V61)/Data!V61),0)</f>
        <v>0</v>
      </c>
      <c r="W62" s="236">
        <f>IFERROR(((Data!W62-Data!W61)/Data!W61),0)</f>
        <v>-3.2525301840744973E-2</v>
      </c>
      <c r="X62" s="236">
        <f>IFERROR(((Data!X62-Data!X61)/Data!X61),0)</f>
        <v>3.886679887636945E-2</v>
      </c>
      <c r="Y62" s="236">
        <f>IFERROR(((Data!Y62-Data!Y61)/Data!Y61),0)</f>
        <v>5.7537397985330307E-2</v>
      </c>
      <c r="Z62" s="236">
        <f>IFERROR(((Data!Z62-Data!Z61)/Data!Z61),0)</f>
        <v>7.0333091369653281E-2</v>
      </c>
      <c r="AA62" s="236">
        <f>IFERROR(((Data!AA62-Data!AA61)/Data!AA61),0)</f>
        <v>8.494208494208505E-2</v>
      </c>
      <c r="AB62" s="237">
        <f>IFERROR(((Data!AB62-Data!AB61)/Data!AB61),0)</f>
        <v>-5.0814215644873463E-2</v>
      </c>
      <c r="AC62" s="237">
        <f>IFERROR(((Data!AC62-Data!AC61)/Data!AC61),0)</f>
        <v>5.4296109635526401E-3</v>
      </c>
      <c r="AD62" s="237">
        <f>IFERROR(((Data!AD62-Data!AD61)/Data!AD61),0)</f>
        <v>5.3964054526648424E-2</v>
      </c>
      <c r="AE62" s="237">
        <f>IFERROR(((Data!AE62-Data!AE61)/Data!AE61),0)</f>
        <v>6.1793498005881617E-2</v>
      </c>
      <c r="AF62" s="237">
        <f>IFERROR(((Data!AF62-Data!AF61)/Data!AF61),0)</f>
        <v>4.550207707377734E-2</v>
      </c>
      <c r="AG62" s="238">
        <f>IFERROR(((Data!AG62-Data!AG61)/Data!AG61),0)</f>
        <v>3.8758920583564535E-3</v>
      </c>
      <c r="AH62" s="238">
        <f>IFERROR(((Data!AH62-Data!AH61)/Data!AH61),0)</f>
        <v>1.3047102515234844E-2</v>
      </c>
      <c r="AI62" s="238">
        <f>IFERROR(((Data!AI62-Data!AI61)/Data!AI61),0)</f>
        <v>2.2495298367675286E-2</v>
      </c>
      <c r="AJ62" s="238">
        <f>IFERROR(((Data!AJ62-Data!AJ61)/Data!AJ61),0)</f>
        <v>6.3009133946028167E-2</v>
      </c>
      <c r="AK62" s="238">
        <f>IFERROR(((Data!AK62-Data!AK61)/Data!AK61),0)</f>
        <v>4.2080253356162209E-2</v>
      </c>
      <c r="AL62" s="239">
        <f>IFERROR(((Data!AL62-Data!AL61)/Data!AL61),0)</f>
        <v>-9.0745945797293809E-2</v>
      </c>
      <c r="AM62" s="239">
        <f>IFERROR(((Data!AM62-Data!AM61)/Data!AM61),0)</f>
        <v>-1.1143655709761698E-2</v>
      </c>
      <c r="AN62" s="239">
        <f>IFERROR(((Data!AN62-Data!AN61)/Data!AN61),0)</f>
        <v>-2.9604003045533605E-2</v>
      </c>
      <c r="AO62" s="239">
        <f>IFERROR(((Data!AO62-Data!AO61)/Data!AO61),0)</f>
        <v>2.0434864434848338E-2</v>
      </c>
      <c r="AP62" s="239">
        <f>IFERROR(((Data!AP62-Data!AP61)/Data!AP61),0)</f>
        <v>2.4469820953830684E-2</v>
      </c>
      <c r="AQ62" s="240">
        <f>IFERROR(((Data!AQ62-Data!AQ61)/Data!AQ61),0)</f>
        <v>7.1849777973277086E-3</v>
      </c>
      <c r="AR62" s="240">
        <f>IFERROR(((Data!AR62-Data!AR61)/Data!AR61),0)</f>
        <v>1.5325640688636897E-2</v>
      </c>
      <c r="AS62" s="240">
        <f>IFERROR(((Data!AS62-Data!AS61)/Data!AS61),0)</f>
        <v>-9.4644641884266793E-3</v>
      </c>
      <c r="AT62" s="240">
        <f>IFERROR(((Data!AT62-Data!AT61)/Data!AT61),0)</f>
        <v>-2.675965073342786E-2</v>
      </c>
      <c r="AU62" s="241">
        <f>IFERROR(((Data!AU62-Data!AU61)/Data!AU61),0)</f>
        <v>-2.3449714125577305E-2</v>
      </c>
      <c r="AV62" s="227">
        <f>IFERROR(((Data!AV62-Data!AV61)/Data!AV61),0)</f>
        <v>3.973696003700033E-3</v>
      </c>
      <c r="AW62" s="227">
        <f>IFERROR(((Data!AW62-Data!AW61)/Data!AW61),0)</f>
        <v>5.6346401485317922E-2</v>
      </c>
      <c r="AX62" s="227">
        <f>IFERROR(((Data!AX62-Data!AX61)/Data!AX61),0)</f>
        <v>-5.2730961982404997E-2</v>
      </c>
      <c r="AY62" s="227">
        <f>IFERROR(((Data!AY62-Data!AY61)/Data!AY61),0)</f>
        <v>6.4156698892101308E-2</v>
      </c>
      <c r="AZ62" s="227">
        <f>IFERROR(((Data!AZ62-Data!AZ61)/Data!AZ61),0)</f>
        <v>4.2776437335174042E-2</v>
      </c>
      <c r="BA62" s="228">
        <f>IFERROR(((Data!BA62-Data!BA61)/Data!BA61),0)</f>
        <v>0.1212661385717733</v>
      </c>
      <c r="BB62" s="228">
        <f>IFERROR(((Data!BB62-Data!BB61)/Data!BB61),0)</f>
        <v>4.0555805075373874E-2</v>
      </c>
      <c r="BC62" s="228">
        <f>IFERROR(((Data!BC62-Data!BC61)/Data!BC61),0)</f>
        <v>0.10603283859076737</v>
      </c>
      <c r="BD62" s="228">
        <f>IFERROR(((Data!BD62-Data!BD61)/Data!BD61),0)</f>
        <v>0.14071055862540011</v>
      </c>
      <c r="BE62" s="228">
        <f>IFERROR(((Data!BE62-Data!BE61)/Data!BE61),0)</f>
        <v>0</v>
      </c>
      <c r="BF62" s="229">
        <f>IFERROR(((Data!BF62-Data!BF61)/Data!BF61),0)</f>
        <v>9.5267908185797237E-2</v>
      </c>
      <c r="BG62" s="229">
        <f>IFERROR(((Data!BG62-Data!BG61)/Data!BG61),0)</f>
        <v>3.5761670402798362E-3</v>
      </c>
      <c r="BH62" s="229">
        <f>IFERROR(((Data!BH62-Data!BH61)/Data!BH61),0)</f>
        <v>3.6016228963548405E-2</v>
      </c>
      <c r="BI62" s="229">
        <f>IFERROR(((Data!BI62-Data!BI61)/Data!BI61),0)</f>
        <v>5.2489693931520816E-2</v>
      </c>
      <c r="BJ62" s="229">
        <f>IFERROR(((Data!BJ62-Data!BJ61)/Data!BJ61),0)</f>
        <v>0.15090426158053655</v>
      </c>
    </row>
    <row r="63" spans="2:62">
      <c r="B63" s="214">
        <v>45108</v>
      </c>
      <c r="C63" s="230">
        <f>IFERROR(((Data!C63-Data!C62)/Data!C62),0)</f>
        <v>1.4859691037083704E-2</v>
      </c>
      <c r="D63" s="230">
        <f>IFERROR(((Data!D63-Data!D62)/Data!D62),0)</f>
        <v>8.1857176976130097E-2</v>
      </c>
      <c r="E63" s="231">
        <f>IFERROR(((Data!E63-Data!E62)/Data!E62),0)</f>
        <v>3.2382943984436106E-3</v>
      </c>
      <c r="F63" s="231">
        <f>IFERROR(((Data!F63-Data!F62)/Data!F62),0)</f>
        <v>0.15004989144824607</v>
      </c>
      <c r="G63" s="231">
        <f>IFERROR(((Data!G63-Data!G62)/Data!G62),0)</f>
        <v>-6.7414101868580198E-2</v>
      </c>
      <c r="H63" s="232">
        <f>IFERROR(((Data!H63-Data!H62)/Data!H62),0)</f>
        <v>5.4154643624924415E-3</v>
      </c>
      <c r="I63" s="232">
        <f>IFERROR(((Data!I63-Data!I62)/Data!I62),0)</f>
        <v>-2.9505155925635497E-2</v>
      </c>
      <c r="J63" s="232">
        <f>IFERROR(((Data!J63-Data!J62)/Data!J62),0)</f>
        <v>-3.3976361631090427E-2</v>
      </c>
      <c r="K63" s="232">
        <f>IFERROR(((Data!K63-Data!K62)/Data!K62),0)</f>
        <v>9.8236710371871219E-2</v>
      </c>
      <c r="L63" s="232">
        <f>IFERROR(((Data!L63-Data!L62)/Data!L62),0)</f>
        <v>4.634708914033308E-2</v>
      </c>
      <c r="M63" s="233">
        <f>IFERROR(((Data!M63-Data!M62)/Data!M62),0)</f>
        <v>8.7295525641334706E-2</v>
      </c>
      <c r="N63" s="233">
        <f>IFERROR(((Data!N63-Data!N62)/Data!N62),0)</f>
        <v>9.3195268827938119E-2</v>
      </c>
      <c r="O63" s="233">
        <f>IFERROR(((Data!O63-Data!O62)/Data!O62),0)</f>
        <v>0.13047367447771804</v>
      </c>
      <c r="P63" s="233">
        <f>IFERROR(((Data!P63-Data!P62)/Data!P62),0)</f>
        <v>1.8421286177775567E-2</v>
      </c>
      <c r="Q63" s="233">
        <f>IFERROR(((Data!Q63-Data!Q62)/Data!Q62),0)</f>
        <v>5.6593650988889674E-2</v>
      </c>
      <c r="R63" s="234">
        <f>IFERROR(((Data!R63-Data!R62)/Data!R62),0)</f>
        <v>8.3133138687466565E-2</v>
      </c>
      <c r="S63" s="234">
        <f>IFERROR(((Data!S63-Data!S62)/Data!S62),0)</f>
        <v>0.11701969609331618</v>
      </c>
      <c r="T63" s="234">
        <f>IFERROR(((Data!T63-Data!T62)/Data!T62),0)</f>
        <v>5.7486531924689312E-2</v>
      </c>
      <c r="U63" s="234">
        <f>IFERROR(((Data!U63-Data!U62)/Data!U62),0)</f>
        <v>0.29975429647427182</v>
      </c>
      <c r="V63" s="235">
        <f>IFERROR(((Data!V63-Data!V62)/Data!V62),0)</f>
        <v>0</v>
      </c>
      <c r="W63" s="236">
        <f>IFERROR(((Data!W63-Data!W62)/Data!W62),0)</f>
        <v>0.15583044852528719</v>
      </c>
      <c r="X63" s="236">
        <f>IFERROR(((Data!X63-Data!X62)/Data!X62),0)</f>
        <v>7.6873623187255935E-2</v>
      </c>
      <c r="Y63" s="236">
        <f>IFERROR(((Data!Y63-Data!Y62)/Data!Y62),0)</f>
        <v>0.12078343589154654</v>
      </c>
      <c r="Z63" s="236">
        <f>IFERROR(((Data!Z63-Data!Z62)/Data!Z62),0)</f>
        <v>0.15415026148666791</v>
      </c>
      <c r="AA63" s="236">
        <f>IFERROR(((Data!AA63-Data!AA62)/Data!AA62),0)</f>
        <v>0.17081857651245547</v>
      </c>
      <c r="AB63" s="237">
        <f>IFERROR(((Data!AB63-Data!AB62)/Data!AB62),0)</f>
        <v>1.150261985981727E-2</v>
      </c>
      <c r="AC63" s="237">
        <f>IFERROR(((Data!AC63-Data!AC62)/Data!AC62),0)</f>
        <v>8.710969858226271E-2</v>
      </c>
      <c r="AD63" s="237">
        <f>IFERROR(((Data!AD63-Data!AD62)/Data!AD62),0)</f>
        <v>2.8211108077270054E-3</v>
      </c>
      <c r="AE63" s="237">
        <f>IFERROR(((Data!AE63-Data!AE62)/Data!AE62),0)</f>
        <v>3.0518120533064068E-2</v>
      </c>
      <c r="AF63" s="237">
        <f>IFERROR(((Data!AF63-Data!AF62)/Data!AF62),0)</f>
        <v>-3.6017995078078874E-2</v>
      </c>
      <c r="AG63" s="238">
        <f>IFERROR(((Data!AG63-Data!AG62)/Data!AG62),0)</f>
        <v>4.3802185493661307E-2</v>
      </c>
      <c r="AH63" s="238">
        <f>IFERROR(((Data!AH63-Data!AH62)/Data!AH62),0)</f>
        <v>4.2609880003219823E-2</v>
      </c>
      <c r="AI63" s="238">
        <f>IFERROR(((Data!AI63-Data!AI62)/Data!AI62),0)</f>
        <v>-4.9149951912073636E-2</v>
      </c>
      <c r="AJ63" s="238">
        <f>IFERROR(((Data!AJ63-Data!AJ62)/Data!AJ62),0)</f>
        <v>-5.4828796126847212E-2</v>
      </c>
      <c r="AK63" s="238">
        <f>IFERROR(((Data!AK63-Data!AK62)/Data!AK62),0)</f>
        <v>7.9340237383880047E-2</v>
      </c>
      <c r="AL63" s="239">
        <f>IFERROR(((Data!AL63-Data!AL62)/Data!AL62),0)</f>
        <v>0.36650689484611576</v>
      </c>
      <c r="AM63" s="239">
        <f>IFERROR(((Data!AM63-Data!AM62)/Data!AM62),0)</f>
        <v>0.23301075924871933</v>
      </c>
      <c r="AN63" s="239">
        <f>IFERROR(((Data!AN63-Data!AN62)/Data!AN62),0)</f>
        <v>0.11325498165167573</v>
      </c>
      <c r="AO63" s="239">
        <f>IFERROR(((Data!AO63-Data!AO62)/Data!AO62),0)</f>
        <v>5.9050064184852376E-2</v>
      </c>
      <c r="AP63" s="239">
        <f>IFERROR(((Data!AP63-Data!AP62)/Data!AP62),0)</f>
        <v>-7.2452214529493852E-2</v>
      </c>
      <c r="AQ63" s="240">
        <f>IFERROR(((Data!AQ63-Data!AQ62)/Data!AQ62),0)</f>
        <v>9.2746411724083776E-3</v>
      </c>
      <c r="AR63" s="240">
        <f>IFERROR(((Data!AR63-Data!AR62)/Data!AR62),0)</f>
        <v>0</v>
      </c>
      <c r="AS63" s="240">
        <f>IFERROR(((Data!AS63-Data!AS62)/Data!AS62),0)</f>
        <v>0.13959448418185291</v>
      </c>
      <c r="AT63" s="240">
        <f>IFERROR(((Data!AT63-Data!AT62)/Data!AT62),0)</f>
        <v>0.12814535423344198</v>
      </c>
      <c r="AU63" s="241">
        <f>IFERROR(((Data!AU63-Data!AU62)/Data!AU62),0)</f>
        <v>-1.3874013251035596E-2</v>
      </c>
      <c r="AV63" s="227">
        <f>IFERROR(((Data!AV63-Data!AV62)/Data!AV62),0)</f>
        <v>-3.6008081882522996E-2</v>
      </c>
      <c r="AW63" s="227">
        <f>IFERROR(((Data!AW63-Data!AW62)/Data!AW62),0)</f>
        <v>-1.4894536560076829E-2</v>
      </c>
      <c r="AX63" s="227">
        <f>IFERROR(((Data!AX63-Data!AX62)/Data!AX62),0)</f>
        <v>2.3051972184442242E-3</v>
      </c>
      <c r="AY63" s="227">
        <f>IFERROR(((Data!AY63-Data!AY62)/Data!AY62),0)</f>
        <v>0.13848441457114694</v>
      </c>
      <c r="AZ63" s="227">
        <f>IFERROR(((Data!AZ63-Data!AZ62)/Data!AZ62),0)</f>
        <v>0.1168730395470451</v>
      </c>
      <c r="BA63" s="228">
        <f>IFERROR(((Data!BA63-Data!BA62)/Data!BA62),0)</f>
        <v>3.9363776715101356E-2</v>
      </c>
      <c r="BB63" s="228">
        <f>IFERROR(((Data!BB63-Data!BB62)/Data!BB62),0)</f>
        <v>3.1524231633132373E-2</v>
      </c>
      <c r="BC63" s="228">
        <f>IFERROR(((Data!BC63-Data!BC62)/Data!BC62),0)</f>
        <v>9.0729023275263693E-2</v>
      </c>
      <c r="BD63" s="228">
        <f>IFERROR(((Data!BD63-Data!BD62)/Data!BD62),0)</f>
        <v>0.11453453602859397</v>
      </c>
      <c r="BE63" s="228">
        <f>IFERROR(((Data!BE63-Data!BE62)/Data!BE62),0)</f>
        <v>0</v>
      </c>
      <c r="BF63" s="229">
        <f>IFERROR(((Data!BF63-Data!BF62)/Data!BF62),0)</f>
        <v>-5.3861955371336319E-2</v>
      </c>
      <c r="BG63" s="229">
        <f>IFERROR(((Data!BG63-Data!BG62)/Data!BG62),0)</f>
        <v>-9.1411535388249698E-2</v>
      </c>
      <c r="BH63" s="229">
        <f>IFERROR(((Data!BH63-Data!BH62)/Data!BH62),0)</f>
        <v>1.5476145920297647E-2</v>
      </c>
      <c r="BI63" s="229">
        <f>IFERROR(((Data!BI63-Data!BI62)/Data!BI62),0)</f>
        <v>0.10984268564659502</v>
      </c>
      <c r="BJ63" s="229">
        <f>IFERROR(((Data!BJ63-Data!BJ62)/Data!BJ62),0)</f>
        <v>-0.20968038802488398</v>
      </c>
    </row>
    <row r="64" spans="2:62" ht="12.5" thickBot="1">
      <c r="B64" s="214">
        <v>45139</v>
      </c>
      <c r="C64" s="230">
        <f>IFERROR(((Data!C64-Data!C63)/Data!C63),0)</f>
        <v>7.4647989060422082E-2</v>
      </c>
      <c r="D64" s="230">
        <f>IFERROR(((Data!D64-Data!D63)/Data!D63),0)</f>
        <v>-4.1255246821453928E-2</v>
      </c>
      <c r="E64" s="242">
        <f>IFERROR(((Data!E64-Data!E63)/Data!E63),0)</f>
        <v>-3.7135638142681116E-2</v>
      </c>
      <c r="F64" s="242">
        <f>IFERROR(((Data!F64-Data!F63)/Data!F63),0)</f>
        <v>-1.0248643474804441E-2</v>
      </c>
      <c r="G64" s="242">
        <f>IFERROR(((Data!G64-Data!G63)/Data!G63),0)</f>
        <v>0.32482198273566826</v>
      </c>
      <c r="H64" s="243">
        <f>IFERROR(((Data!H64-Data!H63)/Data!H63),0)</f>
        <v>-5.6960473132956935E-2</v>
      </c>
      <c r="I64" s="243">
        <f>IFERROR(((Data!I64-Data!I63)/Data!I63),0)</f>
        <v>-3.6609709783112787E-2</v>
      </c>
      <c r="J64" s="243">
        <f>IFERROR(((Data!J64-Data!J63)/Data!J63),0)</f>
        <v>-9.3405535938048262E-3</v>
      </c>
      <c r="K64" s="243">
        <f>IFERROR(((Data!K64-Data!K63)/Data!K63),0)</f>
        <v>2.0068808029890185E-2</v>
      </c>
      <c r="L64" s="243">
        <f>IFERROR(((Data!L64-Data!L63)/Data!L63),0)</f>
        <v>-8.5210150361228684E-2</v>
      </c>
      <c r="M64" s="244">
        <f>IFERROR(((Data!M64-Data!M63)/Data!M63),0)</f>
        <v>-3.9234086050232986E-3</v>
      </c>
      <c r="N64" s="244">
        <f>IFERROR(((Data!N64-Data!N63)/Data!N63),0)</f>
        <v>4.9630662445734504E-2</v>
      </c>
      <c r="O64" s="244">
        <f>IFERROR(((Data!O64-Data!O63)/Data!O63),0)</f>
        <v>4.3235011249619926E-2</v>
      </c>
      <c r="P64" s="244">
        <f>IFERROR(((Data!P64-Data!P63)/Data!P63),0)</f>
        <v>5.1940203361524773E-2</v>
      </c>
      <c r="Q64" s="244">
        <f>IFERROR(((Data!Q64-Data!Q63)/Data!Q63),0)</f>
        <v>2.5391658172561702E-2</v>
      </c>
      <c r="R64" s="245">
        <f>IFERROR(((Data!R64-Data!R63)/Data!R63),0)</f>
        <v>-1.469417732137355E-2</v>
      </c>
      <c r="S64" s="245">
        <f>IFERROR(((Data!S64-Data!S63)/Data!S63),0)</f>
        <v>-8.3426585898779257E-2</v>
      </c>
      <c r="T64" s="245">
        <f>IFERROR(((Data!T64-Data!T63)/Data!T63),0)</f>
        <v>-7.8956136946598768E-2</v>
      </c>
      <c r="U64" s="245">
        <f>IFERROR(((Data!U64-Data!U63)/Data!U63),0)</f>
        <v>-4.1587845776707787E-2</v>
      </c>
      <c r="V64" s="246">
        <f>IFERROR(((Data!V64-Data!V63)/Data!V63),0)</f>
        <v>0</v>
      </c>
      <c r="W64" s="247">
        <f>IFERROR(((Data!W64-Data!W63)/Data!W63),0)</f>
        <v>-9.0139984069460097E-2</v>
      </c>
      <c r="X64" s="247">
        <f>IFERROR(((Data!X64-Data!X63)/Data!X63),0)</f>
        <v>-2.7883359035277E-2</v>
      </c>
      <c r="Y64" s="247">
        <f>IFERROR(((Data!Y64-Data!Y63)/Data!Y63),0)</f>
        <v>-3.2038873786407782E-2</v>
      </c>
      <c r="Z64" s="247">
        <f>IFERROR(((Data!Z64-Data!Z63)/Data!Z63),0)</f>
        <v>-1.6267131431494938E-2</v>
      </c>
      <c r="AA64" s="247">
        <f>IFERROR(((Data!AA64-Data!AA63)/Data!AA63),0)</f>
        <v>-3.0395742833086597E-3</v>
      </c>
      <c r="AB64" s="248">
        <f>IFERROR(((Data!AB64-Data!AB63)/Data!AB63),0)</f>
        <v>-2.3690928545106526E-2</v>
      </c>
      <c r="AC64" s="248">
        <f>IFERROR(((Data!AC64-Data!AC63)/Data!AC63),0)</f>
        <v>-1.0064563829027288E-2</v>
      </c>
      <c r="AD64" s="248">
        <f>IFERROR(((Data!AD64-Data!AD63)/Data!AD63),0)</f>
        <v>-7.9050288305877146E-3</v>
      </c>
      <c r="AE64" s="248">
        <f>IFERROR(((Data!AE64-Data!AE63)/Data!AE63),0)</f>
        <v>7.885673027940901E-2</v>
      </c>
      <c r="AF64" s="248">
        <f>IFERROR(((Data!AF64-Data!AF63)/Data!AF63),0)</f>
        <v>0.13751946244192209</v>
      </c>
      <c r="AG64" s="249">
        <f>IFERROR(((Data!AG64-Data!AG63)/Data!AG63),0)</f>
        <v>-1.3325954047461215E-2</v>
      </c>
      <c r="AH64" s="249">
        <f>IFERROR(((Data!AH64-Data!AH63)/Data!AH63),0)</f>
        <v>2.4415504312428709E-2</v>
      </c>
      <c r="AI64" s="249">
        <f>IFERROR(((Data!AI64-Data!AI63)/Data!AI63),0)</f>
        <v>-2.1126072306388115E-2</v>
      </c>
      <c r="AJ64" s="249">
        <f>IFERROR(((Data!AJ64-Data!AJ63)/Data!AJ63),0)</f>
        <v>-2.9354681690747501E-2</v>
      </c>
      <c r="AK64" s="249">
        <f>IFERROR(((Data!AK64-Data!AK63)/Data!AK63),0)</f>
        <v>0.12093275049714935</v>
      </c>
      <c r="AL64" s="250">
        <f>IFERROR(((Data!AL64-Data!AL63)/Data!AL63),0)</f>
        <v>0.12935838755456852</v>
      </c>
      <c r="AM64" s="250">
        <f>IFERROR(((Data!AM64-Data!AM63)/Data!AM63),0)</f>
        <v>1.4217157203123686E-2</v>
      </c>
      <c r="AN64" s="250">
        <f>IFERROR(((Data!AN64-Data!AN63)/Data!AN63),0)</f>
        <v>0.12547415042511442</v>
      </c>
      <c r="AO64" s="250">
        <f>IFERROR(((Data!AO64-Data!AO63)/Data!AO63),0)</f>
        <v>-2.8363665454545491E-2</v>
      </c>
      <c r="AP64" s="250">
        <f>IFERROR(((Data!AP64-Data!AP63)/Data!AP63),0)</f>
        <v>9.012875536480687E-2</v>
      </c>
      <c r="AQ64" s="251">
        <f>IFERROR(((Data!AQ64-Data!AQ63)/Data!AQ63),0)</f>
        <v>-3.4042044534922163E-2</v>
      </c>
      <c r="AR64" s="251">
        <f>IFERROR(((Data!AR64-Data!AR63)/Data!AR63),0)</f>
        <v>5.7547160332096205E-2</v>
      </c>
      <c r="AS64" s="251">
        <f>IFERROR(((Data!AS64-Data!AS63)/Data!AS63),0)</f>
        <v>2.9652597137014625E-3</v>
      </c>
      <c r="AT64" s="251">
        <f>IFERROR(((Data!AT64-Data!AT63)/Data!AT63),0)</f>
        <v>6.7208271787296894E-2</v>
      </c>
      <c r="AU64" s="252">
        <f>IFERROR(((Data!AU64-Data!AU63)/Data!AU63),0)</f>
        <v>0.10551947823550913</v>
      </c>
      <c r="AV64" s="227">
        <f>IFERROR(((Data!AV64-Data!AV63)/Data!AV63),0)</f>
        <v>-2.3625620447650752E-3</v>
      </c>
      <c r="AW64" s="227">
        <f>IFERROR(((Data!AW64-Data!AW63)/Data!AW63),0)</f>
        <v>-3.2070728272703457E-2</v>
      </c>
      <c r="AX64" s="227">
        <f>IFERROR(((Data!AX64-Data!AX63)/Data!AX63),0)</f>
        <v>0.11791393979371632</v>
      </c>
      <c r="AY64" s="227">
        <f>IFERROR(((Data!AY64-Data!AY63)/Data!AY63),0)</f>
        <v>0.17007721449773971</v>
      </c>
      <c r="AZ64" s="227">
        <f>IFERROR(((Data!AZ64-Data!AZ63)/Data!AZ63),0)</f>
        <v>0.12751215767260093</v>
      </c>
      <c r="BA64" s="228">
        <f>IFERROR(((Data!BA64-Data!BA63)/Data!BA63),0)</f>
        <v>-2.7161419363529546E-2</v>
      </c>
      <c r="BB64" s="228">
        <f>IFERROR(((Data!BB64-Data!BB63)/Data!BB63),0)</f>
        <v>-6.5338613191598158E-2</v>
      </c>
      <c r="BC64" s="228">
        <f>IFERROR(((Data!BC64-Data!BC63)/Data!BC63),0)</f>
        <v>5.930709412388125E-2</v>
      </c>
      <c r="BD64" s="228">
        <f>IFERROR(((Data!BD64-Data!BD63)/Data!BD63),0)</f>
        <v>-5.819314363317768E-2</v>
      </c>
      <c r="BE64" s="228">
        <f>IFERROR(((Data!BE64-Data!BE63)/Data!BE63),0)</f>
        <v>0</v>
      </c>
      <c r="BF64" s="229">
        <f>IFERROR(((Data!BF64-Data!BF63)/Data!BF63),0)</f>
        <v>-1.6743555608341538E-3</v>
      </c>
      <c r="BG64" s="229">
        <f>IFERROR(((Data!BG64-Data!BG63)/Data!BG63),0)</f>
        <v>-7.4035510225184203E-2</v>
      </c>
      <c r="BH64" s="229">
        <f>IFERROR(((Data!BH64-Data!BH63)/Data!BH63),0)</f>
        <v>6.4096565752057286E-2</v>
      </c>
      <c r="BI64" s="229">
        <f>IFERROR(((Data!BI64-Data!BI63)/Data!BI63),0)</f>
        <v>-2.7428845714286059E-3</v>
      </c>
      <c r="BJ64" s="229">
        <f>IFERROR(((Data!BJ64-Data!BJ63)/Data!BJ63),0)</f>
        <v>-4.0790682823874672E-2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summaryRight="0"/>
  </sheetPr>
  <dimension ref="B2:I605"/>
  <sheetViews>
    <sheetView showGridLines="0" zoomScale="50" zoomScaleNormal="50" workbookViewId="0">
      <selection activeCell="B2" sqref="B2"/>
    </sheetView>
  </sheetViews>
  <sheetFormatPr defaultColWidth="12.54296875" defaultRowHeight="15.75" customHeight="1"/>
  <cols>
    <col min="1" max="1" width="2.54296875" customWidth="1"/>
    <col min="2" max="2" width="52.26953125" bestFit="1" customWidth="1"/>
    <col min="3" max="3" width="24.54296875" bestFit="1" customWidth="1"/>
    <col min="4" max="4" width="15.81640625" bestFit="1" customWidth="1"/>
    <col min="5" max="5" width="19.453125" bestFit="1" customWidth="1"/>
    <col min="6" max="6" width="13.81640625" bestFit="1" customWidth="1"/>
    <col min="7" max="7" width="19.1796875" bestFit="1" customWidth="1"/>
    <col min="8" max="8" width="12.54296875" bestFit="1" customWidth="1"/>
    <col min="9" max="9" width="13.7265625" bestFit="1" customWidth="1"/>
  </cols>
  <sheetData>
    <row r="2" spans="2:9" ht="15.75" customHeight="1">
      <c r="B2" s="254" t="s">
        <v>987</v>
      </c>
    </row>
    <row r="3" spans="2:9" ht="15.75" customHeight="1" thickBot="1"/>
    <row r="4" spans="2:9" ht="15.75" customHeight="1">
      <c r="B4" s="346" t="s">
        <v>106</v>
      </c>
      <c r="C4" s="347" t="s">
        <v>171</v>
      </c>
      <c r="D4" s="347" t="s">
        <v>172</v>
      </c>
      <c r="E4" s="347" t="s">
        <v>173</v>
      </c>
      <c r="F4" s="347" t="s">
        <v>110</v>
      </c>
      <c r="G4" s="347" t="s">
        <v>111</v>
      </c>
      <c r="H4" s="347" t="s">
        <v>174</v>
      </c>
      <c r="I4" s="348" t="s">
        <v>175</v>
      </c>
    </row>
    <row r="5" spans="2:9" ht="15.75" customHeight="1">
      <c r="B5" s="349" t="s">
        <v>176</v>
      </c>
      <c r="C5" s="253" t="s">
        <v>68</v>
      </c>
      <c r="D5" s="253" t="s">
        <v>177</v>
      </c>
      <c r="E5" s="253">
        <v>48</v>
      </c>
      <c r="F5" s="253">
        <v>50</v>
      </c>
      <c r="G5" s="253">
        <v>69</v>
      </c>
      <c r="H5" s="253">
        <v>57</v>
      </c>
      <c r="I5" s="350" t="s">
        <v>178</v>
      </c>
    </row>
    <row r="6" spans="2:9" ht="15.75" customHeight="1">
      <c r="B6" s="349" t="s">
        <v>179</v>
      </c>
      <c r="C6" s="253" t="s">
        <v>180</v>
      </c>
      <c r="D6" s="253" t="s">
        <v>177</v>
      </c>
      <c r="E6" s="253">
        <v>41</v>
      </c>
      <c r="F6" s="253">
        <v>46</v>
      </c>
      <c r="G6" s="253">
        <v>69</v>
      </c>
      <c r="H6" s="253">
        <v>54</v>
      </c>
      <c r="I6" s="350" t="s">
        <v>178</v>
      </c>
    </row>
    <row r="7" spans="2:9" ht="15.75" customHeight="1">
      <c r="B7" s="349" t="s">
        <v>181</v>
      </c>
      <c r="C7" s="253" t="s">
        <v>182</v>
      </c>
      <c r="D7" s="253" t="s">
        <v>183</v>
      </c>
      <c r="E7" s="253">
        <v>62</v>
      </c>
      <c r="F7" s="253">
        <v>53</v>
      </c>
      <c r="G7" s="253">
        <v>64</v>
      </c>
      <c r="H7" s="253">
        <v>61</v>
      </c>
      <c r="I7" s="350" t="s">
        <v>184</v>
      </c>
    </row>
    <row r="8" spans="2:9" ht="15.75" customHeight="1">
      <c r="B8" s="349" t="s">
        <v>185</v>
      </c>
      <c r="C8" s="253" t="s">
        <v>186</v>
      </c>
      <c r="D8" s="253" t="s">
        <v>177</v>
      </c>
      <c r="E8" s="253">
        <v>42</v>
      </c>
      <c r="F8" s="253">
        <v>60</v>
      </c>
      <c r="G8" s="253">
        <v>59</v>
      </c>
      <c r="H8" s="253">
        <v>53</v>
      </c>
      <c r="I8" s="350" t="s">
        <v>178</v>
      </c>
    </row>
    <row r="9" spans="2:9" ht="15.75" customHeight="1">
      <c r="B9" s="349" t="s">
        <v>187</v>
      </c>
      <c r="C9" s="253" t="s">
        <v>182</v>
      </c>
      <c r="D9" s="253" t="s">
        <v>177</v>
      </c>
      <c r="E9" s="253">
        <v>62</v>
      </c>
      <c r="F9" s="253">
        <v>59</v>
      </c>
      <c r="G9" s="253">
        <v>72</v>
      </c>
      <c r="H9" s="253">
        <v>66</v>
      </c>
      <c r="I9" s="350" t="s">
        <v>184</v>
      </c>
    </row>
    <row r="10" spans="2:9" ht="15.75" customHeight="1">
      <c r="B10" s="349" t="s">
        <v>188</v>
      </c>
      <c r="C10" s="253" t="s">
        <v>180</v>
      </c>
      <c r="D10" s="253" t="s">
        <v>177</v>
      </c>
      <c r="E10" s="253">
        <v>58</v>
      </c>
      <c r="F10" s="253">
        <v>56</v>
      </c>
      <c r="G10" s="253">
        <v>70</v>
      </c>
      <c r="H10" s="253">
        <v>62</v>
      </c>
      <c r="I10" s="350" t="s">
        <v>184</v>
      </c>
    </row>
    <row r="11" spans="2:9" ht="15.75" customHeight="1">
      <c r="B11" s="349" t="s">
        <v>189</v>
      </c>
      <c r="C11" s="253" t="s">
        <v>53</v>
      </c>
      <c r="D11" s="253" t="s">
        <v>177</v>
      </c>
      <c r="E11" s="253">
        <v>60</v>
      </c>
      <c r="F11" s="253">
        <v>62</v>
      </c>
      <c r="G11" s="253">
        <v>70</v>
      </c>
      <c r="H11" s="253">
        <v>65</v>
      </c>
      <c r="I11" s="350" t="s">
        <v>184</v>
      </c>
    </row>
    <row r="12" spans="2:9" ht="15.75" customHeight="1">
      <c r="B12" s="349" t="s">
        <v>190</v>
      </c>
      <c r="C12" s="253" t="s">
        <v>70</v>
      </c>
      <c r="D12" s="253" t="s">
        <v>177</v>
      </c>
      <c r="E12" s="253">
        <v>53</v>
      </c>
      <c r="F12" s="253">
        <v>52</v>
      </c>
      <c r="G12" s="253">
        <v>69</v>
      </c>
      <c r="H12" s="253">
        <v>59</v>
      </c>
      <c r="I12" s="350" t="s">
        <v>178</v>
      </c>
    </row>
    <row r="13" spans="2:9" ht="15.75" customHeight="1">
      <c r="B13" s="349" t="s">
        <v>191</v>
      </c>
      <c r="C13" s="253" t="s">
        <v>180</v>
      </c>
      <c r="D13" s="253" t="s">
        <v>177</v>
      </c>
      <c r="E13" s="253">
        <v>36</v>
      </c>
      <c r="F13" s="253">
        <v>38</v>
      </c>
      <c r="G13" s="253">
        <v>74</v>
      </c>
      <c r="H13" s="253">
        <v>52</v>
      </c>
      <c r="I13" s="350" t="s">
        <v>178</v>
      </c>
    </row>
    <row r="14" spans="2:9" ht="15.75" customHeight="1">
      <c r="B14" s="349" t="s">
        <v>192</v>
      </c>
      <c r="C14" s="253" t="s">
        <v>193</v>
      </c>
      <c r="D14" s="253" t="s">
        <v>177</v>
      </c>
      <c r="E14" s="253">
        <v>33</v>
      </c>
      <c r="F14" s="253">
        <v>52</v>
      </c>
      <c r="G14" s="253">
        <v>50</v>
      </c>
      <c r="H14" s="253">
        <v>44</v>
      </c>
      <c r="I14" s="350" t="s">
        <v>194</v>
      </c>
    </row>
    <row r="15" spans="2:9" ht="15.75" customHeight="1">
      <c r="B15" s="349" t="s">
        <v>143</v>
      </c>
      <c r="C15" s="253" t="s">
        <v>195</v>
      </c>
      <c r="D15" s="253" t="s">
        <v>177</v>
      </c>
      <c r="E15" s="253">
        <v>74</v>
      </c>
      <c r="F15" s="253">
        <v>57</v>
      </c>
      <c r="G15" s="253">
        <v>64</v>
      </c>
      <c r="H15" s="253">
        <v>66</v>
      </c>
      <c r="I15" s="350" t="s">
        <v>184</v>
      </c>
    </row>
    <row r="16" spans="2:9" ht="15.75" customHeight="1">
      <c r="B16" s="349" t="s">
        <v>196</v>
      </c>
      <c r="C16" s="253" t="s">
        <v>102</v>
      </c>
      <c r="D16" s="253" t="s">
        <v>177</v>
      </c>
      <c r="E16" s="253">
        <v>33</v>
      </c>
      <c r="F16" s="253">
        <v>57</v>
      </c>
      <c r="G16" s="253">
        <v>57</v>
      </c>
      <c r="H16" s="253">
        <v>48</v>
      </c>
      <c r="I16" s="350" t="s">
        <v>178</v>
      </c>
    </row>
    <row r="17" spans="2:9" ht="15.75" customHeight="1">
      <c r="B17" s="349" t="s">
        <v>197</v>
      </c>
      <c r="C17" s="253" t="s">
        <v>198</v>
      </c>
      <c r="D17" s="253" t="s">
        <v>177</v>
      </c>
      <c r="E17" s="253">
        <v>47</v>
      </c>
      <c r="F17" s="253">
        <v>51</v>
      </c>
      <c r="G17" s="253">
        <v>62</v>
      </c>
      <c r="H17" s="253">
        <v>54</v>
      </c>
      <c r="I17" s="350" t="s">
        <v>178</v>
      </c>
    </row>
    <row r="18" spans="2:9" ht="15.75" customHeight="1">
      <c r="B18" s="349" t="s">
        <v>199</v>
      </c>
      <c r="C18" s="253" t="s">
        <v>200</v>
      </c>
      <c r="D18" s="253" t="s">
        <v>177</v>
      </c>
      <c r="E18" s="253">
        <v>45</v>
      </c>
      <c r="F18" s="253">
        <v>51</v>
      </c>
      <c r="G18" s="253">
        <v>70</v>
      </c>
      <c r="H18" s="253">
        <v>57</v>
      </c>
      <c r="I18" s="350" t="s">
        <v>178</v>
      </c>
    </row>
    <row r="19" spans="2:9" ht="15.75" customHeight="1">
      <c r="B19" s="349" t="s">
        <v>201</v>
      </c>
      <c r="C19" s="253" t="s">
        <v>202</v>
      </c>
      <c r="D19" s="253" t="s">
        <v>177</v>
      </c>
      <c r="E19" s="253">
        <v>61</v>
      </c>
      <c r="F19" s="253">
        <v>57</v>
      </c>
      <c r="G19" s="253">
        <v>65</v>
      </c>
      <c r="H19" s="253">
        <v>62</v>
      </c>
      <c r="I19" s="350" t="s">
        <v>184</v>
      </c>
    </row>
    <row r="20" spans="2:9" ht="15.75" customHeight="1">
      <c r="B20" s="349" t="s">
        <v>203</v>
      </c>
      <c r="C20" s="253" t="s">
        <v>204</v>
      </c>
      <c r="D20" s="253" t="s">
        <v>177</v>
      </c>
      <c r="E20" s="253">
        <v>69</v>
      </c>
      <c r="F20" s="253">
        <v>56</v>
      </c>
      <c r="G20" s="253">
        <v>69</v>
      </c>
      <c r="H20" s="253">
        <v>66</v>
      </c>
      <c r="I20" s="350" t="s">
        <v>184</v>
      </c>
    </row>
    <row r="21" spans="2:9" ht="15.75" customHeight="1">
      <c r="B21" s="349" t="s">
        <v>205</v>
      </c>
      <c r="C21" s="253" t="s">
        <v>206</v>
      </c>
      <c r="D21" s="253" t="s">
        <v>177</v>
      </c>
      <c r="E21" s="253">
        <v>57</v>
      </c>
      <c r="F21" s="253">
        <v>56</v>
      </c>
      <c r="G21" s="253">
        <v>68</v>
      </c>
      <c r="H21" s="253">
        <v>61</v>
      </c>
      <c r="I21" s="350" t="s">
        <v>184</v>
      </c>
    </row>
    <row r="22" spans="2:9" ht="15.75" customHeight="1">
      <c r="B22" s="349" t="s">
        <v>207</v>
      </c>
      <c r="C22" s="253" t="s">
        <v>182</v>
      </c>
      <c r="D22" s="253" t="s">
        <v>183</v>
      </c>
      <c r="E22" s="253">
        <v>62</v>
      </c>
      <c r="F22" s="253">
        <v>59</v>
      </c>
      <c r="G22" s="253">
        <v>63</v>
      </c>
      <c r="H22" s="253">
        <v>62</v>
      </c>
      <c r="I22" s="350" t="s">
        <v>184</v>
      </c>
    </row>
    <row r="23" spans="2:9" ht="14">
      <c r="B23" s="349" t="s">
        <v>208</v>
      </c>
      <c r="C23" s="253" t="s">
        <v>182</v>
      </c>
      <c r="D23" s="253" t="s">
        <v>183</v>
      </c>
      <c r="E23" s="253">
        <v>62</v>
      </c>
      <c r="F23" s="253">
        <v>56</v>
      </c>
      <c r="G23" s="253">
        <v>69</v>
      </c>
      <c r="H23" s="253">
        <v>63</v>
      </c>
      <c r="I23" s="350" t="s">
        <v>184</v>
      </c>
    </row>
    <row r="24" spans="2:9" ht="14">
      <c r="B24" s="349" t="s">
        <v>209</v>
      </c>
      <c r="C24" s="253" t="s">
        <v>68</v>
      </c>
      <c r="D24" s="253" t="s">
        <v>177</v>
      </c>
      <c r="E24" s="253">
        <v>48</v>
      </c>
      <c r="F24" s="253">
        <v>48</v>
      </c>
      <c r="G24" s="253">
        <v>68</v>
      </c>
      <c r="H24" s="253">
        <v>56</v>
      </c>
      <c r="I24" s="350" t="s">
        <v>178</v>
      </c>
    </row>
    <row r="25" spans="2:9" ht="14">
      <c r="B25" s="349" t="s">
        <v>210</v>
      </c>
      <c r="C25" s="253" t="s">
        <v>53</v>
      </c>
      <c r="D25" s="253" t="s">
        <v>177</v>
      </c>
      <c r="E25" s="253">
        <v>32</v>
      </c>
      <c r="F25" s="253">
        <v>54</v>
      </c>
      <c r="G25" s="253">
        <v>70</v>
      </c>
      <c r="H25" s="253">
        <v>53</v>
      </c>
      <c r="I25" s="350" t="s">
        <v>178</v>
      </c>
    </row>
    <row r="26" spans="2:9" ht="14">
      <c r="B26" s="349" t="s">
        <v>211</v>
      </c>
      <c r="C26" s="253" t="s">
        <v>212</v>
      </c>
      <c r="D26" s="253" t="s">
        <v>177</v>
      </c>
      <c r="E26" s="253">
        <v>43</v>
      </c>
      <c r="F26" s="253">
        <v>52</v>
      </c>
      <c r="G26" s="253">
        <v>73</v>
      </c>
      <c r="H26" s="253">
        <v>57</v>
      </c>
      <c r="I26" s="350" t="s">
        <v>178</v>
      </c>
    </row>
    <row r="27" spans="2:9" ht="14">
      <c r="B27" s="349" t="s">
        <v>213</v>
      </c>
      <c r="C27" s="253" t="s">
        <v>214</v>
      </c>
      <c r="D27" s="253" t="s">
        <v>177</v>
      </c>
      <c r="E27" s="253">
        <v>29</v>
      </c>
      <c r="F27" s="253">
        <v>45</v>
      </c>
      <c r="G27" s="253">
        <v>56</v>
      </c>
      <c r="H27" s="253">
        <v>44</v>
      </c>
      <c r="I27" s="350" t="s">
        <v>194</v>
      </c>
    </row>
    <row r="28" spans="2:9" ht="14">
      <c r="B28" s="349" t="s">
        <v>215</v>
      </c>
      <c r="C28" s="253" t="s">
        <v>216</v>
      </c>
      <c r="D28" s="253" t="s">
        <v>177</v>
      </c>
      <c r="E28" s="253">
        <v>52</v>
      </c>
      <c r="F28" s="253">
        <v>46</v>
      </c>
      <c r="G28" s="253">
        <v>76</v>
      </c>
      <c r="H28" s="253">
        <v>60</v>
      </c>
      <c r="I28" s="350" t="s">
        <v>178</v>
      </c>
    </row>
    <row r="29" spans="2:9" ht="14">
      <c r="B29" s="349" t="s">
        <v>217</v>
      </c>
      <c r="C29" s="253" t="s">
        <v>53</v>
      </c>
      <c r="D29" s="253" t="s">
        <v>177</v>
      </c>
      <c r="E29" s="253">
        <v>33</v>
      </c>
      <c r="F29" s="253">
        <v>58</v>
      </c>
      <c r="G29" s="253">
        <v>72</v>
      </c>
      <c r="H29" s="253">
        <v>55</v>
      </c>
      <c r="I29" s="350" t="s">
        <v>178</v>
      </c>
    </row>
    <row r="30" spans="2:9" ht="14">
      <c r="B30" s="349" t="s">
        <v>218</v>
      </c>
      <c r="C30" s="253" t="s">
        <v>219</v>
      </c>
      <c r="D30" s="253" t="s">
        <v>177</v>
      </c>
      <c r="E30" s="253">
        <v>37</v>
      </c>
      <c r="F30" s="253">
        <v>52</v>
      </c>
      <c r="G30" s="253">
        <v>66</v>
      </c>
      <c r="H30" s="253">
        <v>52</v>
      </c>
      <c r="I30" s="350" t="s">
        <v>178</v>
      </c>
    </row>
    <row r="31" spans="2:9" ht="14">
      <c r="B31" s="349" t="s">
        <v>220</v>
      </c>
      <c r="C31" s="253" t="s">
        <v>84</v>
      </c>
      <c r="D31" s="253" t="s">
        <v>177</v>
      </c>
      <c r="E31" s="253">
        <v>34</v>
      </c>
      <c r="F31" s="253">
        <v>32</v>
      </c>
      <c r="G31" s="253">
        <v>63</v>
      </c>
      <c r="H31" s="253">
        <v>45</v>
      </c>
      <c r="I31" s="350" t="s">
        <v>194</v>
      </c>
    </row>
    <row r="32" spans="2:9" ht="14">
      <c r="B32" s="349" t="s">
        <v>221</v>
      </c>
      <c r="C32" s="253" t="s">
        <v>53</v>
      </c>
      <c r="D32" s="253" t="s">
        <v>177</v>
      </c>
      <c r="E32" s="253">
        <v>36</v>
      </c>
      <c r="F32" s="253">
        <v>56</v>
      </c>
      <c r="G32" s="253">
        <v>71</v>
      </c>
      <c r="H32" s="253">
        <v>55</v>
      </c>
      <c r="I32" s="350" t="s">
        <v>178</v>
      </c>
    </row>
    <row r="33" spans="2:9" ht="14">
      <c r="B33" s="349" t="s">
        <v>222</v>
      </c>
      <c r="C33" s="253" t="s">
        <v>53</v>
      </c>
      <c r="D33" s="253" t="s">
        <v>177</v>
      </c>
      <c r="E33" s="253">
        <v>46</v>
      </c>
      <c r="F33" s="253">
        <v>54</v>
      </c>
      <c r="G33" s="253">
        <v>74</v>
      </c>
      <c r="H33" s="253">
        <v>59</v>
      </c>
      <c r="I33" s="350" t="s">
        <v>178</v>
      </c>
    </row>
    <row r="34" spans="2:9" ht="14">
      <c r="B34" s="349" t="s">
        <v>223</v>
      </c>
      <c r="C34" s="253" t="s">
        <v>224</v>
      </c>
      <c r="D34" s="253" t="s">
        <v>177</v>
      </c>
      <c r="E34" s="253">
        <v>32</v>
      </c>
      <c r="F34" s="253">
        <v>45</v>
      </c>
      <c r="G34" s="253">
        <v>70</v>
      </c>
      <c r="H34" s="253">
        <v>50</v>
      </c>
      <c r="I34" s="350" t="s">
        <v>178</v>
      </c>
    </row>
    <row r="35" spans="2:9" ht="14">
      <c r="B35" s="349" t="s">
        <v>225</v>
      </c>
      <c r="C35" s="253" t="s">
        <v>226</v>
      </c>
      <c r="D35" s="253" t="s">
        <v>177</v>
      </c>
      <c r="E35" s="253">
        <v>46</v>
      </c>
      <c r="F35" s="253">
        <v>40</v>
      </c>
      <c r="G35" s="253">
        <v>71</v>
      </c>
      <c r="H35" s="253">
        <v>55</v>
      </c>
      <c r="I35" s="350" t="s">
        <v>178</v>
      </c>
    </row>
    <row r="36" spans="2:9" ht="14">
      <c r="B36" s="349" t="s">
        <v>227</v>
      </c>
      <c r="C36" s="253" t="s">
        <v>70</v>
      </c>
      <c r="D36" s="253" t="s">
        <v>177</v>
      </c>
      <c r="E36" s="253">
        <v>50</v>
      </c>
      <c r="F36" s="253">
        <v>58</v>
      </c>
      <c r="G36" s="253">
        <v>69</v>
      </c>
      <c r="H36" s="253">
        <v>60</v>
      </c>
      <c r="I36" s="350" t="s">
        <v>178</v>
      </c>
    </row>
    <row r="37" spans="2:9" ht="14">
      <c r="B37" s="349" t="s">
        <v>228</v>
      </c>
      <c r="C37" s="253" t="s">
        <v>68</v>
      </c>
      <c r="D37" s="253" t="s">
        <v>177</v>
      </c>
      <c r="E37" s="253">
        <v>43</v>
      </c>
      <c r="F37" s="253">
        <v>49</v>
      </c>
      <c r="G37" s="253">
        <v>74</v>
      </c>
      <c r="H37" s="253">
        <v>57</v>
      </c>
      <c r="I37" s="350" t="s">
        <v>178</v>
      </c>
    </row>
    <row r="38" spans="2:9" ht="14">
      <c r="B38" s="349" t="s">
        <v>229</v>
      </c>
      <c r="C38" s="253" t="s">
        <v>180</v>
      </c>
      <c r="D38" s="253" t="s">
        <v>177</v>
      </c>
      <c r="E38" s="253">
        <v>56</v>
      </c>
      <c r="F38" s="253">
        <v>48</v>
      </c>
      <c r="G38" s="253">
        <v>68</v>
      </c>
      <c r="H38" s="253">
        <v>59</v>
      </c>
      <c r="I38" s="350" t="s">
        <v>178</v>
      </c>
    </row>
    <row r="39" spans="2:9" ht="14">
      <c r="B39" s="349" t="s">
        <v>230</v>
      </c>
      <c r="C39" s="253" t="s">
        <v>231</v>
      </c>
      <c r="D39" s="253" t="s">
        <v>177</v>
      </c>
      <c r="E39" s="253">
        <v>40</v>
      </c>
      <c r="F39" s="253">
        <v>43</v>
      </c>
      <c r="G39" s="253">
        <v>72</v>
      </c>
      <c r="H39" s="253">
        <v>54</v>
      </c>
      <c r="I39" s="350" t="s">
        <v>178</v>
      </c>
    </row>
    <row r="40" spans="2:9" ht="14">
      <c r="B40" s="349" t="s">
        <v>232</v>
      </c>
      <c r="C40" s="253" t="s">
        <v>233</v>
      </c>
      <c r="D40" s="253" t="s">
        <v>177</v>
      </c>
      <c r="E40" s="253">
        <v>43</v>
      </c>
      <c r="F40" s="253">
        <v>50</v>
      </c>
      <c r="G40" s="253">
        <v>66</v>
      </c>
      <c r="H40" s="253">
        <v>54</v>
      </c>
      <c r="I40" s="350" t="s">
        <v>178</v>
      </c>
    </row>
    <row r="41" spans="2:9" ht="14">
      <c r="B41" s="349" t="s">
        <v>234</v>
      </c>
      <c r="C41" s="253" t="s">
        <v>206</v>
      </c>
      <c r="D41" s="253" t="s">
        <v>177</v>
      </c>
      <c r="E41" s="253">
        <v>39</v>
      </c>
      <c r="F41" s="253">
        <v>47</v>
      </c>
      <c r="G41" s="253">
        <v>62</v>
      </c>
      <c r="H41" s="253">
        <v>50</v>
      </c>
      <c r="I41" s="350" t="s">
        <v>178</v>
      </c>
    </row>
    <row r="42" spans="2:9" ht="14">
      <c r="B42" s="349" t="s">
        <v>235</v>
      </c>
      <c r="C42" s="253" t="s">
        <v>89</v>
      </c>
      <c r="D42" s="253" t="s">
        <v>177</v>
      </c>
      <c r="E42" s="253">
        <v>51</v>
      </c>
      <c r="F42" s="253">
        <v>51</v>
      </c>
      <c r="G42" s="253">
        <v>64</v>
      </c>
      <c r="H42" s="253">
        <v>56</v>
      </c>
      <c r="I42" s="350" t="s">
        <v>178</v>
      </c>
    </row>
    <row r="43" spans="2:9" ht="14">
      <c r="B43" s="349" t="s">
        <v>236</v>
      </c>
      <c r="C43" s="253" t="s">
        <v>237</v>
      </c>
      <c r="D43" s="253" t="s">
        <v>177</v>
      </c>
      <c r="E43" s="253">
        <v>51</v>
      </c>
      <c r="F43" s="253">
        <v>49</v>
      </c>
      <c r="G43" s="253">
        <v>74</v>
      </c>
      <c r="H43" s="253">
        <v>60</v>
      </c>
      <c r="I43" s="350" t="s">
        <v>178</v>
      </c>
    </row>
    <row r="44" spans="2:9" ht="14">
      <c r="B44" s="349" t="s">
        <v>238</v>
      </c>
      <c r="C44" s="253" t="s">
        <v>239</v>
      </c>
      <c r="D44" s="253" t="s">
        <v>177</v>
      </c>
      <c r="E44" s="253">
        <v>21</v>
      </c>
      <c r="F44" s="253">
        <v>42</v>
      </c>
      <c r="G44" s="253">
        <v>58</v>
      </c>
      <c r="H44" s="253">
        <v>41</v>
      </c>
      <c r="I44" s="350" t="s">
        <v>194</v>
      </c>
    </row>
    <row r="45" spans="2:9" ht="14">
      <c r="B45" s="349" t="s">
        <v>240</v>
      </c>
      <c r="C45" s="253" t="s">
        <v>219</v>
      </c>
      <c r="D45" s="253" t="s">
        <v>177</v>
      </c>
      <c r="E45" s="253">
        <v>61</v>
      </c>
      <c r="F45" s="253">
        <v>59</v>
      </c>
      <c r="G45" s="253">
        <v>80</v>
      </c>
      <c r="H45" s="253">
        <v>68</v>
      </c>
      <c r="I45" s="350" t="s">
        <v>184</v>
      </c>
    </row>
    <row r="46" spans="2:9" ht="14">
      <c r="B46" s="349" t="s">
        <v>241</v>
      </c>
      <c r="C46" s="253" t="s">
        <v>86</v>
      </c>
      <c r="D46" s="253" t="s">
        <v>177</v>
      </c>
      <c r="E46" s="253">
        <v>64</v>
      </c>
      <c r="F46" s="253">
        <v>56</v>
      </c>
      <c r="G46" s="253">
        <v>69</v>
      </c>
      <c r="H46" s="253">
        <v>64</v>
      </c>
      <c r="I46" s="350" t="s">
        <v>184</v>
      </c>
    </row>
    <row r="47" spans="2:9" ht="14">
      <c r="B47" s="349" t="s">
        <v>242</v>
      </c>
      <c r="C47" s="253" t="s">
        <v>243</v>
      </c>
      <c r="D47" s="253" t="s">
        <v>177</v>
      </c>
      <c r="E47" s="253">
        <v>57</v>
      </c>
      <c r="F47" s="253">
        <v>49</v>
      </c>
      <c r="G47" s="253">
        <v>72</v>
      </c>
      <c r="H47" s="253">
        <v>61</v>
      </c>
      <c r="I47" s="350" t="s">
        <v>184</v>
      </c>
    </row>
    <row r="48" spans="2:9" ht="14">
      <c r="B48" s="349" t="s">
        <v>244</v>
      </c>
      <c r="C48" s="253" t="s">
        <v>53</v>
      </c>
      <c r="D48" s="253" t="s">
        <v>177</v>
      </c>
      <c r="E48" s="253">
        <v>39</v>
      </c>
      <c r="F48" s="253">
        <v>60</v>
      </c>
      <c r="G48" s="253">
        <v>77</v>
      </c>
      <c r="H48" s="253">
        <v>59</v>
      </c>
      <c r="I48" s="350" t="s">
        <v>178</v>
      </c>
    </row>
    <row r="49" spans="2:9" ht="14">
      <c r="B49" s="349" t="s">
        <v>245</v>
      </c>
      <c r="C49" s="253" t="s">
        <v>186</v>
      </c>
      <c r="D49" s="253" t="s">
        <v>177</v>
      </c>
      <c r="E49" s="253">
        <v>24</v>
      </c>
      <c r="F49" s="253">
        <v>45</v>
      </c>
      <c r="G49" s="253">
        <v>57</v>
      </c>
      <c r="H49" s="253">
        <v>43</v>
      </c>
      <c r="I49" s="350" t="s">
        <v>194</v>
      </c>
    </row>
    <row r="50" spans="2:9" ht="14">
      <c r="B50" s="349" t="s">
        <v>246</v>
      </c>
      <c r="C50" s="253" t="s">
        <v>182</v>
      </c>
      <c r="D50" s="253" t="s">
        <v>177</v>
      </c>
      <c r="E50" s="253">
        <v>60</v>
      </c>
      <c r="F50" s="253">
        <v>60</v>
      </c>
      <c r="G50" s="253">
        <v>77</v>
      </c>
      <c r="H50" s="253">
        <v>67</v>
      </c>
      <c r="I50" s="350" t="s">
        <v>184</v>
      </c>
    </row>
    <row r="51" spans="2:9" ht="14">
      <c r="B51" s="349" t="s">
        <v>247</v>
      </c>
      <c r="C51" s="253" t="s">
        <v>53</v>
      </c>
      <c r="D51" s="253" t="s">
        <v>177</v>
      </c>
      <c r="E51" s="253">
        <v>54</v>
      </c>
      <c r="F51" s="253">
        <v>60</v>
      </c>
      <c r="G51" s="253">
        <v>69</v>
      </c>
      <c r="H51" s="253">
        <v>61</v>
      </c>
      <c r="I51" s="350" t="s">
        <v>184</v>
      </c>
    </row>
    <row r="52" spans="2:9" ht="14">
      <c r="B52" s="349" t="s">
        <v>248</v>
      </c>
      <c r="C52" s="253" t="s">
        <v>249</v>
      </c>
      <c r="D52" s="253" t="s">
        <v>177</v>
      </c>
      <c r="E52" s="253">
        <v>38</v>
      </c>
      <c r="F52" s="253">
        <v>39</v>
      </c>
      <c r="G52" s="253">
        <v>69</v>
      </c>
      <c r="H52" s="253">
        <v>50</v>
      </c>
      <c r="I52" s="350" t="s">
        <v>178</v>
      </c>
    </row>
    <row r="53" spans="2:9" ht="14">
      <c r="B53" s="349" t="s">
        <v>130</v>
      </c>
      <c r="C53" s="253" t="s">
        <v>182</v>
      </c>
      <c r="D53" s="253" t="s">
        <v>177</v>
      </c>
      <c r="E53" s="253">
        <v>68</v>
      </c>
      <c r="F53" s="253">
        <v>63</v>
      </c>
      <c r="G53" s="253">
        <v>79</v>
      </c>
      <c r="H53" s="253">
        <v>71</v>
      </c>
      <c r="I53" s="350" t="s">
        <v>250</v>
      </c>
    </row>
    <row r="54" spans="2:9" ht="14">
      <c r="B54" s="349" t="s">
        <v>251</v>
      </c>
      <c r="C54" s="253" t="s">
        <v>182</v>
      </c>
      <c r="D54" s="253" t="s">
        <v>183</v>
      </c>
      <c r="E54" s="253">
        <v>59</v>
      </c>
      <c r="F54" s="253">
        <v>48</v>
      </c>
      <c r="G54" s="253">
        <v>57</v>
      </c>
      <c r="H54" s="253">
        <v>55</v>
      </c>
      <c r="I54" s="350" t="s">
        <v>178</v>
      </c>
    </row>
    <row r="55" spans="2:9" ht="14">
      <c r="B55" s="349" t="s">
        <v>252</v>
      </c>
      <c r="C55" s="253" t="s">
        <v>204</v>
      </c>
      <c r="D55" s="253" t="s">
        <v>183</v>
      </c>
      <c r="E55" s="253">
        <v>60</v>
      </c>
      <c r="F55" s="253">
        <v>57</v>
      </c>
      <c r="G55" s="253">
        <v>34</v>
      </c>
      <c r="H55" s="253">
        <v>49</v>
      </c>
      <c r="I55" s="350" t="s">
        <v>178</v>
      </c>
    </row>
    <row r="56" spans="2:9" ht="14">
      <c r="B56" s="349" t="s">
        <v>253</v>
      </c>
      <c r="C56" s="253" t="s">
        <v>237</v>
      </c>
      <c r="D56" s="253" t="s">
        <v>177</v>
      </c>
      <c r="E56" s="253">
        <v>40</v>
      </c>
      <c r="F56" s="253">
        <v>47</v>
      </c>
      <c r="G56" s="253">
        <v>70</v>
      </c>
      <c r="H56" s="253">
        <v>54</v>
      </c>
      <c r="I56" s="350" t="s">
        <v>178</v>
      </c>
    </row>
    <row r="57" spans="2:9" ht="14">
      <c r="B57" s="349" t="s">
        <v>254</v>
      </c>
      <c r="C57" s="253" t="s">
        <v>17</v>
      </c>
      <c r="D57" s="253" t="s">
        <v>177</v>
      </c>
      <c r="E57" s="253">
        <v>40</v>
      </c>
      <c r="F57" s="253">
        <v>51</v>
      </c>
      <c r="G57" s="253">
        <v>71</v>
      </c>
      <c r="H57" s="253">
        <v>55</v>
      </c>
      <c r="I57" s="350" t="s">
        <v>178</v>
      </c>
    </row>
    <row r="58" spans="2:9" ht="14">
      <c r="B58" s="349" t="s">
        <v>255</v>
      </c>
      <c r="C58" s="253" t="s">
        <v>256</v>
      </c>
      <c r="D58" s="253" t="s">
        <v>177</v>
      </c>
      <c r="E58" s="253">
        <v>38</v>
      </c>
      <c r="F58" s="253">
        <v>42</v>
      </c>
      <c r="G58" s="253">
        <v>61</v>
      </c>
      <c r="H58" s="253">
        <v>48</v>
      </c>
      <c r="I58" s="350" t="s">
        <v>178</v>
      </c>
    </row>
    <row r="59" spans="2:9" ht="14">
      <c r="B59" s="349" t="s">
        <v>257</v>
      </c>
      <c r="C59" s="253" t="s">
        <v>182</v>
      </c>
      <c r="D59" s="253" t="s">
        <v>177</v>
      </c>
      <c r="E59" s="253">
        <v>63</v>
      </c>
      <c r="F59" s="253">
        <v>64</v>
      </c>
      <c r="G59" s="253">
        <v>71</v>
      </c>
      <c r="H59" s="253">
        <v>67</v>
      </c>
      <c r="I59" s="350" t="s">
        <v>184</v>
      </c>
    </row>
    <row r="60" spans="2:9" ht="14">
      <c r="B60" s="349" t="s">
        <v>258</v>
      </c>
      <c r="C60" s="253" t="s">
        <v>204</v>
      </c>
      <c r="D60" s="253" t="s">
        <v>177</v>
      </c>
      <c r="E60" s="253">
        <v>60</v>
      </c>
      <c r="F60" s="253">
        <v>61</v>
      </c>
      <c r="G60" s="253">
        <v>69</v>
      </c>
      <c r="H60" s="253">
        <v>64</v>
      </c>
      <c r="I60" s="350" t="s">
        <v>184</v>
      </c>
    </row>
    <row r="61" spans="2:9" ht="14">
      <c r="B61" s="349" t="s">
        <v>259</v>
      </c>
      <c r="C61" s="253" t="s">
        <v>204</v>
      </c>
      <c r="D61" s="253" t="s">
        <v>177</v>
      </c>
      <c r="E61" s="253">
        <v>43</v>
      </c>
      <c r="F61" s="253">
        <v>48</v>
      </c>
      <c r="G61" s="253">
        <v>69</v>
      </c>
      <c r="H61" s="253">
        <v>55</v>
      </c>
      <c r="I61" s="350" t="s">
        <v>178</v>
      </c>
    </row>
    <row r="62" spans="2:9" ht="14">
      <c r="B62" s="349" t="s">
        <v>260</v>
      </c>
      <c r="C62" s="253" t="s">
        <v>182</v>
      </c>
      <c r="D62" s="253" t="s">
        <v>183</v>
      </c>
      <c r="E62" s="253">
        <v>64</v>
      </c>
      <c r="F62" s="253">
        <v>55</v>
      </c>
      <c r="G62" s="253">
        <v>64</v>
      </c>
      <c r="H62" s="253">
        <v>62</v>
      </c>
      <c r="I62" s="350" t="s">
        <v>184</v>
      </c>
    </row>
    <row r="63" spans="2:9" ht="14">
      <c r="B63" s="349" t="s">
        <v>261</v>
      </c>
      <c r="C63" s="253" t="s">
        <v>233</v>
      </c>
      <c r="D63" s="253" t="s">
        <v>177</v>
      </c>
      <c r="E63" s="253">
        <v>32</v>
      </c>
      <c r="F63" s="253">
        <v>46</v>
      </c>
      <c r="G63" s="253">
        <v>72</v>
      </c>
      <c r="H63" s="253">
        <v>51</v>
      </c>
      <c r="I63" s="350" t="s">
        <v>178</v>
      </c>
    </row>
    <row r="64" spans="2:9" ht="14">
      <c r="B64" s="349" t="s">
        <v>262</v>
      </c>
      <c r="C64" s="253" t="s">
        <v>263</v>
      </c>
      <c r="D64" s="253" t="s">
        <v>177</v>
      </c>
      <c r="E64" s="253">
        <v>43</v>
      </c>
      <c r="F64" s="253">
        <v>47</v>
      </c>
      <c r="G64" s="253">
        <v>76</v>
      </c>
      <c r="H64" s="253">
        <v>57</v>
      </c>
      <c r="I64" s="350" t="s">
        <v>178</v>
      </c>
    </row>
    <row r="65" spans="2:9" ht="14">
      <c r="B65" s="349" t="s">
        <v>264</v>
      </c>
      <c r="C65" s="253" t="s">
        <v>182</v>
      </c>
      <c r="D65" s="253" t="s">
        <v>177</v>
      </c>
      <c r="E65" s="253">
        <v>64</v>
      </c>
      <c r="F65" s="253">
        <v>64</v>
      </c>
      <c r="G65" s="253">
        <v>75</v>
      </c>
      <c r="H65" s="253">
        <v>68</v>
      </c>
      <c r="I65" s="350" t="s">
        <v>184</v>
      </c>
    </row>
    <row r="66" spans="2:9" ht="14">
      <c r="B66" s="349" t="s">
        <v>265</v>
      </c>
      <c r="C66" s="253" t="s">
        <v>182</v>
      </c>
      <c r="D66" s="253" t="s">
        <v>177</v>
      </c>
      <c r="E66" s="253">
        <v>54</v>
      </c>
      <c r="F66" s="253">
        <v>64</v>
      </c>
      <c r="G66" s="253">
        <v>66</v>
      </c>
      <c r="H66" s="253">
        <v>61</v>
      </c>
      <c r="I66" s="350" t="s">
        <v>184</v>
      </c>
    </row>
    <row r="67" spans="2:9" ht="14">
      <c r="B67" s="349" t="s">
        <v>266</v>
      </c>
      <c r="C67" s="253" t="s">
        <v>182</v>
      </c>
      <c r="D67" s="253" t="s">
        <v>177</v>
      </c>
      <c r="E67" s="253">
        <v>60</v>
      </c>
      <c r="F67" s="253">
        <v>67</v>
      </c>
      <c r="G67" s="253">
        <v>65</v>
      </c>
      <c r="H67" s="253">
        <v>64</v>
      </c>
      <c r="I67" s="350" t="s">
        <v>184</v>
      </c>
    </row>
    <row r="68" spans="2:9" ht="14">
      <c r="B68" s="349" t="s">
        <v>267</v>
      </c>
      <c r="C68" s="253" t="s">
        <v>182</v>
      </c>
      <c r="D68" s="253" t="s">
        <v>177</v>
      </c>
      <c r="E68" s="253">
        <v>59</v>
      </c>
      <c r="F68" s="253">
        <v>60</v>
      </c>
      <c r="G68" s="253">
        <v>60</v>
      </c>
      <c r="H68" s="253">
        <v>60</v>
      </c>
      <c r="I68" s="350" t="s">
        <v>178</v>
      </c>
    </row>
    <row r="69" spans="2:9" ht="14">
      <c r="B69" s="349" t="s">
        <v>268</v>
      </c>
      <c r="C69" s="253" t="s">
        <v>186</v>
      </c>
      <c r="D69" s="253" t="s">
        <v>177</v>
      </c>
      <c r="E69" s="253">
        <v>27</v>
      </c>
      <c r="F69" s="253">
        <v>43</v>
      </c>
      <c r="G69" s="253">
        <v>68</v>
      </c>
      <c r="H69" s="253">
        <v>48</v>
      </c>
      <c r="I69" s="350" t="s">
        <v>178</v>
      </c>
    </row>
    <row r="70" spans="2:9" ht="14">
      <c r="B70" s="349" t="s">
        <v>269</v>
      </c>
      <c r="C70" s="253" t="s">
        <v>206</v>
      </c>
      <c r="D70" s="253" t="s">
        <v>177</v>
      </c>
      <c r="E70" s="253">
        <v>36</v>
      </c>
      <c r="F70" s="253">
        <v>50</v>
      </c>
      <c r="G70" s="253">
        <v>69</v>
      </c>
      <c r="H70" s="253">
        <v>53</v>
      </c>
      <c r="I70" s="350" t="s">
        <v>178</v>
      </c>
    </row>
    <row r="71" spans="2:9" ht="14">
      <c r="B71" s="349" t="s">
        <v>270</v>
      </c>
      <c r="C71" s="253" t="s">
        <v>186</v>
      </c>
      <c r="D71" s="253" t="s">
        <v>177</v>
      </c>
      <c r="E71" s="253">
        <v>33</v>
      </c>
      <c r="F71" s="253">
        <v>44</v>
      </c>
      <c r="G71" s="253">
        <v>70</v>
      </c>
      <c r="H71" s="253">
        <v>51</v>
      </c>
      <c r="I71" s="350" t="s">
        <v>178</v>
      </c>
    </row>
    <row r="72" spans="2:9" ht="14">
      <c r="B72" s="349" t="s">
        <v>271</v>
      </c>
      <c r="C72" s="253" t="s">
        <v>180</v>
      </c>
      <c r="D72" s="253" t="s">
        <v>177</v>
      </c>
      <c r="E72" s="253">
        <v>37</v>
      </c>
      <c r="F72" s="253">
        <v>51</v>
      </c>
      <c r="G72" s="253">
        <v>67</v>
      </c>
      <c r="H72" s="253">
        <v>53</v>
      </c>
      <c r="I72" s="350" t="s">
        <v>178</v>
      </c>
    </row>
    <row r="73" spans="2:9" ht="14">
      <c r="B73" s="349" t="s">
        <v>272</v>
      </c>
      <c r="C73" s="253" t="s">
        <v>219</v>
      </c>
      <c r="D73" s="253" t="s">
        <v>177</v>
      </c>
      <c r="E73" s="253">
        <v>39</v>
      </c>
      <c r="F73" s="253">
        <v>47</v>
      </c>
      <c r="G73" s="253">
        <v>73</v>
      </c>
      <c r="H73" s="253">
        <v>55</v>
      </c>
      <c r="I73" s="350" t="s">
        <v>178</v>
      </c>
    </row>
    <row r="74" spans="2:9" ht="14">
      <c r="B74" s="349" t="s">
        <v>273</v>
      </c>
      <c r="C74" s="253" t="s">
        <v>180</v>
      </c>
      <c r="D74" s="253" t="s">
        <v>177</v>
      </c>
      <c r="E74" s="253">
        <v>39</v>
      </c>
      <c r="F74" s="253">
        <v>56</v>
      </c>
      <c r="G74" s="253">
        <v>57</v>
      </c>
      <c r="H74" s="253">
        <v>51</v>
      </c>
      <c r="I74" s="350" t="s">
        <v>178</v>
      </c>
    </row>
    <row r="75" spans="2:9" ht="14">
      <c r="B75" s="349" t="s">
        <v>274</v>
      </c>
      <c r="C75" s="253" t="s">
        <v>180</v>
      </c>
      <c r="D75" s="253" t="s">
        <v>177</v>
      </c>
      <c r="E75" s="253">
        <v>46</v>
      </c>
      <c r="F75" s="253">
        <v>54</v>
      </c>
      <c r="G75" s="253">
        <v>69</v>
      </c>
      <c r="H75" s="253">
        <v>57</v>
      </c>
      <c r="I75" s="350" t="s">
        <v>178</v>
      </c>
    </row>
    <row r="76" spans="2:9" ht="14">
      <c r="B76" s="349" t="s">
        <v>275</v>
      </c>
      <c r="C76" s="253" t="s">
        <v>276</v>
      </c>
      <c r="D76" s="253" t="s">
        <v>177</v>
      </c>
      <c r="E76" s="253">
        <v>55</v>
      </c>
      <c r="F76" s="253">
        <v>54</v>
      </c>
      <c r="G76" s="253">
        <v>55</v>
      </c>
      <c r="H76" s="253">
        <v>55</v>
      </c>
      <c r="I76" s="350" t="s">
        <v>178</v>
      </c>
    </row>
    <row r="77" spans="2:9" ht="14">
      <c r="B77" s="349" t="s">
        <v>277</v>
      </c>
      <c r="C77" s="253" t="s">
        <v>216</v>
      </c>
      <c r="D77" s="253" t="s">
        <v>177</v>
      </c>
      <c r="E77" s="253">
        <v>55</v>
      </c>
      <c r="F77" s="253">
        <v>52</v>
      </c>
      <c r="G77" s="253">
        <v>67</v>
      </c>
      <c r="H77" s="253">
        <v>59</v>
      </c>
      <c r="I77" s="350" t="s">
        <v>178</v>
      </c>
    </row>
    <row r="78" spans="2:9" ht="14">
      <c r="B78" s="349" t="s">
        <v>278</v>
      </c>
      <c r="C78" s="253" t="s">
        <v>279</v>
      </c>
      <c r="D78" s="253" t="s">
        <v>183</v>
      </c>
      <c r="E78" s="253">
        <v>26</v>
      </c>
      <c r="F78" s="253">
        <v>41</v>
      </c>
      <c r="G78" s="253">
        <v>56</v>
      </c>
      <c r="H78" s="253">
        <v>42</v>
      </c>
      <c r="I78" s="350" t="s">
        <v>194</v>
      </c>
    </row>
    <row r="79" spans="2:9" ht="14">
      <c r="B79" s="349" t="s">
        <v>280</v>
      </c>
      <c r="C79" s="253" t="s">
        <v>279</v>
      </c>
      <c r="D79" s="253" t="s">
        <v>177</v>
      </c>
      <c r="E79" s="253">
        <v>46</v>
      </c>
      <c r="F79" s="253">
        <v>59</v>
      </c>
      <c r="G79" s="253">
        <v>68</v>
      </c>
      <c r="H79" s="253">
        <v>58</v>
      </c>
      <c r="I79" s="350" t="s">
        <v>178</v>
      </c>
    </row>
    <row r="80" spans="2:9" ht="14">
      <c r="B80" s="349" t="s">
        <v>281</v>
      </c>
      <c r="C80" s="253" t="s">
        <v>282</v>
      </c>
      <c r="D80" s="253" t="s">
        <v>183</v>
      </c>
      <c r="E80" s="253">
        <v>38</v>
      </c>
      <c r="F80" s="253">
        <v>44</v>
      </c>
      <c r="G80" s="253">
        <v>58</v>
      </c>
      <c r="H80" s="253">
        <v>48</v>
      </c>
      <c r="I80" s="350" t="s">
        <v>178</v>
      </c>
    </row>
    <row r="81" spans="2:9" ht="14">
      <c r="B81" s="349" t="s">
        <v>283</v>
      </c>
      <c r="C81" s="253" t="s">
        <v>282</v>
      </c>
      <c r="D81" s="253" t="s">
        <v>177</v>
      </c>
      <c r="E81" s="253">
        <v>60</v>
      </c>
      <c r="F81" s="253">
        <v>52</v>
      </c>
      <c r="G81" s="253">
        <v>73</v>
      </c>
      <c r="H81" s="253">
        <v>63</v>
      </c>
      <c r="I81" s="350" t="s">
        <v>184</v>
      </c>
    </row>
    <row r="82" spans="2:9" ht="14">
      <c r="B82" s="349" t="s">
        <v>284</v>
      </c>
      <c r="C82" s="253" t="s">
        <v>204</v>
      </c>
      <c r="D82" s="253" t="s">
        <v>183</v>
      </c>
      <c r="E82" s="253">
        <v>60</v>
      </c>
      <c r="F82" s="253">
        <v>52</v>
      </c>
      <c r="G82" s="253">
        <v>52</v>
      </c>
      <c r="H82" s="253">
        <v>55</v>
      </c>
      <c r="I82" s="350" t="s">
        <v>178</v>
      </c>
    </row>
    <row r="83" spans="2:9" ht="14">
      <c r="B83" s="349" t="s">
        <v>285</v>
      </c>
      <c r="C83" s="253" t="s">
        <v>202</v>
      </c>
      <c r="D83" s="253" t="s">
        <v>183</v>
      </c>
      <c r="E83" s="253">
        <v>36</v>
      </c>
      <c r="F83" s="253">
        <v>33</v>
      </c>
      <c r="G83" s="253">
        <v>50</v>
      </c>
      <c r="H83" s="253">
        <v>41</v>
      </c>
      <c r="I83" s="350" t="s">
        <v>194</v>
      </c>
    </row>
    <row r="84" spans="2:9" ht="14">
      <c r="B84" s="349" t="s">
        <v>286</v>
      </c>
      <c r="C84" s="253" t="s">
        <v>53</v>
      </c>
      <c r="D84" s="253" t="s">
        <v>177</v>
      </c>
      <c r="E84" s="253">
        <v>49</v>
      </c>
      <c r="F84" s="253">
        <v>63</v>
      </c>
      <c r="G84" s="253">
        <v>73</v>
      </c>
      <c r="H84" s="253">
        <v>62</v>
      </c>
      <c r="I84" s="350" t="s">
        <v>184</v>
      </c>
    </row>
    <row r="85" spans="2:9" ht="14">
      <c r="B85" s="349" t="s">
        <v>287</v>
      </c>
      <c r="C85" s="253" t="s">
        <v>70</v>
      </c>
      <c r="D85" s="253" t="s">
        <v>177</v>
      </c>
      <c r="E85" s="253">
        <v>30</v>
      </c>
      <c r="F85" s="253">
        <v>40</v>
      </c>
      <c r="G85" s="253">
        <v>66</v>
      </c>
      <c r="H85" s="253">
        <v>47</v>
      </c>
      <c r="I85" s="350" t="s">
        <v>178</v>
      </c>
    </row>
    <row r="86" spans="2:9" ht="14">
      <c r="B86" s="349" t="s">
        <v>288</v>
      </c>
      <c r="C86" s="253" t="s">
        <v>204</v>
      </c>
      <c r="D86" s="253" t="s">
        <v>183</v>
      </c>
      <c r="E86" s="253">
        <v>50</v>
      </c>
      <c r="F86" s="253">
        <v>56</v>
      </c>
      <c r="G86" s="253">
        <v>30</v>
      </c>
      <c r="H86" s="253">
        <v>43</v>
      </c>
      <c r="I86" s="350" t="s">
        <v>194</v>
      </c>
    </row>
    <row r="87" spans="2:9" ht="14">
      <c r="B87" s="349" t="s">
        <v>289</v>
      </c>
      <c r="C87" s="253" t="s">
        <v>212</v>
      </c>
      <c r="D87" s="253" t="s">
        <v>177</v>
      </c>
      <c r="E87" s="253">
        <v>51</v>
      </c>
      <c r="F87" s="253">
        <v>54</v>
      </c>
      <c r="G87" s="253">
        <v>77</v>
      </c>
      <c r="H87" s="253">
        <v>62</v>
      </c>
      <c r="I87" s="350" t="s">
        <v>184</v>
      </c>
    </row>
    <row r="88" spans="2:9" ht="14">
      <c r="B88" s="349" t="s">
        <v>290</v>
      </c>
      <c r="C88" s="253" t="s">
        <v>193</v>
      </c>
      <c r="D88" s="253" t="s">
        <v>177</v>
      </c>
      <c r="E88" s="253">
        <v>38</v>
      </c>
      <c r="F88" s="253">
        <v>52</v>
      </c>
      <c r="G88" s="253">
        <v>71</v>
      </c>
      <c r="H88" s="253">
        <v>55</v>
      </c>
      <c r="I88" s="350" t="s">
        <v>178</v>
      </c>
    </row>
    <row r="89" spans="2:9" ht="14">
      <c r="B89" s="349" t="s">
        <v>291</v>
      </c>
      <c r="C89" s="253" t="s">
        <v>226</v>
      </c>
      <c r="D89" s="253" t="s">
        <v>177</v>
      </c>
      <c r="E89" s="253">
        <v>38</v>
      </c>
      <c r="F89" s="253">
        <v>48</v>
      </c>
      <c r="G89" s="253">
        <v>71</v>
      </c>
      <c r="H89" s="253">
        <v>54</v>
      </c>
      <c r="I89" s="350" t="s">
        <v>178</v>
      </c>
    </row>
    <row r="90" spans="2:9" ht="14">
      <c r="B90" s="349" t="s">
        <v>292</v>
      </c>
      <c r="C90" s="253" t="s">
        <v>276</v>
      </c>
      <c r="D90" s="253" t="s">
        <v>177</v>
      </c>
      <c r="E90" s="253">
        <v>48</v>
      </c>
      <c r="F90" s="253">
        <v>47</v>
      </c>
      <c r="G90" s="253">
        <v>66</v>
      </c>
      <c r="H90" s="253">
        <v>55</v>
      </c>
      <c r="I90" s="350" t="s">
        <v>178</v>
      </c>
    </row>
    <row r="91" spans="2:9" ht="14">
      <c r="B91" s="349" t="s">
        <v>293</v>
      </c>
      <c r="C91" s="253" t="s">
        <v>84</v>
      </c>
      <c r="D91" s="253" t="s">
        <v>177</v>
      </c>
      <c r="E91" s="253">
        <v>56</v>
      </c>
      <c r="F91" s="253">
        <v>47</v>
      </c>
      <c r="G91" s="253">
        <v>66</v>
      </c>
      <c r="H91" s="253">
        <v>58</v>
      </c>
      <c r="I91" s="350" t="s">
        <v>178</v>
      </c>
    </row>
    <row r="92" spans="2:9" ht="14">
      <c r="B92" s="349" t="s">
        <v>294</v>
      </c>
      <c r="C92" s="253" t="s">
        <v>17</v>
      </c>
      <c r="D92" s="253" t="s">
        <v>177</v>
      </c>
      <c r="E92" s="253">
        <v>62</v>
      </c>
      <c r="F92" s="253">
        <v>59</v>
      </c>
      <c r="G92" s="253">
        <v>74</v>
      </c>
      <c r="H92" s="253">
        <v>66</v>
      </c>
      <c r="I92" s="350" t="s">
        <v>184</v>
      </c>
    </row>
    <row r="93" spans="2:9" ht="14">
      <c r="B93" s="349" t="s">
        <v>295</v>
      </c>
      <c r="C93" s="253" t="s">
        <v>296</v>
      </c>
      <c r="D93" s="253" t="s">
        <v>183</v>
      </c>
      <c r="E93" s="253">
        <v>39</v>
      </c>
      <c r="F93" s="253">
        <v>25</v>
      </c>
      <c r="G93" s="253">
        <v>56</v>
      </c>
      <c r="H93" s="253">
        <v>42</v>
      </c>
      <c r="I93" s="350" t="s">
        <v>194</v>
      </c>
    </row>
    <row r="94" spans="2:9" ht="14">
      <c r="B94" s="349" t="s">
        <v>297</v>
      </c>
      <c r="C94" s="253" t="s">
        <v>186</v>
      </c>
      <c r="D94" s="253" t="s">
        <v>177</v>
      </c>
      <c r="E94" s="253">
        <v>25</v>
      </c>
      <c r="F94" s="253">
        <v>43</v>
      </c>
      <c r="G94" s="253">
        <v>66</v>
      </c>
      <c r="H94" s="253">
        <v>46</v>
      </c>
      <c r="I94" s="350" t="s">
        <v>178</v>
      </c>
    </row>
    <row r="95" spans="2:9" ht="14">
      <c r="B95" s="349" t="s">
        <v>298</v>
      </c>
      <c r="C95" s="253" t="s">
        <v>182</v>
      </c>
      <c r="D95" s="253" t="s">
        <v>177</v>
      </c>
      <c r="E95" s="253">
        <v>63</v>
      </c>
      <c r="F95" s="253">
        <v>63</v>
      </c>
      <c r="G95" s="253">
        <v>72</v>
      </c>
      <c r="H95" s="253">
        <v>66</v>
      </c>
      <c r="I95" s="350" t="s">
        <v>184</v>
      </c>
    </row>
    <row r="96" spans="2:9" ht="14">
      <c r="B96" s="349" t="s">
        <v>299</v>
      </c>
      <c r="C96" s="253" t="s">
        <v>182</v>
      </c>
      <c r="D96" s="253" t="s">
        <v>177</v>
      </c>
      <c r="E96" s="253">
        <v>48</v>
      </c>
      <c r="F96" s="253">
        <v>68</v>
      </c>
      <c r="G96" s="253">
        <v>67</v>
      </c>
      <c r="H96" s="253">
        <v>61</v>
      </c>
      <c r="I96" s="350" t="s">
        <v>184</v>
      </c>
    </row>
    <row r="97" spans="2:9" ht="14">
      <c r="B97" s="349" t="s">
        <v>300</v>
      </c>
      <c r="C97" s="253" t="s">
        <v>214</v>
      </c>
      <c r="D97" s="253" t="s">
        <v>177</v>
      </c>
      <c r="E97" s="253">
        <v>32</v>
      </c>
      <c r="F97" s="253">
        <v>44</v>
      </c>
      <c r="G97" s="253">
        <v>57</v>
      </c>
      <c r="H97" s="253">
        <v>45</v>
      </c>
      <c r="I97" s="350" t="s">
        <v>194</v>
      </c>
    </row>
    <row r="98" spans="2:9" ht="14">
      <c r="B98" s="349" t="s">
        <v>301</v>
      </c>
      <c r="C98" s="253" t="s">
        <v>180</v>
      </c>
      <c r="D98" s="253" t="s">
        <v>177</v>
      </c>
      <c r="E98" s="253">
        <v>36</v>
      </c>
      <c r="F98" s="253">
        <v>48</v>
      </c>
      <c r="G98" s="253">
        <v>75</v>
      </c>
      <c r="H98" s="253">
        <v>55</v>
      </c>
      <c r="I98" s="350" t="s">
        <v>178</v>
      </c>
    </row>
    <row r="99" spans="2:9" ht="14">
      <c r="B99" s="349" t="s">
        <v>302</v>
      </c>
      <c r="C99" s="253" t="s">
        <v>303</v>
      </c>
      <c r="D99" s="253" t="s">
        <v>177</v>
      </c>
      <c r="E99" s="253">
        <v>41</v>
      </c>
      <c r="F99" s="253">
        <v>37</v>
      </c>
      <c r="G99" s="253">
        <v>56</v>
      </c>
      <c r="H99" s="253">
        <v>46</v>
      </c>
      <c r="I99" s="350" t="s">
        <v>178</v>
      </c>
    </row>
    <row r="100" spans="2:9" ht="14">
      <c r="B100" s="349" t="s">
        <v>304</v>
      </c>
      <c r="C100" s="253" t="s">
        <v>305</v>
      </c>
      <c r="D100" s="253" t="s">
        <v>177</v>
      </c>
      <c r="E100" s="253">
        <v>38</v>
      </c>
      <c r="F100" s="253">
        <v>52</v>
      </c>
      <c r="G100" s="253">
        <v>71</v>
      </c>
      <c r="H100" s="253">
        <v>55</v>
      </c>
      <c r="I100" s="350" t="s">
        <v>178</v>
      </c>
    </row>
    <row r="101" spans="2:9" ht="14">
      <c r="B101" s="349" t="s">
        <v>306</v>
      </c>
      <c r="C101" s="253" t="s">
        <v>17</v>
      </c>
      <c r="D101" s="253" t="s">
        <v>177</v>
      </c>
      <c r="E101" s="253">
        <v>40</v>
      </c>
      <c r="F101" s="253">
        <v>48</v>
      </c>
      <c r="G101" s="253">
        <v>70</v>
      </c>
      <c r="H101" s="253">
        <v>54</v>
      </c>
      <c r="I101" s="350" t="s">
        <v>178</v>
      </c>
    </row>
    <row r="102" spans="2:9" ht="14">
      <c r="B102" s="349" t="s">
        <v>307</v>
      </c>
      <c r="C102" s="253" t="s">
        <v>233</v>
      </c>
      <c r="D102" s="253" t="s">
        <v>177</v>
      </c>
      <c r="E102" s="253">
        <v>47</v>
      </c>
      <c r="F102" s="253">
        <v>54</v>
      </c>
      <c r="G102" s="253">
        <v>72</v>
      </c>
      <c r="H102" s="253">
        <v>59</v>
      </c>
      <c r="I102" s="350" t="s">
        <v>178</v>
      </c>
    </row>
    <row r="103" spans="2:9" ht="14">
      <c r="B103" s="349" t="s">
        <v>308</v>
      </c>
      <c r="C103" s="253" t="s">
        <v>182</v>
      </c>
      <c r="D103" s="253" t="s">
        <v>177</v>
      </c>
      <c r="E103" s="253">
        <v>56</v>
      </c>
      <c r="F103" s="253">
        <v>63</v>
      </c>
      <c r="G103" s="253">
        <v>59</v>
      </c>
      <c r="H103" s="253">
        <v>59</v>
      </c>
      <c r="I103" s="350" t="s">
        <v>178</v>
      </c>
    </row>
    <row r="104" spans="2:9" ht="14">
      <c r="B104" s="349" t="s">
        <v>309</v>
      </c>
      <c r="C104" s="253" t="s">
        <v>68</v>
      </c>
      <c r="D104" s="253" t="s">
        <v>177</v>
      </c>
      <c r="E104" s="253">
        <v>44</v>
      </c>
      <c r="F104" s="253">
        <v>46</v>
      </c>
      <c r="G104" s="253">
        <v>74</v>
      </c>
      <c r="H104" s="253">
        <v>56</v>
      </c>
      <c r="I104" s="350" t="s">
        <v>178</v>
      </c>
    </row>
    <row r="105" spans="2:9" ht="14">
      <c r="B105" s="349" t="s">
        <v>310</v>
      </c>
      <c r="C105" s="253" t="s">
        <v>216</v>
      </c>
      <c r="D105" s="253" t="s">
        <v>177</v>
      </c>
      <c r="E105" s="253">
        <v>34</v>
      </c>
      <c r="F105" s="253">
        <v>48</v>
      </c>
      <c r="G105" s="253">
        <v>65</v>
      </c>
      <c r="H105" s="253">
        <v>50</v>
      </c>
      <c r="I105" s="350" t="s">
        <v>178</v>
      </c>
    </row>
    <row r="106" spans="2:9" ht="14">
      <c r="B106" s="349" t="s">
        <v>311</v>
      </c>
      <c r="C106" s="253" t="s">
        <v>243</v>
      </c>
      <c r="D106" s="253" t="s">
        <v>177</v>
      </c>
      <c r="E106" s="253">
        <v>36</v>
      </c>
      <c r="F106" s="253">
        <v>44</v>
      </c>
      <c r="G106" s="253">
        <v>61</v>
      </c>
      <c r="H106" s="253">
        <v>48</v>
      </c>
      <c r="I106" s="350" t="s">
        <v>178</v>
      </c>
    </row>
    <row r="107" spans="2:9" ht="14">
      <c r="B107" s="349" t="s">
        <v>312</v>
      </c>
      <c r="C107" s="253" t="s">
        <v>89</v>
      </c>
      <c r="D107" s="253" t="s">
        <v>177</v>
      </c>
      <c r="E107" s="253">
        <v>37</v>
      </c>
      <c r="F107" s="253">
        <v>38</v>
      </c>
      <c r="G107" s="253">
        <v>67</v>
      </c>
      <c r="H107" s="253">
        <v>49</v>
      </c>
      <c r="I107" s="350" t="s">
        <v>178</v>
      </c>
    </row>
    <row r="108" spans="2:9" ht="14">
      <c r="B108" s="349" t="s">
        <v>313</v>
      </c>
      <c r="C108" s="253" t="s">
        <v>243</v>
      </c>
      <c r="D108" s="253" t="s">
        <v>177</v>
      </c>
      <c r="E108" s="253">
        <v>34</v>
      </c>
      <c r="F108" s="253">
        <v>47</v>
      </c>
      <c r="G108" s="253">
        <v>63</v>
      </c>
      <c r="H108" s="253">
        <v>49</v>
      </c>
      <c r="I108" s="350" t="s">
        <v>178</v>
      </c>
    </row>
    <row r="109" spans="2:9" ht="14">
      <c r="B109" s="349" t="s">
        <v>314</v>
      </c>
      <c r="C109" s="253" t="s">
        <v>202</v>
      </c>
      <c r="D109" s="253" t="s">
        <v>177</v>
      </c>
      <c r="E109" s="253">
        <v>46</v>
      </c>
      <c r="F109" s="253">
        <v>47</v>
      </c>
      <c r="G109" s="253">
        <v>69</v>
      </c>
      <c r="H109" s="253">
        <v>55</v>
      </c>
      <c r="I109" s="350" t="s">
        <v>178</v>
      </c>
    </row>
    <row r="110" spans="2:9" ht="14">
      <c r="B110" s="349" t="s">
        <v>315</v>
      </c>
      <c r="C110" s="253" t="s">
        <v>180</v>
      </c>
      <c r="D110" s="253" t="s">
        <v>177</v>
      </c>
      <c r="E110" s="253">
        <v>34</v>
      </c>
      <c r="F110" s="253">
        <v>42</v>
      </c>
      <c r="G110" s="253">
        <v>62</v>
      </c>
      <c r="H110" s="253">
        <v>47</v>
      </c>
      <c r="I110" s="350" t="s">
        <v>178</v>
      </c>
    </row>
    <row r="111" spans="2:9" ht="14">
      <c r="B111" s="349" t="s">
        <v>316</v>
      </c>
      <c r="C111" s="253" t="s">
        <v>317</v>
      </c>
      <c r="D111" s="253" t="s">
        <v>177</v>
      </c>
      <c r="E111" s="253">
        <v>54</v>
      </c>
      <c r="F111" s="253">
        <v>46</v>
      </c>
      <c r="G111" s="253">
        <v>69</v>
      </c>
      <c r="H111" s="253">
        <v>58</v>
      </c>
      <c r="I111" s="350" t="s">
        <v>178</v>
      </c>
    </row>
    <row r="112" spans="2:9" ht="14">
      <c r="B112" s="349" t="s">
        <v>318</v>
      </c>
      <c r="C112" s="253" t="s">
        <v>186</v>
      </c>
      <c r="D112" s="253" t="s">
        <v>177</v>
      </c>
      <c r="E112" s="253">
        <v>38</v>
      </c>
      <c r="F112" s="253">
        <v>52</v>
      </c>
      <c r="G112" s="253">
        <v>62</v>
      </c>
      <c r="H112" s="253">
        <v>51</v>
      </c>
      <c r="I112" s="350" t="s">
        <v>178</v>
      </c>
    </row>
    <row r="113" spans="2:9" ht="14">
      <c r="B113" s="349" t="s">
        <v>319</v>
      </c>
      <c r="C113" s="253" t="s">
        <v>186</v>
      </c>
      <c r="D113" s="253" t="s">
        <v>177</v>
      </c>
      <c r="E113" s="253">
        <v>44</v>
      </c>
      <c r="F113" s="253">
        <v>47</v>
      </c>
      <c r="G113" s="253">
        <v>53</v>
      </c>
      <c r="H113" s="253">
        <v>48</v>
      </c>
      <c r="I113" s="350" t="s">
        <v>178</v>
      </c>
    </row>
    <row r="114" spans="2:9" ht="14">
      <c r="B114" s="349" t="s">
        <v>320</v>
      </c>
      <c r="C114" s="253" t="s">
        <v>279</v>
      </c>
      <c r="D114" s="253" t="s">
        <v>177</v>
      </c>
      <c r="E114" s="253">
        <v>28</v>
      </c>
      <c r="F114" s="253">
        <v>49</v>
      </c>
      <c r="G114" s="253">
        <v>64</v>
      </c>
      <c r="H114" s="253">
        <v>48</v>
      </c>
      <c r="I114" s="350" t="s">
        <v>178</v>
      </c>
    </row>
    <row r="115" spans="2:9" ht="14">
      <c r="B115" s="349" t="s">
        <v>321</v>
      </c>
      <c r="C115" s="253" t="s">
        <v>204</v>
      </c>
      <c r="D115" s="253" t="s">
        <v>177</v>
      </c>
      <c r="E115" s="253">
        <v>53</v>
      </c>
      <c r="F115" s="253">
        <v>59</v>
      </c>
      <c r="G115" s="253">
        <v>67</v>
      </c>
      <c r="H115" s="253">
        <v>60</v>
      </c>
      <c r="I115" s="350" t="s">
        <v>178</v>
      </c>
    </row>
    <row r="116" spans="2:9" ht="14">
      <c r="B116" s="349" t="s">
        <v>322</v>
      </c>
      <c r="C116" s="253" t="s">
        <v>182</v>
      </c>
      <c r="D116" s="253" t="s">
        <v>177</v>
      </c>
      <c r="E116" s="253">
        <v>56</v>
      </c>
      <c r="F116" s="253">
        <v>65</v>
      </c>
      <c r="G116" s="253">
        <v>68</v>
      </c>
      <c r="H116" s="253">
        <v>63</v>
      </c>
      <c r="I116" s="350" t="s">
        <v>184</v>
      </c>
    </row>
    <row r="117" spans="2:9" ht="14">
      <c r="B117" s="349" t="s">
        <v>323</v>
      </c>
      <c r="C117" s="253" t="s">
        <v>53</v>
      </c>
      <c r="D117" s="253" t="s">
        <v>177</v>
      </c>
      <c r="E117" s="253">
        <v>60</v>
      </c>
      <c r="F117" s="253">
        <v>67</v>
      </c>
      <c r="G117" s="253">
        <v>75</v>
      </c>
      <c r="H117" s="253">
        <v>68</v>
      </c>
      <c r="I117" s="350" t="s">
        <v>184</v>
      </c>
    </row>
    <row r="118" spans="2:9" ht="14">
      <c r="B118" s="349" t="s">
        <v>324</v>
      </c>
      <c r="C118" s="253" t="s">
        <v>182</v>
      </c>
      <c r="D118" s="253" t="s">
        <v>177</v>
      </c>
      <c r="E118" s="253">
        <v>60</v>
      </c>
      <c r="F118" s="253">
        <v>63</v>
      </c>
      <c r="G118" s="253">
        <v>75</v>
      </c>
      <c r="H118" s="253">
        <v>67</v>
      </c>
      <c r="I118" s="350" t="s">
        <v>184</v>
      </c>
    </row>
    <row r="119" spans="2:9" ht="14">
      <c r="B119" s="349" t="s">
        <v>325</v>
      </c>
      <c r="C119" s="253" t="s">
        <v>186</v>
      </c>
      <c r="D119" s="253" t="s">
        <v>177</v>
      </c>
      <c r="E119" s="253">
        <v>23</v>
      </c>
      <c r="F119" s="253">
        <v>27</v>
      </c>
      <c r="G119" s="253">
        <v>57</v>
      </c>
      <c r="H119" s="253">
        <v>38</v>
      </c>
      <c r="I119" s="350" t="s">
        <v>194</v>
      </c>
    </row>
    <row r="120" spans="2:9" ht="14">
      <c r="B120" s="349" t="s">
        <v>326</v>
      </c>
      <c r="C120" s="253" t="s">
        <v>327</v>
      </c>
      <c r="D120" s="253" t="s">
        <v>177</v>
      </c>
      <c r="E120" s="253">
        <v>33</v>
      </c>
      <c r="F120" s="253">
        <v>53</v>
      </c>
      <c r="G120" s="253">
        <v>55</v>
      </c>
      <c r="H120" s="253">
        <v>47</v>
      </c>
      <c r="I120" s="350" t="s">
        <v>178</v>
      </c>
    </row>
    <row r="121" spans="2:9" ht="14">
      <c r="B121" s="349" t="s">
        <v>328</v>
      </c>
      <c r="C121" s="253" t="s">
        <v>198</v>
      </c>
      <c r="D121" s="253" t="s">
        <v>183</v>
      </c>
      <c r="E121" s="253">
        <v>27</v>
      </c>
      <c r="F121" s="253">
        <v>45</v>
      </c>
      <c r="G121" s="253">
        <v>58</v>
      </c>
      <c r="H121" s="253">
        <v>44</v>
      </c>
      <c r="I121" s="350" t="s">
        <v>194</v>
      </c>
    </row>
    <row r="122" spans="2:9" ht="14">
      <c r="B122" s="349" t="s">
        <v>329</v>
      </c>
      <c r="C122" s="253" t="s">
        <v>212</v>
      </c>
      <c r="D122" s="253" t="s">
        <v>177</v>
      </c>
      <c r="E122" s="253">
        <v>44</v>
      </c>
      <c r="F122" s="253">
        <v>56</v>
      </c>
      <c r="G122" s="253">
        <v>73</v>
      </c>
      <c r="H122" s="253">
        <v>59</v>
      </c>
      <c r="I122" s="350" t="s">
        <v>178</v>
      </c>
    </row>
    <row r="123" spans="2:9" ht="14">
      <c r="B123" s="349" t="s">
        <v>330</v>
      </c>
      <c r="C123" s="253" t="s">
        <v>17</v>
      </c>
      <c r="D123" s="253" t="s">
        <v>177</v>
      </c>
      <c r="E123" s="253">
        <v>45</v>
      </c>
      <c r="F123" s="253">
        <v>51</v>
      </c>
      <c r="G123" s="253">
        <v>76</v>
      </c>
      <c r="H123" s="253">
        <v>59</v>
      </c>
      <c r="I123" s="350" t="s">
        <v>178</v>
      </c>
    </row>
    <row r="124" spans="2:9" ht="14">
      <c r="B124" s="349" t="s">
        <v>331</v>
      </c>
      <c r="C124" s="253" t="s">
        <v>68</v>
      </c>
      <c r="D124" s="253" t="s">
        <v>177</v>
      </c>
      <c r="E124" s="253">
        <v>46</v>
      </c>
      <c r="F124" s="253">
        <v>52</v>
      </c>
      <c r="G124" s="253">
        <v>73</v>
      </c>
      <c r="H124" s="253">
        <v>58</v>
      </c>
      <c r="I124" s="350" t="s">
        <v>178</v>
      </c>
    </row>
    <row r="125" spans="2:9" ht="14">
      <c r="B125" s="349" t="s">
        <v>332</v>
      </c>
      <c r="C125" s="253" t="s">
        <v>193</v>
      </c>
      <c r="D125" s="253" t="s">
        <v>177</v>
      </c>
      <c r="E125" s="253">
        <v>37</v>
      </c>
      <c r="F125" s="253">
        <v>53</v>
      </c>
      <c r="G125" s="253">
        <v>53</v>
      </c>
      <c r="H125" s="253">
        <v>47</v>
      </c>
      <c r="I125" s="350" t="s">
        <v>178</v>
      </c>
    </row>
    <row r="126" spans="2:9" ht="14">
      <c r="B126" s="349" t="s">
        <v>333</v>
      </c>
      <c r="C126" s="253" t="s">
        <v>186</v>
      </c>
      <c r="D126" s="253" t="s">
        <v>177</v>
      </c>
      <c r="E126" s="253">
        <v>48</v>
      </c>
      <c r="F126" s="253">
        <v>51</v>
      </c>
      <c r="G126" s="253">
        <v>63</v>
      </c>
      <c r="H126" s="253">
        <v>55</v>
      </c>
      <c r="I126" s="350" t="s">
        <v>178</v>
      </c>
    </row>
    <row r="127" spans="2:9" ht="14">
      <c r="B127" s="349" t="s">
        <v>334</v>
      </c>
      <c r="C127" s="253" t="s">
        <v>182</v>
      </c>
      <c r="D127" s="253" t="s">
        <v>177</v>
      </c>
      <c r="E127" s="253">
        <v>62</v>
      </c>
      <c r="F127" s="253">
        <v>64</v>
      </c>
      <c r="G127" s="253">
        <v>73</v>
      </c>
      <c r="H127" s="253">
        <v>67</v>
      </c>
      <c r="I127" s="350" t="s">
        <v>184</v>
      </c>
    </row>
    <row r="128" spans="2:9" ht="14">
      <c r="B128" s="349" t="s">
        <v>335</v>
      </c>
      <c r="C128" s="253" t="s">
        <v>256</v>
      </c>
      <c r="D128" s="253" t="s">
        <v>177</v>
      </c>
      <c r="E128" s="253">
        <v>38</v>
      </c>
      <c r="F128" s="253">
        <v>47</v>
      </c>
      <c r="G128" s="253">
        <v>78</v>
      </c>
      <c r="H128" s="253">
        <v>56</v>
      </c>
      <c r="I128" s="350" t="s">
        <v>178</v>
      </c>
    </row>
    <row r="129" spans="2:9" ht="14">
      <c r="B129" s="349" t="s">
        <v>336</v>
      </c>
      <c r="C129" s="253" t="s">
        <v>182</v>
      </c>
      <c r="D129" s="253" t="s">
        <v>177</v>
      </c>
      <c r="E129" s="253">
        <v>63</v>
      </c>
      <c r="F129" s="253">
        <v>59</v>
      </c>
      <c r="G129" s="253">
        <v>76</v>
      </c>
      <c r="H129" s="253">
        <v>67</v>
      </c>
      <c r="I129" s="350" t="s">
        <v>184</v>
      </c>
    </row>
    <row r="130" spans="2:9" ht="14">
      <c r="B130" s="349" t="s">
        <v>337</v>
      </c>
      <c r="C130" s="253" t="s">
        <v>180</v>
      </c>
      <c r="D130" s="253" t="s">
        <v>177</v>
      </c>
      <c r="E130" s="253">
        <v>60</v>
      </c>
      <c r="F130" s="253">
        <v>58</v>
      </c>
      <c r="G130" s="253">
        <v>64</v>
      </c>
      <c r="H130" s="253">
        <v>61</v>
      </c>
      <c r="I130" s="350" t="s">
        <v>184</v>
      </c>
    </row>
    <row r="131" spans="2:9" ht="14">
      <c r="B131" s="349" t="s">
        <v>338</v>
      </c>
      <c r="C131" s="253" t="s">
        <v>212</v>
      </c>
      <c r="D131" s="253" t="s">
        <v>177</v>
      </c>
      <c r="E131" s="253">
        <v>62</v>
      </c>
      <c r="F131" s="253">
        <v>50</v>
      </c>
      <c r="G131" s="253">
        <v>71</v>
      </c>
      <c r="H131" s="253">
        <v>63</v>
      </c>
      <c r="I131" s="350" t="s">
        <v>184</v>
      </c>
    </row>
    <row r="132" spans="2:9" ht="14">
      <c r="B132" s="349" t="s">
        <v>339</v>
      </c>
      <c r="C132" s="253" t="s">
        <v>17</v>
      </c>
      <c r="D132" s="253" t="s">
        <v>177</v>
      </c>
      <c r="E132" s="253">
        <v>49</v>
      </c>
      <c r="F132" s="253">
        <v>52</v>
      </c>
      <c r="G132" s="253">
        <v>72</v>
      </c>
      <c r="H132" s="253">
        <v>59</v>
      </c>
      <c r="I132" s="350" t="s">
        <v>178</v>
      </c>
    </row>
    <row r="133" spans="2:9" ht="14">
      <c r="B133" s="349" t="s">
        <v>340</v>
      </c>
      <c r="C133" s="253" t="s">
        <v>70</v>
      </c>
      <c r="D133" s="253" t="s">
        <v>177</v>
      </c>
      <c r="E133" s="253">
        <v>55</v>
      </c>
      <c r="F133" s="253">
        <v>56</v>
      </c>
      <c r="G133" s="253">
        <v>66</v>
      </c>
      <c r="H133" s="253">
        <v>60</v>
      </c>
      <c r="I133" s="350" t="s">
        <v>178</v>
      </c>
    </row>
    <row r="134" spans="2:9" ht="14">
      <c r="B134" s="349" t="s">
        <v>341</v>
      </c>
      <c r="C134" s="253" t="s">
        <v>342</v>
      </c>
      <c r="D134" s="253" t="s">
        <v>177</v>
      </c>
      <c r="E134" s="253">
        <v>44</v>
      </c>
      <c r="F134" s="253">
        <v>49</v>
      </c>
      <c r="G134" s="253">
        <v>58</v>
      </c>
      <c r="H134" s="253">
        <v>51</v>
      </c>
      <c r="I134" s="350" t="s">
        <v>178</v>
      </c>
    </row>
    <row r="135" spans="2:9" ht="14">
      <c r="B135" s="349" t="s">
        <v>343</v>
      </c>
      <c r="C135" s="253" t="s">
        <v>182</v>
      </c>
      <c r="D135" s="253" t="s">
        <v>177</v>
      </c>
      <c r="E135" s="253">
        <v>62</v>
      </c>
      <c r="F135" s="253">
        <v>48</v>
      </c>
      <c r="G135" s="253">
        <v>72</v>
      </c>
      <c r="H135" s="253">
        <v>63</v>
      </c>
      <c r="I135" s="350" t="s">
        <v>184</v>
      </c>
    </row>
    <row r="136" spans="2:9" ht="14">
      <c r="B136" s="349" t="s">
        <v>344</v>
      </c>
      <c r="C136" s="253" t="s">
        <v>186</v>
      </c>
      <c r="D136" s="253" t="s">
        <v>177</v>
      </c>
      <c r="E136" s="253">
        <v>22</v>
      </c>
      <c r="F136" s="253">
        <v>48</v>
      </c>
      <c r="G136" s="253">
        <v>65</v>
      </c>
      <c r="H136" s="253">
        <v>46</v>
      </c>
      <c r="I136" s="350" t="s">
        <v>178</v>
      </c>
    </row>
    <row r="137" spans="2:9" ht="14">
      <c r="B137" s="349" t="s">
        <v>345</v>
      </c>
      <c r="C137" s="253" t="s">
        <v>317</v>
      </c>
      <c r="D137" s="253" t="s">
        <v>177</v>
      </c>
      <c r="E137" s="253">
        <v>34</v>
      </c>
      <c r="F137" s="253">
        <v>50</v>
      </c>
      <c r="G137" s="253">
        <v>71</v>
      </c>
      <c r="H137" s="253">
        <v>53</v>
      </c>
      <c r="I137" s="350" t="s">
        <v>178</v>
      </c>
    </row>
    <row r="138" spans="2:9" ht="14">
      <c r="B138" s="349" t="s">
        <v>346</v>
      </c>
      <c r="C138" s="253" t="s">
        <v>186</v>
      </c>
      <c r="D138" s="253" t="s">
        <v>177</v>
      </c>
      <c r="E138" s="253">
        <v>24</v>
      </c>
      <c r="F138" s="253">
        <v>39</v>
      </c>
      <c r="G138" s="253">
        <v>62</v>
      </c>
      <c r="H138" s="253">
        <v>43</v>
      </c>
      <c r="I138" s="350" t="s">
        <v>194</v>
      </c>
    </row>
    <row r="139" spans="2:9" ht="14">
      <c r="B139" s="349" t="s">
        <v>347</v>
      </c>
      <c r="C139" s="253" t="s">
        <v>214</v>
      </c>
      <c r="D139" s="253" t="s">
        <v>177</v>
      </c>
      <c r="E139" s="253">
        <v>31</v>
      </c>
      <c r="F139" s="253">
        <v>46</v>
      </c>
      <c r="G139" s="253">
        <v>69</v>
      </c>
      <c r="H139" s="253">
        <v>50</v>
      </c>
      <c r="I139" s="350" t="s">
        <v>178</v>
      </c>
    </row>
    <row r="140" spans="2:9" ht="14">
      <c r="B140" s="349" t="s">
        <v>348</v>
      </c>
      <c r="C140" s="253" t="s">
        <v>53</v>
      </c>
      <c r="D140" s="253" t="s">
        <v>177</v>
      </c>
      <c r="E140" s="253">
        <v>44</v>
      </c>
      <c r="F140" s="253">
        <v>58</v>
      </c>
      <c r="G140" s="253">
        <v>65</v>
      </c>
      <c r="H140" s="253">
        <v>56</v>
      </c>
      <c r="I140" s="350" t="s">
        <v>178</v>
      </c>
    </row>
    <row r="141" spans="2:9" ht="14">
      <c r="B141" s="349" t="s">
        <v>349</v>
      </c>
      <c r="C141" s="253" t="s">
        <v>226</v>
      </c>
      <c r="D141" s="253" t="s">
        <v>177</v>
      </c>
      <c r="E141" s="253">
        <v>36</v>
      </c>
      <c r="F141" s="253">
        <v>47</v>
      </c>
      <c r="G141" s="253">
        <v>75</v>
      </c>
      <c r="H141" s="253">
        <v>54</v>
      </c>
      <c r="I141" s="350" t="s">
        <v>178</v>
      </c>
    </row>
    <row r="142" spans="2:9" ht="14">
      <c r="B142" s="349" t="s">
        <v>350</v>
      </c>
      <c r="C142" s="253" t="s">
        <v>84</v>
      </c>
      <c r="D142" s="253" t="s">
        <v>177</v>
      </c>
      <c r="E142" s="253">
        <v>63</v>
      </c>
      <c r="F142" s="253">
        <v>53</v>
      </c>
      <c r="G142" s="253">
        <v>65</v>
      </c>
      <c r="H142" s="253">
        <v>61</v>
      </c>
      <c r="I142" s="350" t="s">
        <v>184</v>
      </c>
    </row>
    <row r="143" spans="2:9" ht="14">
      <c r="B143" s="349" t="s">
        <v>351</v>
      </c>
      <c r="C143" s="253" t="s">
        <v>86</v>
      </c>
      <c r="D143" s="253" t="s">
        <v>177</v>
      </c>
      <c r="E143" s="253">
        <v>49</v>
      </c>
      <c r="F143" s="253">
        <v>58</v>
      </c>
      <c r="G143" s="253">
        <v>76</v>
      </c>
      <c r="H143" s="253">
        <v>62</v>
      </c>
      <c r="I143" s="350" t="s">
        <v>184</v>
      </c>
    </row>
    <row r="144" spans="2:9" ht="14">
      <c r="B144" s="349" t="s">
        <v>352</v>
      </c>
      <c r="C144" s="253" t="s">
        <v>53</v>
      </c>
      <c r="D144" s="253" t="s">
        <v>177</v>
      </c>
      <c r="E144" s="253">
        <v>61</v>
      </c>
      <c r="F144" s="253">
        <v>58</v>
      </c>
      <c r="G144" s="253">
        <v>76</v>
      </c>
      <c r="H144" s="253">
        <v>66</v>
      </c>
      <c r="I144" s="350" t="s">
        <v>184</v>
      </c>
    </row>
    <row r="145" spans="2:9" ht="14">
      <c r="B145" s="349" t="s">
        <v>353</v>
      </c>
      <c r="C145" s="253" t="s">
        <v>180</v>
      </c>
      <c r="D145" s="253" t="s">
        <v>177</v>
      </c>
      <c r="E145" s="253">
        <v>36</v>
      </c>
      <c r="F145" s="253">
        <v>44</v>
      </c>
      <c r="G145" s="253">
        <v>69</v>
      </c>
      <c r="H145" s="253">
        <v>51</v>
      </c>
      <c r="I145" s="350" t="s">
        <v>178</v>
      </c>
    </row>
    <row r="146" spans="2:9" ht="14">
      <c r="B146" s="349" t="s">
        <v>354</v>
      </c>
      <c r="C146" s="253" t="s">
        <v>212</v>
      </c>
      <c r="D146" s="253" t="s">
        <v>177</v>
      </c>
      <c r="E146" s="253">
        <v>62</v>
      </c>
      <c r="F146" s="253">
        <v>51</v>
      </c>
      <c r="G146" s="253">
        <v>77</v>
      </c>
      <c r="H146" s="253">
        <v>65</v>
      </c>
      <c r="I146" s="350" t="s">
        <v>184</v>
      </c>
    </row>
    <row r="147" spans="2:9" ht="14">
      <c r="B147" s="349" t="s">
        <v>355</v>
      </c>
      <c r="C147" s="253" t="s">
        <v>68</v>
      </c>
      <c r="D147" s="253" t="s">
        <v>177</v>
      </c>
      <c r="E147" s="253">
        <v>57</v>
      </c>
      <c r="F147" s="253">
        <v>48</v>
      </c>
      <c r="G147" s="253">
        <v>57</v>
      </c>
      <c r="H147" s="253">
        <v>55</v>
      </c>
      <c r="I147" s="350" t="s">
        <v>178</v>
      </c>
    </row>
    <row r="148" spans="2:9" ht="14">
      <c r="B148" s="349" t="s">
        <v>356</v>
      </c>
      <c r="C148" s="253" t="s">
        <v>68</v>
      </c>
      <c r="D148" s="253" t="s">
        <v>183</v>
      </c>
      <c r="E148" s="253">
        <v>41</v>
      </c>
      <c r="F148" s="253">
        <v>38</v>
      </c>
      <c r="G148" s="253">
        <v>49</v>
      </c>
      <c r="H148" s="253">
        <v>44</v>
      </c>
      <c r="I148" s="350" t="s">
        <v>194</v>
      </c>
    </row>
    <row r="149" spans="2:9" ht="14">
      <c r="B149" s="349" t="s">
        <v>357</v>
      </c>
      <c r="C149" s="253" t="s">
        <v>237</v>
      </c>
      <c r="D149" s="253" t="s">
        <v>177</v>
      </c>
      <c r="E149" s="253">
        <v>56</v>
      </c>
      <c r="F149" s="253">
        <v>52</v>
      </c>
      <c r="G149" s="253">
        <v>64</v>
      </c>
      <c r="H149" s="253">
        <v>58</v>
      </c>
      <c r="I149" s="350" t="s">
        <v>178</v>
      </c>
    </row>
    <row r="150" spans="2:9" ht="14">
      <c r="B150" s="349" t="s">
        <v>358</v>
      </c>
      <c r="C150" s="253" t="s">
        <v>317</v>
      </c>
      <c r="D150" s="253" t="s">
        <v>177</v>
      </c>
      <c r="E150" s="253">
        <v>43</v>
      </c>
      <c r="F150" s="253">
        <v>64</v>
      </c>
      <c r="G150" s="253">
        <v>59</v>
      </c>
      <c r="H150" s="253">
        <v>54</v>
      </c>
      <c r="I150" s="350" t="s">
        <v>178</v>
      </c>
    </row>
    <row r="151" spans="2:9" ht="14">
      <c r="B151" s="349" t="s">
        <v>359</v>
      </c>
      <c r="C151" s="253" t="s">
        <v>180</v>
      </c>
      <c r="D151" s="253" t="s">
        <v>177</v>
      </c>
      <c r="E151" s="253">
        <v>39</v>
      </c>
      <c r="F151" s="253">
        <v>42</v>
      </c>
      <c r="G151" s="253">
        <v>64</v>
      </c>
      <c r="H151" s="253">
        <v>50</v>
      </c>
      <c r="I151" s="350" t="s">
        <v>178</v>
      </c>
    </row>
    <row r="152" spans="2:9" ht="14">
      <c r="B152" s="349" t="s">
        <v>360</v>
      </c>
      <c r="C152" s="253" t="s">
        <v>180</v>
      </c>
      <c r="D152" s="253" t="s">
        <v>177</v>
      </c>
      <c r="E152" s="253">
        <v>36</v>
      </c>
      <c r="F152" s="253">
        <v>44</v>
      </c>
      <c r="G152" s="253">
        <v>69</v>
      </c>
      <c r="H152" s="253">
        <v>51</v>
      </c>
      <c r="I152" s="350" t="s">
        <v>178</v>
      </c>
    </row>
    <row r="153" spans="2:9" ht="14">
      <c r="B153" s="349" t="s">
        <v>361</v>
      </c>
      <c r="C153" s="253" t="s">
        <v>17</v>
      </c>
      <c r="D153" s="253" t="s">
        <v>177</v>
      </c>
      <c r="E153" s="253">
        <v>42</v>
      </c>
      <c r="F153" s="253">
        <v>61</v>
      </c>
      <c r="G153" s="253">
        <v>64</v>
      </c>
      <c r="H153" s="253">
        <v>56</v>
      </c>
      <c r="I153" s="350" t="s">
        <v>178</v>
      </c>
    </row>
    <row r="154" spans="2:9" ht="14">
      <c r="B154" s="349" t="s">
        <v>362</v>
      </c>
      <c r="C154" s="253" t="s">
        <v>296</v>
      </c>
      <c r="D154" s="253" t="s">
        <v>177</v>
      </c>
      <c r="E154" s="253">
        <v>64</v>
      </c>
      <c r="F154" s="253">
        <v>42</v>
      </c>
      <c r="G154" s="253">
        <v>50</v>
      </c>
      <c r="H154" s="253">
        <v>53</v>
      </c>
      <c r="I154" s="350" t="s">
        <v>178</v>
      </c>
    </row>
    <row r="155" spans="2:9" ht="14">
      <c r="B155" s="349" t="s">
        <v>363</v>
      </c>
      <c r="C155" s="253" t="s">
        <v>276</v>
      </c>
      <c r="D155" s="253" t="s">
        <v>177</v>
      </c>
      <c r="E155" s="253">
        <v>36</v>
      </c>
      <c r="F155" s="253">
        <v>49</v>
      </c>
      <c r="G155" s="253">
        <v>72</v>
      </c>
      <c r="H155" s="253">
        <v>54</v>
      </c>
      <c r="I155" s="350" t="s">
        <v>178</v>
      </c>
    </row>
    <row r="156" spans="2:9" ht="14">
      <c r="B156" s="349" t="s">
        <v>364</v>
      </c>
      <c r="C156" s="253" t="s">
        <v>214</v>
      </c>
      <c r="D156" s="253" t="s">
        <v>177</v>
      </c>
      <c r="E156" s="253">
        <v>34</v>
      </c>
      <c r="F156" s="253">
        <v>62</v>
      </c>
      <c r="G156" s="253">
        <v>70</v>
      </c>
      <c r="H156" s="253">
        <v>55</v>
      </c>
      <c r="I156" s="350" t="s">
        <v>178</v>
      </c>
    </row>
    <row r="157" spans="2:9" ht="14">
      <c r="B157" s="349" t="s">
        <v>365</v>
      </c>
      <c r="C157" s="253" t="s">
        <v>180</v>
      </c>
      <c r="D157" s="253" t="s">
        <v>177</v>
      </c>
      <c r="E157" s="253">
        <v>54</v>
      </c>
      <c r="F157" s="253">
        <v>46</v>
      </c>
      <c r="G157" s="253">
        <v>74</v>
      </c>
      <c r="H157" s="253">
        <v>60</v>
      </c>
      <c r="I157" s="350" t="s">
        <v>178</v>
      </c>
    </row>
    <row r="158" spans="2:9" ht="14">
      <c r="B158" s="349" t="s">
        <v>366</v>
      </c>
      <c r="C158" s="253" t="s">
        <v>204</v>
      </c>
      <c r="D158" s="253" t="s">
        <v>177</v>
      </c>
      <c r="E158" s="253">
        <v>56</v>
      </c>
      <c r="F158" s="253">
        <v>65</v>
      </c>
      <c r="G158" s="253">
        <v>76</v>
      </c>
      <c r="H158" s="253">
        <v>66</v>
      </c>
      <c r="I158" s="350" t="s">
        <v>184</v>
      </c>
    </row>
    <row r="159" spans="2:9" ht="14">
      <c r="B159" s="349" t="s">
        <v>367</v>
      </c>
      <c r="C159" s="253" t="s">
        <v>182</v>
      </c>
      <c r="D159" s="253" t="s">
        <v>177</v>
      </c>
      <c r="E159" s="253">
        <v>56</v>
      </c>
      <c r="F159" s="253">
        <v>65</v>
      </c>
      <c r="G159" s="253">
        <v>79</v>
      </c>
      <c r="H159" s="253">
        <v>68</v>
      </c>
      <c r="I159" s="350" t="s">
        <v>184</v>
      </c>
    </row>
    <row r="160" spans="2:9" ht="14">
      <c r="B160" s="349" t="s">
        <v>368</v>
      </c>
      <c r="C160" s="253" t="s">
        <v>53</v>
      </c>
      <c r="D160" s="253" t="s">
        <v>177</v>
      </c>
      <c r="E160" s="253">
        <v>33</v>
      </c>
      <c r="F160" s="253">
        <v>51</v>
      </c>
      <c r="G160" s="253">
        <v>65</v>
      </c>
      <c r="H160" s="253">
        <v>50</v>
      </c>
      <c r="I160" s="350" t="s">
        <v>178</v>
      </c>
    </row>
    <row r="161" spans="2:9" ht="14">
      <c r="B161" s="349" t="s">
        <v>369</v>
      </c>
      <c r="C161" s="253" t="s">
        <v>180</v>
      </c>
      <c r="D161" s="253" t="s">
        <v>177</v>
      </c>
      <c r="E161" s="253">
        <v>34</v>
      </c>
      <c r="F161" s="253">
        <v>49</v>
      </c>
      <c r="G161" s="253">
        <v>69</v>
      </c>
      <c r="H161" s="253">
        <v>51</v>
      </c>
      <c r="I161" s="350" t="s">
        <v>178</v>
      </c>
    </row>
    <row r="162" spans="2:9" ht="14">
      <c r="B162" s="349" t="s">
        <v>370</v>
      </c>
      <c r="C162" s="253" t="s">
        <v>237</v>
      </c>
      <c r="D162" s="253" t="s">
        <v>177</v>
      </c>
      <c r="E162" s="253">
        <v>51</v>
      </c>
      <c r="F162" s="253">
        <v>45</v>
      </c>
      <c r="G162" s="253">
        <v>75</v>
      </c>
      <c r="H162" s="253">
        <v>59</v>
      </c>
      <c r="I162" s="350" t="s">
        <v>178</v>
      </c>
    </row>
    <row r="163" spans="2:9" ht="14">
      <c r="B163" s="349" t="s">
        <v>371</v>
      </c>
      <c r="C163" s="253" t="s">
        <v>224</v>
      </c>
      <c r="D163" s="253" t="s">
        <v>177</v>
      </c>
      <c r="E163" s="253">
        <v>41</v>
      </c>
      <c r="F163" s="253">
        <v>49</v>
      </c>
      <c r="G163" s="253">
        <v>70</v>
      </c>
      <c r="H163" s="253">
        <v>55</v>
      </c>
      <c r="I163" s="350" t="s">
        <v>178</v>
      </c>
    </row>
    <row r="164" spans="2:9" ht="14">
      <c r="B164" s="349" t="s">
        <v>372</v>
      </c>
      <c r="C164" s="253" t="s">
        <v>373</v>
      </c>
      <c r="D164" s="253" t="s">
        <v>183</v>
      </c>
      <c r="E164" s="253">
        <v>63</v>
      </c>
      <c r="F164" s="253">
        <v>50</v>
      </c>
      <c r="G164" s="253">
        <v>33</v>
      </c>
      <c r="H164" s="253">
        <v>48</v>
      </c>
      <c r="I164" s="350" t="s">
        <v>178</v>
      </c>
    </row>
    <row r="165" spans="2:9" ht="14">
      <c r="B165" s="349" t="s">
        <v>374</v>
      </c>
      <c r="C165" s="253" t="s">
        <v>186</v>
      </c>
      <c r="D165" s="253" t="s">
        <v>177</v>
      </c>
      <c r="E165" s="253">
        <v>26</v>
      </c>
      <c r="F165" s="253">
        <v>44</v>
      </c>
      <c r="G165" s="253">
        <v>57</v>
      </c>
      <c r="H165" s="253">
        <v>43</v>
      </c>
      <c r="I165" s="350" t="s">
        <v>194</v>
      </c>
    </row>
    <row r="166" spans="2:9" ht="14">
      <c r="B166" s="349" t="s">
        <v>375</v>
      </c>
      <c r="C166" s="253" t="s">
        <v>256</v>
      </c>
      <c r="D166" s="253" t="s">
        <v>177</v>
      </c>
      <c r="E166" s="253">
        <v>34</v>
      </c>
      <c r="F166" s="253">
        <v>39</v>
      </c>
      <c r="G166" s="253">
        <v>57</v>
      </c>
      <c r="H166" s="253">
        <v>45</v>
      </c>
      <c r="I166" s="350" t="s">
        <v>194</v>
      </c>
    </row>
    <row r="167" spans="2:9" ht="14">
      <c r="B167" s="349" t="s">
        <v>376</v>
      </c>
      <c r="C167" s="253" t="s">
        <v>243</v>
      </c>
      <c r="D167" s="253" t="s">
        <v>177</v>
      </c>
      <c r="E167" s="253">
        <v>34</v>
      </c>
      <c r="F167" s="253">
        <v>41</v>
      </c>
      <c r="G167" s="253">
        <v>74</v>
      </c>
      <c r="H167" s="253">
        <v>52</v>
      </c>
      <c r="I167" s="350" t="s">
        <v>178</v>
      </c>
    </row>
    <row r="168" spans="2:9" ht="14">
      <c r="B168" s="349" t="s">
        <v>377</v>
      </c>
      <c r="C168" s="253" t="s">
        <v>212</v>
      </c>
      <c r="D168" s="253" t="s">
        <v>177</v>
      </c>
      <c r="E168" s="253">
        <v>58</v>
      </c>
      <c r="F168" s="253">
        <v>47</v>
      </c>
      <c r="G168" s="253">
        <v>72</v>
      </c>
      <c r="H168" s="253">
        <v>61</v>
      </c>
      <c r="I168" s="350" t="s">
        <v>184</v>
      </c>
    </row>
    <row r="169" spans="2:9" ht="14">
      <c r="B169" s="349" t="s">
        <v>378</v>
      </c>
      <c r="C169" s="253" t="s">
        <v>379</v>
      </c>
      <c r="D169" s="253" t="s">
        <v>183</v>
      </c>
      <c r="E169" s="253">
        <v>34</v>
      </c>
      <c r="F169" s="253">
        <v>39</v>
      </c>
      <c r="G169" s="253">
        <v>45</v>
      </c>
      <c r="H169" s="253">
        <v>40</v>
      </c>
      <c r="I169" s="350" t="s">
        <v>194</v>
      </c>
    </row>
    <row r="170" spans="2:9" ht="14">
      <c r="B170" s="349" t="s">
        <v>380</v>
      </c>
      <c r="C170" s="253" t="s">
        <v>86</v>
      </c>
      <c r="D170" s="253" t="s">
        <v>177</v>
      </c>
      <c r="E170" s="253">
        <v>43</v>
      </c>
      <c r="F170" s="253">
        <v>51</v>
      </c>
      <c r="G170" s="253">
        <v>52</v>
      </c>
      <c r="H170" s="253">
        <v>48</v>
      </c>
      <c r="I170" s="350" t="s">
        <v>178</v>
      </c>
    </row>
    <row r="171" spans="2:9" ht="14">
      <c r="B171" s="349" t="s">
        <v>381</v>
      </c>
      <c r="C171" s="253" t="s">
        <v>303</v>
      </c>
      <c r="D171" s="253" t="s">
        <v>177</v>
      </c>
      <c r="E171" s="253">
        <v>43</v>
      </c>
      <c r="F171" s="253">
        <v>38</v>
      </c>
      <c r="G171" s="253">
        <v>68</v>
      </c>
      <c r="H171" s="253">
        <v>52</v>
      </c>
      <c r="I171" s="350" t="s">
        <v>178</v>
      </c>
    </row>
    <row r="172" spans="2:9" ht="14">
      <c r="B172" s="349" t="s">
        <v>382</v>
      </c>
      <c r="C172" s="253" t="s">
        <v>182</v>
      </c>
      <c r="D172" s="253" t="s">
        <v>183</v>
      </c>
      <c r="E172" s="253">
        <v>63</v>
      </c>
      <c r="F172" s="253">
        <v>57</v>
      </c>
      <c r="G172" s="253">
        <v>55</v>
      </c>
      <c r="H172" s="253">
        <v>58</v>
      </c>
      <c r="I172" s="350" t="s">
        <v>178</v>
      </c>
    </row>
    <row r="173" spans="2:9" ht="14">
      <c r="B173" s="349" t="s">
        <v>383</v>
      </c>
      <c r="C173" s="253" t="s">
        <v>239</v>
      </c>
      <c r="D173" s="253" t="s">
        <v>177</v>
      </c>
      <c r="E173" s="253">
        <v>20</v>
      </c>
      <c r="F173" s="253">
        <v>32</v>
      </c>
      <c r="G173" s="253">
        <v>69</v>
      </c>
      <c r="H173" s="253">
        <v>43</v>
      </c>
      <c r="I173" s="350" t="s">
        <v>194</v>
      </c>
    </row>
    <row r="174" spans="2:9" ht="14">
      <c r="B174" s="349" t="s">
        <v>384</v>
      </c>
      <c r="C174" s="253" t="s">
        <v>276</v>
      </c>
      <c r="D174" s="253" t="s">
        <v>177</v>
      </c>
      <c r="E174" s="253">
        <v>38</v>
      </c>
      <c r="F174" s="253">
        <v>46</v>
      </c>
      <c r="G174" s="253">
        <v>70</v>
      </c>
      <c r="H174" s="253">
        <v>53</v>
      </c>
      <c r="I174" s="350" t="s">
        <v>178</v>
      </c>
    </row>
    <row r="175" spans="2:9" ht="14">
      <c r="B175" s="349" t="s">
        <v>385</v>
      </c>
      <c r="C175" s="253" t="s">
        <v>200</v>
      </c>
      <c r="D175" s="253" t="s">
        <v>177</v>
      </c>
      <c r="E175" s="253">
        <v>59</v>
      </c>
      <c r="F175" s="253">
        <v>68</v>
      </c>
      <c r="G175" s="253">
        <v>62</v>
      </c>
      <c r="H175" s="253">
        <v>63</v>
      </c>
      <c r="I175" s="350" t="s">
        <v>184</v>
      </c>
    </row>
    <row r="176" spans="2:9" ht="14">
      <c r="B176" s="349" t="s">
        <v>386</v>
      </c>
      <c r="C176" s="253" t="s">
        <v>186</v>
      </c>
      <c r="D176" s="253" t="s">
        <v>177</v>
      </c>
      <c r="E176" s="253">
        <v>38</v>
      </c>
      <c r="F176" s="253">
        <v>52</v>
      </c>
      <c r="G176" s="253">
        <v>65</v>
      </c>
      <c r="H176" s="253">
        <v>52</v>
      </c>
      <c r="I176" s="350" t="s">
        <v>178</v>
      </c>
    </row>
    <row r="177" spans="2:9" ht="14">
      <c r="B177" s="349" t="s">
        <v>387</v>
      </c>
      <c r="C177" s="253" t="s">
        <v>388</v>
      </c>
      <c r="D177" s="253" t="s">
        <v>177</v>
      </c>
      <c r="E177" s="253">
        <v>32</v>
      </c>
      <c r="F177" s="253">
        <v>43</v>
      </c>
      <c r="G177" s="253">
        <v>59</v>
      </c>
      <c r="H177" s="253">
        <v>45</v>
      </c>
      <c r="I177" s="350" t="s">
        <v>194</v>
      </c>
    </row>
    <row r="178" spans="2:9" ht="14">
      <c r="B178" s="349" t="s">
        <v>389</v>
      </c>
      <c r="C178" s="253" t="s">
        <v>193</v>
      </c>
      <c r="D178" s="253" t="s">
        <v>177</v>
      </c>
      <c r="E178" s="253">
        <v>34</v>
      </c>
      <c r="F178" s="253">
        <v>43</v>
      </c>
      <c r="G178" s="253">
        <v>66</v>
      </c>
      <c r="H178" s="253">
        <v>49</v>
      </c>
      <c r="I178" s="350" t="s">
        <v>178</v>
      </c>
    </row>
    <row r="179" spans="2:9" ht="14">
      <c r="B179" s="349" t="s">
        <v>390</v>
      </c>
      <c r="C179" s="253" t="s">
        <v>193</v>
      </c>
      <c r="D179" s="253" t="s">
        <v>177</v>
      </c>
      <c r="E179" s="253">
        <v>36</v>
      </c>
      <c r="F179" s="253">
        <v>48</v>
      </c>
      <c r="G179" s="253">
        <v>53</v>
      </c>
      <c r="H179" s="253">
        <v>46</v>
      </c>
      <c r="I179" s="350" t="s">
        <v>178</v>
      </c>
    </row>
    <row r="180" spans="2:9" ht="14">
      <c r="B180" s="349" t="s">
        <v>391</v>
      </c>
      <c r="C180" s="253" t="s">
        <v>216</v>
      </c>
      <c r="D180" s="253" t="s">
        <v>177</v>
      </c>
      <c r="E180" s="253">
        <v>37</v>
      </c>
      <c r="F180" s="253">
        <v>47</v>
      </c>
      <c r="G180" s="253">
        <v>65</v>
      </c>
      <c r="H180" s="253">
        <v>50</v>
      </c>
      <c r="I180" s="350" t="s">
        <v>178</v>
      </c>
    </row>
    <row r="181" spans="2:9" ht="14">
      <c r="B181" s="349" t="s">
        <v>392</v>
      </c>
      <c r="C181" s="253" t="s">
        <v>216</v>
      </c>
      <c r="D181" s="253" t="s">
        <v>177</v>
      </c>
      <c r="E181" s="253">
        <v>36</v>
      </c>
      <c r="F181" s="253">
        <v>49</v>
      </c>
      <c r="G181" s="253">
        <v>72</v>
      </c>
      <c r="H181" s="253">
        <v>54</v>
      </c>
      <c r="I181" s="350" t="s">
        <v>178</v>
      </c>
    </row>
    <row r="182" spans="2:9" ht="14">
      <c r="B182" s="349" t="s">
        <v>393</v>
      </c>
      <c r="C182" s="253" t="s">
        <v>80</v>
      </c>
      <c r="D182" s="253" t="s">
        <v>177</v>
      </c>
      <c r="E182" s="253">
        <v>42</v>
      </c>
      <c r="F182" s="253">
        <v>52</v>
      </c>
      <c r="G182" s="253">
        <v>57</v>
      </c>
      <c r="H182" s="253">
        <v>50</v>
      </c>
      <c r="I182" s="350" t="s">
        <v>178</v>
      </c>
    </row>
    <row r="183" spans="2:9" ht="14">
      <c r="B183" s="349" t="s">
        <v>394</v>
      </c>
      <c r="C183" s="253" t="s">
        <v>186</v>
      </c>
      <c r="D183" s="253" t="s">
        <v>177</v>
      </c>
      <c r="E183" s="253">
        <v>37</v>
      </c>
      <c r="F183" s="253">
        <v>52</v>
      </c>
      <c r="G183" s="253">
        <v>64</v>
      </c>
      <c r="H183" s="253">
        <v>51</v>
      </c>
      <c r="I183" s="350" t="s">
        <v>178</v>
      </c>
    </row>
    <row r="184" spans="2:9" ht="14">
      <c r="B184" s="349" t="s">
        <v>395</v>
      </c>
      <c r="C184" s="253" t="s">
        <v>182</v>
      </c>
      <c r="D184" s="253" t="s">
        <v>177</v>
      </c>
      <c r="E184" s="253">
        <v>62</v>
      </c>
      <c r="F184" s="253">
        <v>57</v>
      </c>
      <c r="G184" s="253">
        <v>64</v>
      </c>
      <c r="H184" s="253">
        <v>62</v>
      </c>
      <c r="I184" s="350" t="s">
        <v>184</v>
      </c>
    </row>
    <row r="185" spans="2:9" ht="14">
      <c r="B185" s="349" t="s">
        <v>396</v>
      </c>
      <c r="C185" s="253" t="s">
        <v>17</v>
      </c>
      <c r="D185" s="253" t="s">
        <v>177</v>
      </c>
      <c r="E185" s="253">
        <v>43</v>
      </c>
      <c r="F185" s="253">
        <v>37</v>
      </c>
      <c r="G185" s="253">
        <v>65</v>
      </c>
      <c r="H185" s="253">
        <v>50</v>
      </c>
      <c r="I185" s="350" t="s">
        <v>178</v>
      </c>
    </row>
    <row r="186" spans="2:9" ht="14">
      <c r="B186" s="349" t="s">
        <v>397</v>
      </c>
      <c r="C186" s="253" t="s">
        <v>53</v>
      </c>
      <c r="D186" s="253" t="s">
        <v>177</v>
      </c>
      <c r="E186" s="253">
        <v>38</v>
      </c>
      <c r="F186" s="253">
        <v>59</v>
      </c>
      <c r="G186" s="253">
        <v>72</v>
      </c>
      <c r="H186" s="253">
        <v>57</v>
      </c>
      <c r="I186" s="350" t="s">
        <v>178</v>
      </c>
    </row>
    <row r="187" spans="2:9" ht="14">
      <c r="B187" s="349" t="s">
        <v>398</v>
      </c>
      <c r="C187" s="253" t="s">
        <v>53</v>
      </c>
      <c r="D187" s="253" t="s">
        <v>177</v>
      </c>
      <c r="E187" s="253">
        <v>36</v>
      </c>
      <c r="F187" s="253">
        <v>51</v>
      </c>
      <c r="G187" s="253">
        <v>74</v>
      </c>
      <c r="H187" s="253">
        <v>55</v>
      </c>
      <c r="I187" s="350" t="s">
        <v>178</v>
      </c>
    </row>
    <row r="188" spans="2:9" ht="14">
      <c r="B188" s="349" t="s">
        <v>399</v>
      </c>
      <c r="C188" s="253" t="s">
        <v>53</v>
      </c>
      <c r="D188" s="253" t="s">
        <v>177</v>
      </c>
      <c r="E188" s="253">
        <v>52</v>
      </c>
      <c r="F188" s="253">
        <v>57</v>
      </c>
      <c r="G188" s="253">
        <v>67</v>
      </c>
      <c r="H188" s="253">
        <v>60</v>
      </c>
      <c r="I188" s="350" t="s">
        <v>178</v>
      </c>
    </row>
    <row r="189" spans="2:9" ht="14">
      <c r="B189" s="349" t="s">
        <v>400</v>
      </c>
      <c r="C189" s="253" t="s">
        <v>180</v>
      </c>
      <c r="D189" s="253" t="s">
        <v>177</v>
      </c>
      <c r="E189" s="253">
        <v>37</v>
      </c>
      <c r="F189" s="253">
        <v>43</v>
      </c>
      <c r="G189" s="253">
        <v>75</v>
      </c>
      <c r="H189" s="253">
        <v>54</v>
      </c>
      <c r="I189" s="350" t="s">
        <v>178</v>
      </c>
    </row>
    <row r="190" spans="2:9" ht="14">
      <c r="B190" s="349" t="s">
        <v>401</v>
      </c>
      <c r="C190" s="253" t="s">
        <v>276</v>
      </c>
      <c r="D190" s="253" t="s">
        <v>177</v>
      </c>
      <c r="E190" s="253">
        <v>32</v>
      </c>
      <c r="F190" s="253">
        <v>32</v>
      </c>
      <c r="G190" s="253">
        <v>61</v>
      </c>
      <c r="H190" s="253">
        <v>44</v>
      </c>
      <c r="I190" s="350" t="s">
        <v>194</v>
      </c>
    </row>
    <row r="191" spans="2:9" ht="14">
      <c r="B191" s="349" t="s">
        <v>402</v>
      </c>
      <c r="C191" s="253" t="s">
        <v>206</v>
      </c>
      <c r="D191" s="253" t="s">
        <v>177</v>
      </c>
      <c r="E191" s="253">
        <v>32</v>
      </c>
      <c r="F191" s="253">
        <v>33</v>
      </c>
      <c r="G191" s="253">
        <v>59</v>
      </c>
      <c r="H191" s="253">
        <v>43</v>
      </c>
      <c r="I191" s="350" t="s">
        <v>194</v>
      </c>
    </row>
    <row r="192" spans="2:9" ht="14">
      <c r="B192" s="349" t="s">
        <v>403</v>
      </c>
      <c r="C192" s="253" t="s">
        <v>17</v>
      </c>
      <c r="D192" s="253" t="s">
        <v>177</v>
      </c>
      <c r="E192" s="253">
        <v>39</v>
      </c>
      <c r="F192" s="253">
        <v>39</v>
      </c>
      <c r="G192" s="253">
        <v>51</v>
      </c>
      <c r="H192" s="253">
        <v>44</v>
      </c>
      <c r="I192" s="350" t="s">
        <v>194</v>
      </c>
    </row>
    <row r="193" spans="2:9" ht="14">
      <c r="B193" s="349" t="s">
        <v>404</v>
      </c>
      <c r="C193" s="253" t="s">
        <v>17</v>
      </c>
      <c r="D193" s="253" t="s">
        <v>177</v>
      </c>
      <c r="E193" s="253">
        <v>42</v>
      </c>
      <c r="F193" s="253">
        <v>50</v>
      </c>
      <c r="G193" s="253">
        <v>72</v>
      </c>
      <c r="H193" s="253">
        <v>56</v>
      </c>
      <c r="I193" s="350" t="s">
        <v>178</v>
      </c>
    </row>
    <row r="194" spans="2:9" ht="14">
      <c r="B194" s="349" t="s">
        <v>405</v>
      </c>
      <c r="C194" s="253" t="s">
        <v>17</v>
      </c>
      <c r="D194" s="253" t="s">
        <v>177</v>
      </c>
      <c r="E194" s="253">
        <v>61</v>
      </c>
      <c r="F194" s="253">
        <v>59</v>
      </c>
      <c r="G194" s="253">
        <v>76</v>
      </c>
      <c r="H194" s="253">
        <v>66</v>
      </c>
      <c r="I194" s="350" t="s">
        <v>184</v>
      </c>
    </row>
    <row r="195" spans="2:9" ht="14">
      <c r="B195" s="349" t="s">
        <v>406</v>
      </c>
      <c r="C195" s="253" t="s">
        <v>84</v>
      </c>
      <c r="D195" s="253" t="s">
        <v>177</v>
      </c>
      <c r="E195" s="253">
        <v>56</v>
      </c>
      <c r="F195" s="253">
        <v>53</v>
      </c>
      <c r="G195" s="253">
        <v>65</v>
      </c>
      <c r="H195" s="253">
        <v>59</v>
      </c>
      <c r="I195" s="350" t="s">
        <v>178</v>
      </c>
    </row>
    <row r="196" spans="2:9" ht="14">
      <c r="B196" s="349" t="s">
        <v>407</v>
      </c>
      <c r="C196" s="253" t="s">
        <v>89</v>
      </c>
      <c r="D196" s="253" t="s">
        <v>177</v>
      </c>
      <c r="E196" s="253">
        <v>32</v>
      </c>
      <c r="F196" s="253">
        <v>56</v>
      </c>
      <c r="G196" s="253">
        <v>69</v>
      </c>
      <c r="H196" s="253">
        <v>53</v>
      </c>
      <c r="I196" s="350" t="s">
        <v>178</v>
      </c>
    </row>
    <row r="197" spans="2:9" ht="14">
      <c r="B197" s="349" t="s">
        <v>408</v>
      </c>
      <c r="C197" s="253" t="s">
        <v>233</v>
      </c>
      <c r="D197" s="253" t="s">
        <v>177</v>
      </c>
      <c r="E197" s="253">
        <v>32</v>
      </c>
      <c r="F197" s="253">
        <v>46</v>
      </c>
      <c r="G197" s="253">
        <v>69</v>
      </c>
      <c r="H197" s="253">
        <v>50</v>
      </c>
      <c r="I197" s="350" t="s">
        <v>178</v>
      </c>
    </row>
    <row r="198" spans="2:9" ht="14">
      <c r="B198" s="349" t="s">
        <v>409</v>
      </c>
      <c r="C198" s="253" t="s">
        <v>53</v>
      </c>
      <c r="D198" s="253" t="s">
        <v>177</v>
      </c>
      <c r="E198" s="253">
        <v>37</v>
      </c>
      <c r="F198" s="253">
        <v>54</v>
      </c>
      <c r="G198" s="253">
        <v>69</v>
      </c>
      <c r="H198" s="253">
        <v>54</v>
      </c>
      <c r="I198" s="350" t="s">
        <v>178</v>
      </c>
    </row>
    <row r="199" spans="2:9" ht="14">
      <c r="B199" s="349" t="s">
        <v>410</v>
      </c>
      <c r="C199" s="253" t="s">
        <v>231</v>
      </c>
      <c r="D199" s="253" t="s">
        <v>177</v>
      </c>
      <c r="E199" s="253">
        <v>26</v>
      </c>
      <c r="F199" s="253">
        <v>44</v>
      </c>
      <c r="G199" s="253">
        <v>61</v>
      </c>
      <c r="H199" s="253">
        <v>45</v>
      </c>
      <c r="I199" s="350" t="s">
        <v>194</v>
      </c>
    </row>
    <row r="200" spans="2:9" ht="14">
      <c r="B200" s="349" t="s">
        <v>411</v>
      </c>
      <c r="C200" s="253" t="s">
        <v>412</v>
      </c>
      <c r="D200" s="253" t="s">
        <v>177</v>
      </c>
      <c r="E200" s="253">
        <v>60</v>
      </c>
      <c r="F200" s="253">
        <v>58</v>
      </c>
      <c r="G200" s="253">
        <v>68</v>
      </c>
      <c r="H200" s="253">
        <v>63</v>
      </c>
      <c r="I200" s="350" t="s">
        <v>184</v>
      </c>
    </row>
    <row r="201" spans="2:9" ht="14">
      <c r="B201" s="349" t="s">
        <v>413</v>
      </c>
      <c r="C201" s="253" t="s">
        <v>243</v>
      </c>
      <c r="D201" s="253" t="s">
        <v>177</v>
      </c>
      <c r="E201" s="253">
        <v>39</v>
      </c>
      <c r="F201" s="253">
        <v>40</v>
      </c>
      <c r="G201" s="253">
        <v>72</v>
      </c>
      <c r="H201" s="253">
        <v>53</v>
      </c>
      <c r="I201" s="350" t="s">
        <v>178</v>
      </c>
    </row>
    <row r="202" spans="2:9" ht="14">
      <c r="B202" s="349" t="s">
        <v>414</v>
      </c>
      <c r="C202" s="253" t="s">
        <v>243</v>
      </c>
      <c r="D202" s="253" t="s">
        <v>177</v>
      </c>
      <c r="E202" s="253">
        <v>33</v>
      </c>
      <c r="F202" s="253">
        <v>35</v>
      </c>
      <c r="G202" s="253">
        <v>71</v>
      </c>
      <c r="H202" s="253">
        <v>49</v>
      </c>
      <c r="I202" s="350" t="s">
        <v>178</v>
      </c>
    </row>
    <row r="203" spans="2:9" ht="14">
      <c r="B203" s="349" t="s">
        <v>415</v>
      </c>
      <c r="C203" s="253" t="s">
        <v>243</v>
      </c>
      <c r="D203" s="253" t="s">
        <v>177</v>
      </c>
      <c r="E203" s="253">
        <v>36</v>
      </c>
      <c r="F203" s="253">
        <v>44</v>
      </c>
      <c r="G203" s="253">
        <v>61</v>
      </c>
      <c r="H203" s="253">
        <v>48</v>
      </c>
      <c r="I203" s="350" t="s">
        <v>178</v>
      </c>
    </row>
    <row r="204" spans="2:9" ht="14">
      <c r="B204" s="349" t="s">
        <v>416</v>
      </c>
      <c r="C204" s="253" t="s">
        <v>180</v>
      </c>
      <c r="D204" s="253" t="s">
        <v>177</v>
      </c>
      <c r="E204" s="253">
        <v>42</v>
      </c>
      <c r="F204" s="253">
        <v>47</v>
      </c>
      <c r="G204" s="253">
        <v>71</v>
      </c>
      <c r="H204" s="253">
        <v>55</v>
      </c>
      <c r="I204" s="350" t="s">
        <v>178</v>
      </c>
    </row>
    <row r="205" spans="2:9" ht="14">
      <c r="B205" s="349" t="s">
        <v>417</v>
      </c>
      <c r="C205" s="253" t="s">
        <v>200</v>
      </c>
      <c r="D205" s="253" t="s">
        <v>177</v>
      </c>
      <c r="E205" s="253">
        <v>32</v>
      </c>
      <c r="F205" s="253">
        <v>54</v>
      </c>
      <c r="G205" s="253">
        <v>70</v>
      </c>
      <c r="H205" s="253">
        <v>53</v>
      </c>
      <c r="I205" s="350" t="s">
        <v>178</v>
      </c>
    </row>
    <row r="206" spans="2:9" ht="14">
      <c r="B206" s="349" t="s">
        <v>147</v>
      </c>
      <c r="C206" s="253" t="s">
        <v>198</v>
      </c>
      <c r="D206" s="253" t="s">
        <v>177</v>
      </c>
      <c r="E206" s="253">
        <v>26</v>
      </c>
      <c r="F206" s="253">
        <v>39</v>
      </c>
      <c r="G206" s="253">
        <v>60</v>
      </c>
      <c r="H206" s="253">
        <v>43</v>
      </c>
      <c r="I206" s="350" t="s">
        <v>194</v>
      </c>
    </row>
    <row r="207" spans="2:9" ht="14">
      <c r="B207" s="349" t="s">
        <v>418</v>
      </c>
      <c r="C207" s="253" t="s">
        <v>186</v>
      </c>
      <c r="D207" s="253" t="s">
        <v>177</v>
      </c>
      <c r="E207" s="253">
        <v>23</v>
      </c>
      <c r="F207" s="253">
        <v>45</v>
      </c>
      <c r="G207" s="253">
        <v>65</v>
      </c>
      <c r="H207" s="253">
        <v>45</v>
      </c>
      <c r="I207" s="350" t="s">
        <v>194</v>
      </c>
    </row>
    <row r="208" spans="2:9" ht="14">
      <c r="B208" s="349" t="s">
        <v>419</v>
      </c>
      <c r="C208" s="253" t="s">
        <v>102</v>
      </c>
      <c r="D208" s="253" t="s">
        <v>177</v>
      </c>
      <c r="E208" s="253">
        <v>21</v>
      </c>
      <c r="F208" s="253">
        <v>41</v>
      </c>
      <c r="G208" s="253">
        <v>68</v>
      </c>
      <c r="H208" s="253">
        <v>45</v>
      </c>
      <c r="I208" s="350" t="s">
        <v>194</v>
      </c>
    </row>
    <row r="209" spans="2:9" ht="14">
      <c r="B209" s="349" t="s">
        <v>420</v>
      </c>
      <c r="C209" s="253" t="s">
        <v>186</v>
      </c>
      <c r="D209" s="253" t="s">
        <v>177</v>
      </c>
      <c r="E209" s="253">
        <v>29</v>
      </c>
      <c r="F209" s="253">
        <v>45</v>
      </c>
      <c r="G209" s="253">
        <v>65</v>
      </c>
      <c r="H209" s="253">
        <v>47</v>
      </c>
      <c r="I209" s="350" t="s">
        <v>178</v>
      </c>
    </row>
    <row r="210" spans="2:9" ht="14">
      <c r="B210" s="349" t="s">
        <v>421</v>
      </c>
      <c r="C210" s="253" t="s">
        <v>200</v>
      </c>
      <c r="D210" s="253" t="s">
        <v>177</v>
      </c>
      <c r="E210" s="253">
        <v>34</v>
      </c>
      <c r="F210" s="253">
        <v>44</v>
      </c>
      <c r="G210" s="253">
        <v>60</v>
      </c>
      <c r="H210" s="253">
        <v>47</v>
      </c>
      <c r="I210" s="350" t="s">
        <v>178</v>
      </c>
    </row>
    <row r="211" spans="2:9" ht="14">
      <c r="B211" s="349" t="s">
        <v>422</v>
      </c>
      <c r="C211" s="253" t="s">
        <v>214</v>
      </c>
      <c r="D211" s="253" t="s">
        <v>177</v>
      </c>
      <c r="E211" s="253">
        <v>31</v>
      </c>
      <c r="F211" s="253">
        <v>35</v>
      </c>
      <c r="G211" s="253">
        <v>58</v>
      </c>
      <c r="H211" s="253">
        <v>43</v>
      </c>
      <c r="I211" s="350" t="s">
        <v>194</v>
      </c>
    </row>
    <row r="212" spans="2:9" ht="14">
      <c r="B212" s="349" t="s">
        <v>423</v>
      </c>
      <c r="C212" s="253" t="s">
        <v>212</v>
      </c>
      <c r="D212" s="253" t="s">
        <v>177</v>
      </c>
      <c r="E212" s="253">
        <v>44</v>
      </c>
      <c r="F212" s="253">
        <v>63</v>
      </c>
      <c r="G212" s="253">
        <v>80</v>
      </c>
      <c r="H212" s="253">
        <v>63</v>
      </c>
      <c r="I212" s="350" t="s">
        <v>184</v>
      </c>
    </row>
    <row r="213" spans="2:9" ht="14">
      <c r="B213" s="349" t="s">
        <v>424</v>
      </c>
      <c r="C213" s="253" t="s">
        <v>17</v>
      </c>
      <c r="D213" s="253" t="s">
        <v>177</v>
      </c>
      <c r="E213" s="253">
        <v>39</v>
      </c>
      <c r="F213" s="253">
        <v>51</v>
      </c>
      <c r="G213" s="253">
        <v>67</v>
      </c>
      <c r="H213" s="253">
        <v>53</v>
      </c>
      <c r="I213" s="350" t="s">
        <v>178</v>
      </c>
    </row>
    <row r="214" spans="2:9" ht="14">
      <c r="B214" s="349" t="s">
        <v>425</v>
      </c>
      <c r="C214" s="253" t="s">
        <v>256</v>
      </c>
      <c r="D214" s="253" t="s">
        <v>177</v>
      </c>
      <c r="E214" s="253">
        <v>60</v>
      </c>
      <c r="F214" s="253">
        <v>58</v>
      </c>
      <c r="G214" s="253">
        <v>72</v>
      </c>
      <c r="H214" s="253">
        <v>64</v>
      </c>
      <c r="I214" s="350" t="s">
        <v>184</v>
      </c>
    </row>
    <row r="215" spans="2:9" ht="14">
      <c r="B215" s="349" t="s">
        <v>426</v>
      </c>
      <c r="C215" s="253" t="s">
        <v>206</v>
      </c>
      <c r="D215" s="253" t="s">
        <v>177</v>
      </c>
      <c r="E215" s="253">
        <v>37</v>
      </c>
      <c r="F215" s="253">
        <v>41</v>
      </c>
      <c r="G215" s="253">
        <v>62</v>
      </c>
      <c r="H215" s="253">
        <v>48</v>
      </c>
      <c r="I215" s="350" t="s">
        <v>178</v>
      </c>
    </row>
    <row r="216" spans="2:9" ht="14">
      <c r="B216" s="349" t="s">
        <v>427</v>
      </c>
      <c r="C216" s="253" t="s">
        <v>212</v>
      </c>
      <c r="D216" s="253" t="s">
        <v>177</v>
      </c>
      <c r="E216" s="253">
        <v>66</v>
      </c>
      <c r="F216" s="253">
        <v>63</v>
      </c>
      <c r="G216" s="253">
        <v>79</v>
      </c>
      <c r="H216" s="253">
        <v>71</v>
      </c>
      <c r="I216" s="350" t="s">
        <v>250</v>
      </c>
    </row>
    <row r="217" spans="2:9" ht="14">
      <c r="B217" s="349" t="s">
        <v>428</v>
      </c>
      <c r="C217" s="253" t="s">
        <v>182</v>
      </c>
      <c r="D217" s="253" t="s">
        <v>183</v>
      </c>
      <c r="E217" s="253">
        <v>59</v>
      </c>
      <c r="F217" s="253">
        <v>53</v>
      </c>
      <c r="G217" s="253">
        <v>65</v>
      </c>
      <c r="H217" s="253">
        <v>60</v>
      </c>
      <c r="I217" s="350" t="s">
        <v>178</v>
      </c>
    </row>
    <row r="218" spans="2:9" ht="14">
      <c r="B218" s="349" t="s">
        <v>429</v>
      </c>
      <c r="C218" s="253" t="s">
        <v>68</v>
      </c>
      <c r="D218" s="253" t="s">
        <v>177</v>
      </c>
      <c r="E218" s="253">
        <v>50</v>
      </c>
      <c r="F218" s="253">
        <v>55</v>
      </c>
      <c r="G218" s="253">
        <v>77</v>
      </c>
      <c r="H218" s="253">
        <v>62</v>
      </c>
      <c r="I218" s="350" t="s">
        <v>184</v>
      </c>
    </row>
    <row r="219" spans="2:9" ht="14">
      <c r="B219" s="349" t="s">
        <v>129</v>
      </c>
      <c r="C219" s="253" t="s">
        <v>182</v>
      </c>
      <c r="D219" s="253" t="s">
        <v>177</v>
      </c>
      <c r="E219" s="253">
        <v>65</v>
      </c>
      <c r="F219" s="253">
        <v>67</v>
      </c>
      <c r="G219" s="253">
        <v>81</v>
      </c>
      <c r="H219" s="253">
        <v>72</v>
      </c>
      <c r="I219" s="350" t="s">
        <v>250</v>
      </c>
    </row>
    <row r="220" spans="2:9" ht="14">
      <c r="B220" s="349" t="s">
        <v>430</v>
      </c>
      <c r="C220" s="253" t="s">
        <v>182</v>
      </c>
      <c r="D220" s="253" t="s">
        <v>183</v>
      </c>
      <c r="E220" s="253">
        <v>66</v>
      </c>
      <c r="F220" s="253">
        <v>52</v>
      </c>
      <c r="G220" s="253">
        <v>64</v>
      </c>
      <c r="H220" s="253">
        <v>62</v>
      </c>
      <c r="I220" s="350" t="s">
        <v>184</v>
      </c>
    </row>
    <row r="221" spans="2:9" ht="14">
      <c r="B221" s="349" t="s">
        <v>431</v>
      </c>
      <c r="C221" s="253" t="s">
        <v>80</v>
      </c>
      <c r="D221" s="253" t="s">
        <v>177</v>
      </c>
      <c r="E221" s="253">
        <v>50</v>
      </c>
      <c r="F221" s="253">
        <v>59</v>
      </c>
      <c r="G221" s="253">
        <v>68</v>
      </c>
      <c r="H221" s="253">
        <v>60</v>
      </c>
      <c r="I221" s="350" t="s">
        <v>178</v>
      </c>
    </row>
    <row r="222" spans="2:9" ht="14">
      <c r="B222" s="349" t="s">
        <v>432</v>
      </c>
      <c r="C222" s="253" t="s">
        <v>68</v>
      </c>
      <c r="D222" s="253" t="s">
        <v>183</v>
      </c>
      <c r="E222" s="253">
        <v>41</v>
      </c>
      <c r="F222" s="253">
        <v>41</v>
      </c>
      <c r="G222" s="253">
        <v>62</v>
      </c>
      <c r="H222" s="253">
        <v>50</v>
      </c>
      <c r="I222" s="350" t="s">
        <v>178</v>
      </c>
    </row>
    <row r="223" spans="2:9" ht="14">
      <c r="B223" s="349" t="s">
        <v>433</v>
      </c>
      <c r="C223" s="253" t="s">
        <v>86</v>
      </c>
      <c r="D223" s="253" t="s">
        <v>177</v>
      </c>
      <c r="E223" s="253">
        <v>52</v>
      </c>
      <c r="F223" s="253">
        <v>48</v>
      </c>
      <c r="G223" s="253">
        <v>70</v>
      </c>
      <c r="H223" s="253">
        <v>58</v>
      </c>
      <c r="I223" s="350" t="s">
        <v>178</v>
      </c>
    </row>
    <row r="224" spans="2:9" ht="14">
      <c r="B224" s="349" t="s">
        <v>434</v>
      </c>
      <c r="C224" s="253" t="s">
        <v>70</v>
      </c>
      <c r="D224" s="253" t="s">
        <v>177</v>
      </c>
      <c r="E224" s="253">
        <v>44</v>
      </c>
      <c r="F224" s="253">
        <v>52</v>
      </c>
      <c r="G224" s="253">
        <v>68</v>
      </c>
      <c r="H224" s="253">
        <v>56</v>
      </c>
      <c r="I224" s="350" t="s">
        <v>178</v>
      </c>
    </row>
    <row r="225" spans="2:9" ht="14">
      <c r="B225" s="349" t="s">
        <v>435</v>
      </c>
      <c r="C225" s="253" t="s">
        <v>17</v>
      </c>
      <c r="D225" s="253" t="s">
        <v>177</v>
      </c>
      <c r="E225" s="253">
        <v>38</v>
      </c>
      <c r="F225" s="253">
        <v>46</v>
      </c>
      <c r="G225" s="253">
        <v>70</v>
      </c>
      <c r="H225" s="253">
        <v>53</v>
      </c>
      <c r="I225" s="350" t="s">
        <v>178</v>
      </c>
    </row>
    <row r="226" spans="2:9" ht="14">
      <c r="B226" s="349" t="s">
        <v>436</v>
      </c>
      <c r="C226" s="253" t="s">
        <v>182</v>
      </c>
      <c r="D226" s="253" t="s">
        <v>183</v>
      </c>
      <c r="E226" s="253">
        <v>56</v>
      </c>
      <c r="F226" s="253">
        <v>51</v>
      </c>
      <c r="G226" s="253">
        <v>54</v>
      </c>
      <c r="H226" s="253">
        <v>54</v>
      </c>
      <c r="I226" s="350" t="s">
        <v>178</v>
      </c>
    </row>
    <row r="227" spans="2:9" ht="14">
      <c r="B227" s="349" t="s">
        <v>437</v>
      </c>
      <c r="C227" s="253" t="s">
        <v>237</v>
      </c>
      <c r="D227" s="253" t="s">
        <v>177</v>
      </c>
      <c r="E227" s="253">
        <v>61</v>
      </c>
      <c r="F227" s="253">
        <v>59</v>
      </c>
      <c r="G227" s="253">
        <v>71</v>
      </c>
      <c r="H227" s="253">
        <v>64</v>
      </c>
      <c r="I227" s="350" t="s">
        <v>184</v>
      </c>
    </row>
    <row r="228" spans="2:9" ht="14">
      <c r="B228" s="349" t="s">
        <v>438</v>
      </c>
      <c r="C228" s="253" t="s">
        <v>89</v>
      </c>
      <c r="D228" s="253" t="s">
        <v>177</v>
      </c>
      <c r="E228" s="253">
        <v>47</v>
      </c>
      <c r="F228" s="253">
        <v>47</v>
      </c>
      <c r="G228" s="253">
        <v>64</v>
      </c>
      <c r="H228" s="253">
        <v>54</v>
      </c>
      <c r="I228" s="350" t="s">
        <v>178</v>
      </c>
    </row>
    <row r="229" spans="2:9" ht="14">
      <c r="B229" s="349" t="s">
        <v>439</v>
      </c>
      <c r="C229" s="253" t="s">
        <v>231</v>
      </c>
      <c r="D229" s="253" t="s">
        <v>177</v>
      </c>
      <c r="E229" s="253">
        <v>43</v>
      </c>
      <c r="F229" s="253">
        <v>60</v>
      </c>
      <c r="G229" s="253">
        <v>71</v>
      </c>
      <c r="H229" s="253">
        <v>58</v>
      </c>
      <c r="I229" s="350" t="s">
        <v>178</v>
      </c>
    </row>
    <row r="230" spans="2:9" ht="14">
      <c r="B230" s="349" t="s">
        <v>440</v>
      </c>
      <c r="C230" s="253" t="s">
        <v>182</v>
      </c>
      <c r="D230" s="253" t="s">
        <v>183</v>
      </c>
      <c r="E230" s="253">
        <v>56</v>
      </c>
      <c r="F230" s="253">
        <v>52</v>
      </c>
      <c r="G230" s="253">
        <v>61</v>
      </c>
      <c r="H230" s="253">
        <v>57</v>
      </c>
      <c r="I230" s="350" t="s">
        <v>178</v>
      </c>
    </row>
    <row r="231" spans="2:9" ht="14">
      <c r="B231" s="349" t="s">
        <v>441</v>
      </c>
      <c r="C231" s="253" t="s">
        <v>180</v>
      </c>
      <c r="D231" s="253" t="s">
        <v>177</v>
      </c>
      <c r="E231" s="253">
        <v>43</v>
      </c>
      <c r="F231" s="253">
        <v>52</v>
      </c>
      <c r="G231" s="253">
        <v>59</v>
      </c>
      <c r="H231" s="253">
        <v>52</v>
      </c>
      <c r="I231" s="350" t="s">
        <v>178</v>
      </c>
    </row>
    <row r="232" spans="2:9" ht="14">
      <c r="B232" s="349" t="s">
        <v>442</v>
      </c>
      <c r="C232" s="253" t="s">
        <v>214</v>
      </c>
      <c r="D232" s="253" t="s">
        <v>177</v>
      </c>
      <c r="E232" s="253">
        <v>42</v>
      </c>
      <c r="F232" s="253">
        <v>52</v>
      </c>
      <c r="G232" s="253">
        <v>60</v>
      </c>
      <c r="H232" s="253">
        <v>52</v>
      </c>
      <c r="I232" s="350" t="s">
        <v>178</v>
      </c>
    </row>
    <row r="233" spans="2:9" ht="14">
      <c r="B233" s="349" t="s">
        <v>443</v>
      </c>
      <c r="C233" s="253" t="s">
        <v>231</v>
      </c>
      <c r="D233" s="253" t="s">
        <v>177</v>
      </c>
      <c r="E233" s="253">
        <v>29</v>
      </c>
      <c r="F233" s="253">
        <v>46</v>
      </c>
      <c r="G233" s="253">
        <v>64</v>
      </c>
      <c r="H233" s="253">
        <v>47</v>
      </c>
      <c r="I233" s="350" t="s">
        <v>178</v>
      </c>
    </row>
    <row r="234" spans="2:9" ht="14">
      <c r="B234" s="349" t="s">
        <v>444</v>
      </c>
      <c r="C234" s="253" t="s">
        <v>279</v>
      </c>
      <c r="D234" s="253" t="s">
        <v>177</v>
      </c>
      <c r="E234" s="253">
        <v>53</v>
      </c>
      <c r="F234" s="253">
        <v>64</v>
      </c>
      <c r="G234" s="253">
        <v>64</v>
      </c>
      <c r="H234" s="253">
        <v>60</v>
      </c>
      <c r="I234" s="350" t="s">
        <v>178</v>
      </c>
    </row>
    <row r="235" spans="2:9" ht="14">
      <c r="B235" s="349" t="s">
        <v>445</v>
      </c>
      <c r="C235" s="253" t="s">
        <v>17</v>
      </c>
      <c r="D235" s="253" t="s">
        <v>177</v>
      </c>
      <c r="E235" s="253">
        <v>64</v>
      </c>
      <c r="F235" s="253">
        <v>55</v>
      </c>
      <c r="G235" s="253">
        <v>78</v>
      </c>
      <c r="H235" s="253">
        <v>68</v>
      </c>
      <c r="I235" s="350" t="s">
        <v>184</v>
      </c>
    </row>
    <row r="236" spans="2:9" ht="14">
      <c r="B236" s="349" t="s">
        <v>446</v>
      </c>
      <c r="C236" s="253" t="s">
        <v>231</v>
      </c>
      <c r="D236" s="253" t="s">
        <v>177</v>
      </c>
      <c r="E236" s="253">
        <v>54</v>
      </c>
      <c r="F236" s="253">
        <v>60</v>
      </c>
      <c r="G236" s="253">
        <v>56</v>
      </c>
      <c r="H236" s="253">
        <v>56</v>
      </c>
      <c r="I236" s="350" t="s">
        <v>178</v>
      </c>
    </row>
    <row r="237" spans="2:9" ht="14">
      <c r="B237" s="349" t="s">
        <v>447</v>
      </c>
      <c r="C237" s="253" t="s">
        <v>180</v>
      </c>
      <c r="D237" s="253" t="s">
        <v>177</v>
      </c>
      <c r="E237" s="253">
        <v>41</v>
      </c>
      <c r="F237" s="253">
        <v>49</v>
      </c>
      <c r="G237" s="253">
        <v>67</v>
      </c>
      <c r="H237" s="253">
        <v>54</v>
      </c>
      <c r="I237" s="350" t="s">
        <v>178</v>
      </c>
    </row>
    <row r="238" spans="2:9" ht="14">
      <c r="B238" s="349" t="s">
        <v>448</v>
      </c>
      <c r="C238" s="253" t="s">
        <v>182</v>
      </c>
      <c r="D238" s="253" t="s">
        <v>177</v>
      </c>
      <c r="E238" s="253">
        <v>62</v>
      </c>
      <c r="F238" s="253">
        <v>59</v>
      </c>
      <c r="G238" s="253">
        <v>71</v>
      </c>
      <c r="H238" s="253">
        <v>65</v>
      </c>
      <c r="I238" s="350" t="s">
        <v>184</v>
      </c>
    </row>
    <row r="239" spans="2:9" ht="14">
      <c r="B239" s="349" t="s">
        <v>449</v>
      </c>
      <c r="C239" s="253" t="s">
        <v>180</v>
      </c>
      <c r="D239" s="253" t="s">
        <v>177</v>
      </c>
      <c r="E239" s="253">
        <v>43</v>
      </c>
      <c r="F239" s="253">
        <v>48</v>
      </c>
      <c r="G239" s="253">
        <v>74</v>
      </c>
      <c r="H239" s="253">
        <v>57</v>
      </c>
      <c r="I239" s="350" t="s">
        <v>178</v>
      </c>
    </row>
    <row r="240" spans="2:9" ht="14">
      <c r="B240" s="349" t="s">
        <v>450</v>
      </c>
      <c r="C240" s="253" t="s">
        <v>182</v>
      </c>
      <c r="D240" s="253" t="s">
        <v>177</v>
      </c>
      <c r="E240" s="253">
        <v>63</v>
      </c>
      <c r="F240" s="253">
        <v>61</v>
      </c>
      <c r="G240" s="253">
        <v>56</v>
      </c>
      <c r="H240" s="253">
        <v>60</v>
      </c>
      <c r="I240" s="350" t="s">
        <v>178</v>
      </c>
    </row>
    <row r="241" spans="2:9" ht="14">
      <c r="B241" s="349" t="s">
        <v>451</v>
      </c>
      <c r="C241" s="253" t="s">
        <v>182</v>
      </c>
      <c r="D241" s="253" t="s">
        <v>177</v>
      </c>
      <c r="E241" s="253">
        <v>70</v>
      </c>
      <c r="F241" s="253">
        <v>61</v>
      </c>
      <c r="G241" s="253">
        <v>80</v>
      </c>
      <c r="H241" s="253">
        <v>72</v>
      </c>
      <c r="I241" s="350" t="s">
        <v>250</v>
      </c>
    </row>
    <row r="242" spans="2:9" ht="14">
      <c r="B242" s="349" t="s">
        <v>452</v>
      </c>
      <c r="C242" s="253" t="s">
        <v>182</v>
      </c>
      <c r="D242" s="253" t="s">
        <v>177</v>
      </c>
      <c r="E242" s="253">
        <v>61</v>
      </c>
      <c r="F242" s="253">
        <v>66</v>
      </c>
      <c r="G242" s="253">
        <v>78</v>
      </c>
      <c r="H242" s="253">
        <v>69</v>
      </c>
      <c r="I242" s="350" t="s">
        <v>184</v>
      </c>
    </row>
    <row r="243" spans="2:9" ht="14">
      <c r="B243" s="349" t="s">
        <v>453</v>
      </c>
      <c r="C243" s="253" t="s">
        <v>182</v>
      </c>
      <c r="D243" s="253" t="s">
        <v>183</v>
      </c>
      <c r="E243" s="253">
        <v>62</v>
      </c>
      <c r="F243" s="253">
        <v>56</v>
      </c>
      <c r="G243" s="253">
        <v>62</v>
      </c>
      <c r="H243" s="253">
        <v>61</v>
      </c>
      <c r="I243" s="350" t="s">
        <v>184</v>
      </c>
    </row>
    <row r="244" spans="2:9" ht="14">
      <c r="B244" s="349" t="s">
        <v>454</v>
      </c>
      <c r="C244" s="253" t="s">
        <v>80</v>
      </c>
      <c r="D244" s="253" t="s">
        <v>177</v>
      </c>
      <c r="E244" s="253">
        <v>54</v>
      </c>
      <c r="F244" s="253">
        <v>60</v>
      </c>
      <c r="G244" s="253">
        <v>69</v>
      </c>
      <c r="H244" s="253">
        <v>62</v>
      </c>
      <c r="I244" s="350" t="s">
        <v>184</v>
      </c>
    </row>
    <row r="245" spans="2:9" ht="14">
      <c r="B245" s="349" t="s">
        <v>455</v>
      </c>
      <c r="C245" s="253" t="s">
        <v>80</v>
      </c>
      <c r="D245" s="253" t="s">
        <v>177</v>
      </c>
      <c r="E245" s="253">
        <v>50</v>
      </c>
      <c r="F245" s="253">
        <v>52</v>
      </c>
      <c r="G245" s="253">
        <v>73</v>
      </c>
      <c r="H245" s="253">
        <v>60</v>
      </c>
      <c r="I245" s="350" t="s">
        <v>178</v>
      </c>
    </row>
    <row r="246" spans="2:9" ht="14">
      <c r="B246" s="349" t="s">
        <v>456</v>
      </c>
      <c r="C246" s="253" t="s">
        <v>68</v>
      </c>
      <c r="D246" s="253" t="s">
        <v>177</v>
      </c>
      <c r="E246" s="253">
        <v>64</v>
      </c>
      <c r="F246" s="253">
        <v>54</v>
      </c>
      <c r="G246" s="253">
        <v>78</v>
      </c>
      <c r="H246" s="253">
        <v>67</v>
      </c>
      <c r="I246" s="350" t="s">
        <v>184</v>
      </c>
    </row>
    <row r="247" spans="2:9" ht="14">
      <c r="B247" s="349" t="s">
        <v>457</v>
      </c>
      <c r="C247" s="253" t="s">
        <v>182</v>
      </c>
      <c r="D247" s="253" t="s">
        <v>177</v>
      </c>
      <c r="E247" s="253">
        <v>51</v>
      </c>
      <c r="F247" s="253">
        <v>64</v>
      </c>
      <c r="G247" s="253">
        <v>62</v>
      </c>
      <c r="H247" s="253">
        <v>59</v>
      </c>
      <c r="I247" s="350" t="s">
        <v>178</v>
      </c>
    </row>
    <row r="248" spans="2:9" ht="14">
      <c r="B248" s="349" t="s">
        <v>131</v>
      </c>
      <c r="C248" s="253" t="s">
        <v>182</v>
      </c>
      <c r="D248" s="253" t="s">
        <v>177</v>
      </c>
      <c r="E248" s="253">
        <v>57</v>
      </c>
      <c r="F248" s="253">
        <v>59</v>
      </c>
      <c r="G248" s="253">
        <v>78</v>
      </c>
      <c r="H248" s="253">
        <v>66</v>
      </c>
      <c r="I248" s="350" t="s">
        <v>184</v>
      </c>
    </row>
    <row r="249" spans="2:9" ht="14">
      <c r="B249" s="349" t="s">
        <v>458</v>
      </c>
      <c r="C249" s="253" t="s">
        <v>204</v>
      </c>
      <c r="D249" s="253" t="s">
        <v>177</v>
      </c>
      <c r="E249" s="253">
        <v>57</v>
      </c>
      <c r="F249" s="253">
        <v>59</v>
      </c>
      <c r="G249" s="253">
        <v>74</v>
      </c>
      <c r="H249" s="253">
        <v>64</v>
      </c>
      <c r="I249" s="350" t="s">
        <v>184</v>
      </c>
    </row>
    <row r="250" spans="2:9" ht="14">
      <c r="B250" s="349" t="s">
        <v>459</v>
      </c>
      <c r="C250" s="253" t="s">
        <v>180</v>
      </c>
      <c r="D250" s="253" t="s">
        <v>177</v>
      </c>
      <c r="E250" s="253">
        <v>34</v>
      </c>
      <c r="F250" s="253">
        <v>44</v>
      </c>
      <c r="G250" s="253">
        <v>72</v>
      </c>
      <c r="H250" s="253">
        <v>52</v>
      </c>
      <c r="I250" s="350" t="s">
        <v>178</v>
      </c>
    </row>
    <row r="251" spans="2:9" ht="14">
      <c r="B251" s="349" t="s">
        <v>460</v>
      </c>
      <c r="C251" s="253" t="s">
        <v>182</v>
      </c>
      <c r="D251" s="253" t="s">
        <v>177</v>
      </c>
      <c r="E251" s="253">
        <v>68</v>
      </c>
      <c r="F251" s="253">
        <v>58</v>
      </c>
      <c r="G251" s="253">
        <v>65</v>
      </c>
      <c r="H251" s="253">
        <v>64</v>
      </c>
      <c r="I251" s="350" t="s">
        <v>184</v>
      </c>
    </row>
    <row r="252" spans="2:9" ht="14">
      <c r="B252" s="349" t="s">
        <v>461</v>
      </c>
      <c r="C252" s="253" t="s">
        <v>182</v>
      </c>
      <c r="D252" s="253" t="s">
        <v>183</v>
      </c>
      <c r="E252" s="253">
        <v>66</v>
      </c>
      <c r="F252" s="253">
        <v>60</v>
      </c>
      <c r="G252" s="253">
        <v>65</v>
      </c>
      <c r="H252" s="253">
        <v>64</v>
      </c>
      <c r="I252" s="350" t="s">
        <v>184</v>
      </c>
    </row>
    <row r="253" spans="2:9" ht="14">
      <c r="B253" s="349" t="s">
        <v>462</v>
      </c>
      <c r="C253" s="253" t="s">
        <v>463</v>
      </c>
      <c r="D253" s="253" t="s">
        <v>177</v>
      </c>
      <c r="E253" s="253">
        <v>30</v>
      </c>
      <c r="F253" s="253">
        <v>38</v>
      </c>
      <c r="G253" s="253">
        <v>71</v>
      </c>
      <c r="H253" s="253">
        <v>48</v>
      </c>
      <c r="I253" s="350" t="s">
        <v>178</v>
      </c>
    </row>
    <row r="254" spans="2:9" ht="14">
      <c r="B254" s="349" t="s">
        <v>464</v>
      </c>
      <c r="C254" s="253" t="s">
        <v>182</v>
      </c>
      <c r="D254" s="253" t="s">
        <v>183</v>
      </c>
      <c r="E254" s="253">
        <v>59</v>
      </c>
      <c r="F254" s="253">
        <v>57</v>
      </c>
      <c r="G254" s="253">
        <v>67</v>
      </c>
      <c r="H254" s="253">
        <v>62</v>
      </c>
      <c r="I254" s="350" t="s">
        <v>184</v>
      </c>
    </row>
    <row r="255" spans="2:9" ht="14">
      <c r="B255" s="349" t="s">
        <v>465</v>
      </c>
      <c r="C255" s="253" t="s">
        <v>182</v>
      </c>
      <c r="D255" s="253" t="s">
        <v>183</v>
      </c>
      <c r="E255" s="253">
        <v>62</v>
      </c>
      <c r="F255" s="253">
        <v>37</v>
      </c>
      <c r="G255" s="253">
        <v>47</v>
      </c>
      <c r="H255" s="253">
        <v>50</v>
      </c>
      <c r="I255" s="350" t="s">
        <v>178</v>
      </c>
    </row>
    <row r="256" spans="2:9" ht="14">
      <c r="B256" s="349" t="s">
        <v>466</v>
      </c>
      <c r="C256" s="253" t="s">
        <v>182</v>
      </c>
      <c r="D256" s="253" t="s">
        <v>177</v>
      </c>
      <c r="E256" s="253">
        <v>63</v>
      </c>
      <c r="F256" s="253">
        <v>53</v>
      </c>
      <c r="G256" s="253">
        <v>56</v>
      </c>
      <c r="H256" s="253">
        <v>58</v>
      </c>
      <c r="I256" s="350" t="s">
        <v>178</v>
      </c>
    </row>
    <row r="257" spans="2:9" ht="14">
      <c r="B257" s="349" t="s">
        <v>467</v>
      </c>
      <c r="C257" s="253" t="s">
        <v>303</v>
      </c>
      <c r="D257" s="253" t="s">
        <v>177</v>
      </c>
      <c r="E257" s="253">
        <v>55</v>
      </c>
      <c r="F257" s="253">
        <v>52</v>
      </c>
      <c r="G257" s="253">
        <v>72</v>
      </c>
      <c r="H257" s="253">
        <v>61</v>
      </c>
      <c r="I257" s="350" t="s">
        <v>184</v>
      </c>
    </row>
    <row r="258" spans="2:9" ht="14">
      <c r="B258" s="349" t="s">
        <v>468</v>
      </c>
      <c r="C258" s="253" t="s">
        <v>182</v>
      </c>
      <c r="D258" s="253" t="s">
        <v>177</v>
      </c>
      <c r="E258" s="253">
        <v>55</v>
      </c>
      <c r="F258" s="253">
        <v>67</v>
      </c>
      <c r="G258" s="253">
        <v>58</v>
      </c>
      <c r="H258" s="253">
        <v>59</v>
      </c>
      <c r="I258" s="350" t="s">
        <v>178</v>
      </c>
    </row>
    <row r="259" spans="2:9" ht="14">
      <c r="B259" s="349" t="s">
        <v>469</v>
      </c>
      <c r="C259" s="253" t="s">
        <v>68</v>
      </c>
      <c r="D259" s="253" t="s">
        <v>177</v>
      </c>
      <c r="E259" s="253">
        <v>42</v>
      </c>
      <c r="F259" s="253">
        <v>51</v>
      </c>
      <c r="G259" s="253">
        <v>70</v>
      </c>
      <c r="H259" s="253">
        <v>55</v>
      </c>
      <c r="I259" s="350" t="s">
        <v>178</v>
      </c>
    </row>
    <row r="260" spans="2:9" ht="14">
      <c r="B260" s="349" t="s">
        <v>470</v>
      </c>
      <c r="C260" s="253" t="s">
        <v>279</v>
      </c>
      <c r="D260" s="253" t="s">
        <v>177</v>
      </c>
      <c r="E260" s="253">
        <v>43</v>
      </c>
      <c r="F260" s="253">
        <v>70</v>
      </c>
      <c r="G260" s="253">
        <v>68</v>
      </c>
      <c r="H260" s="253">
        <v>60</v>
      </c>
      <c r="I260" s="350" t="s">
        <v>178</v>
      </c>
    </row>
    <row r="261" spans="2:9" ht="14">
      <c r="B261" s="349" t="s">
        <v>471</v>
      </c>
      <c r="C261" s="253" t="s">
        <v>182</v>
      </c>
      <c r="D261" s="253" t="s">
        <v>177</v>
      </c>
      <c r="E261" s="253">
        <v>59</v>
      </c>
      <c r="F261" s="253">
        <v>66</v>
      </c>
      <c r="G261" s="253">
        <v>56</v>
      </c>
      <c r="H261" s="253">
        <v>60</v>
      </c>
      <c r="I261" s="350" t="s">
        <v>178</v>
      </c>
    </row>
    <row r="262" spans="2:9" ht="14">
      <c r="B262" s="349" t="s">
        <v>472</v>
      </c>
      <c r="C262" s="253" t="s">
        <v>303</v>
      </c>
      <c r="D262" s="253" t="s">
        <v>177</v>
      </c>
      <c r="E262" s="253">
        <v>50</v>
      </c>
      <c r="F262" s="253">
        <v>55</v>
      </c>
      <c r="G262" s="253">
        <v>62</v>
      </c>
      <c r="H262" s="253">
        <v>56</v>
      </c>
      <c r="I262" s="350" t="s">
        <v>178</v>
      </c>
    </row>
    <row r="263" spans="2:9" ht="14">
      <c r="B263" s="349" t="s">
        <v>473</v>
      </c>
      <c r="C263" s="253" t="s">
        <v>182</v>
      </c>
      <c r="D263" s="253" t="s">
        <v>177</v>
      </c>
      <c r="E263" s="253">
        <v>59</v>
      </c>
      <c r="F263" s="253">
        <v>53</v>
      </c>
      <c r="G263" s="253">
        <v>65</v>
      </c>
      <c r="H263" s="253">
        <v>60</v>
      </c>
      <c r="I263" s="350" t="s">
        <v>178</v>
      </c>
    </row>
    <row r="264" spans="2:9" ht="14">
      <c r="B264" s="349" t="s">
        <v>474</v>
      </c>
      <c r="C264" s="253" t="s">
        <v>373</v>
      </c>
      <c r="D264" s="253" t="s">
        <v>183</v>
      </c>
      <c r="E264" s="253">
        <v>73</v>
      </c>
      <c r="F264" s="253">
        <v>53</v>
      </c>
      <c r="G264" s="253">
        <v>58</v>
      </c>
      <c r="H264" s="253">
        <v>62</v>
      </c>
      <c r="I264" s="350" t="s">
        <v>184</v>
      </c>
    </row>
    <row r="265" spans="2:9" ht="14">
      <c r="B265" s="349" t="s">
        <v>475</v>
      </c>
      <c r="C265" s="253" t="s">
        <v>219</v>
      </c>
      <c r="D265" s="253" t="s">
        <v>177</v>
      </c>
      <c r="E265" s="253">
        <v>35</v>
      </c>
      <c r="F265" s="253">
        <v>40</v>
      </c>
      <c r="G265" s="253">
        <v>69</v>
      </c>
      <c r="H265" s="253">
        <v>50</v>
      </c>
      <c r="I265" s="350" t="s">
        <v>178</v>
      </c>
    </row>
    <row r="266" spans="2:9" ht="14">
      <c r="B266" s="349" t="s">
        <v>476</v>
      </c>
      <c r="C266" s="253" t="s">
        <v>463</v>
      </c>
      <c r="D266" s="253" t="s">
        <v>177</v>
      </c>
      <c r="E266" s="253">
        <v>19</v>
      </c>
      <c r="F266" s="253">
        <v>23</v>
      </c>
      <c r="G266" s="253">
        <v>47</v>
      </c>
      <c r="H266" s="253">
        <v>31</v>
      </c>
      <c r="I266" s="350" t="s">
        <v>194</v>
      </c>
    </row>
    <row r="267" spans="2:9" ht="14">
      <c r="B267" s="349" t="s">
        <v>477</v>
      </c>
      <c r="C267" s="253" t="s">
        <v>53</v>
      </c>
      <c r="D267" s="253" t="s">
        <v>177</v>
      </c>
      <c r="E267" s="253">
        <v>36</v>
      </c>
      <c r="F267" s="253">
        <v>55</v>
      </c>
      <c r="G267" s="253">
        <v>72</v>
      </c>
      <c r="H267" s="253">
        <v>55</v>
      </c>
      <c r="I267" s="350" t="s">
        <v>178</v>
      </c>
    </row>
    <row r="268" spans="2:9" ht="14">
      <c r="B268" s="349" t="s">
        <v>478</v>
      </c>
      <c r="C268" s="253" t="s">
        <v>182</v>
      </c>
      <c r="D268" s="253" t="s">
        <v>177</v>
      </c>
      <c r="E268" s="253">
        <v>59</v>
      </c>
      <c r="F268" s="253">
        <v>51</v>
      </c>
      <c r="G268" s="253">
        <v>65</v>
      </c>
      <c r="H268" s="253">
        <v>59</v>
      </c>
      <c r="I268" s="350" t="s">
        <v>178</v>
      </c>
    </row>
    <row r="269" spans="2:9" ht="14">
      <c r="B269" s="349" t="s">
        <v>479</v>
      </c>
      <c r="C269" s="253" t="s">
        <v>200</v>
      </c>
      <c r="D269" s="253" t="s">
        <v>177</v>
      </c>
      <c r="E269" s="253">
        <v>34</v>
      </c>
      <c r="F269" s="253">
        <v>44</v>
      </c>
      <c r="G269" s="253">
        <v>66</v>
      </c>
      <c r="H269" s="253">
        <v>49</v>
      </c>
      <c r="I269" s="350" t="s">
        <v>178</v>
      </c>
    </row>
    <row r="270" spans="2:9" ht="14">
      <c r="B270" s="349" t="s">
        <v>480</v>
      </c>
      <c r="C270" s="253" t="s">
        <v>282</v>
      </c>
      <c r="D270" s="253" t="s">
        <v>177</v>
      </c>
      <c r="E270" s="253">
        <v>39</v>
      </c>
      <c r="F270" s="253">
        <v>58</v>
      </c>
      <c r="G270" s="253">
        <v>75</v>
      </c>
      <c r="H270" s="253">
        <v>58</v>
      </c>
      <c r="I270" s="350" t="s">
        <v>178</v>
      </c>
    </row>
    <row r="271" spans="2:9" ht="14">
      <c r="B271" s="349" t="s">
        <v>481</v>
      </c>
      <c r="C271" s="253" t="s">
        <v>182</v>
      </c>
      <c r="D271" s="253" t="s">
        <v>177</v>
      </c>
      <c r="E271" s="253">
        <v>70</v>
      </c>
      <c r="F271" s="253">
        <v>65</v>
      </c>
      <c r="G271" s="253">
        <v>65</v>
      </c>
      <c r="H271" s="253">
        <v>66</v>
      </c>
      <c r="I271" s="350" t="s">
        <v>184</v>
      </c>
    </row>
    <row r="272" spans="2:9" ht="14">
      <c r="B272" s="349" t="s">
        <v>482</v>
      </c>
      <c r="C272" s="253" t="s">
        <v>303</v>
      </c>
      <c r="D272" s="253" t="s">
        <v>177</v>
      </c>
      <c r="E272" s="253">
        <v>50</v>
      </c>
      <c r="F272" s="253">
        <v>52</v>
      </c>
      <c r="G272" s="253">
        <v>42</v>
      </c>
      <c r="H272" s="253">
        <v>47</v>
      </c>
      <c r="I272" s="350" t="s">
        <v>178</v>
      </c>
    </row>
    <row r="273" spans="2:9" ht="14">
      <c r="B273" s="349" t="s">
        <v>483</v>
      </c>
      <c r="C273" s="253" t="s">
        <v>303</v>
      </c>
      <c r="D273" s="253" t="s">
        <v>177</v>
      </c>
      <c r="E273" s="253">
        <v>59</v>
      </c>
      <c r="F273" s="253">
        <v>60</v>
      </c>
      <c r="G273" s="253">
        <v>75</v>
      </c>
      <c r="H273" s="253">
        <v>66</v>
      </c>
      <c r="I273" s="350" t="s">
        <v>184</v>
      </c>
    </row>
    <row r="274" spans="2:9" ht="14">
      <c r="B274" s="349" t="s">
        <v>484</v>
      </c>
      <c r="C274" s="253" t="s">
        <v>212</v>
      </c>
      <c r="D274" s="253" t="s">
        <v>177</v>
      </c>
      <c r="E274" s="253">
        <v>81</v>
      </c>
      <c r="F274" s="253">
        <v>62</v>
      </c>
      <c r="G274" s="253">
        <v>80</v>
      </c>
      <c r="H274" s="253">
        <v>76</v>
      </c>
      <c r="I274" s="350" t="s">
        <v>250</v>
      </c>
    </row>
    <row r="275" spans="2:9" ht="14">
      <c r="B275" s="349" t="s">
        <v>485</v>
      </c>
      <c r="C275" s="253" t="s">
        <v>180</v>
      </c>
      <c r="D275" s="253" t="s">
        <v>177</v>
      </c>
      <c r="E275" s="253">
        <v>38</v>
      </c>
      <c r="F275" s="253">
        <v>45</v>
      </c>
      <c r="G275" s="253">
        <v>69</v>
      </c>
      <c r="H275" s="253">
        <v>52</v>
      </c>
      <c r="I275" s="350" t="s">
        <v>178</v>
      </c>
    </row>
    <row r="276" spans="2:9" ht="14">
      <c r="B276" s="349" t="s">
        <v>486</v>
      </c>
      <c r="C276" s="253" t="s">
        <v>342</v>
      </c>
      <c r="D276" s="253" t="s">
        <v>183</v>
      </c>
      <c r="E276" s="253">
        <v>43</v>
      </c>
      <c r="F276" s="253">
        <v>44</v>
      </c>
      <c r="G276" s="253">
        <v>63</v>
      </c>
      <c r="H276" s="253">
        <v>51</v>
      </c>
      <c r="I276" s="350" t="s">
        <v>178</v>
      </c>
    </row>
    <row r="277" spans="2:9" ht="14">
      <c r="B277" s="349" t="s">
        <v>487</v>
      </c>
      <c r="C277" s="253" t="s">
        <v>216</v>
      </c>
      <c r="D277" s="253" t="s">
        <v>177</v>
      </c>
      <c r="E277" s="253">
        <v>32</v>
      </c>
      <c r="F277" s="253">
        <v>33</v>
      </c>
      <c r="G277" s="253">
        <v>61</v>
      </c>
      <c r="H277" s="253">
        <v>44</v>
      </c>
      <c r="I277" s="350" t="s">
        <v>194</v>
      </c>
    </row>
    <row r="278" spans="2:9" ht="14">
      <c r="B278" s="349" t="s">
        <v>488</v>
      </c>
      <c r="C278" s="253" t="s">
        <v>186</v>
      </c>
      <c r="D278" s="253" t="s">
        <v>177</v>
      </c>
      <c r="E278" s="253">
        <v>23</v>
      </c>
      <c r="F278" s="253">
        <v>37</v>
      </c>
      <c r="G278" s="253">
        <v>65</v>
      </c>
      <c r="H278" s="253">
        <v>43</v>
      </c>
      <c r="I278" s="350" t="s">
        <v>194</v>
      </c>
    </row>
    <row r="279" spans="2:9" ht="14">
      <c r="B279" s="349" t="s">
        <v>489</v>
      </c>
      <c r="C279" s="253" t="s">
        <v>212</v>
      </c>
      <c r="D279" s="253" t="s">
        <v>177</v>
      </c>
      <c r="E279" s="253">
        <v>43</v>
      </c>
      <c r="F279" s="253">
        <v>49</v>
      </c>
      <c r="G279" s="253">
        <v>69</v>
      </c>
      <c r="H279" s="253">
        <v>55</v>
      </c>
      <c r="I279" s="350" t="s">
        <v>178</v>
      </c>
    </row>
    <row r="280" spans="2:9" ht="14">
      <c r="B280" s="349" t="s">
        <v>490</v>
      </c>
      <c r="C280" s="253" t="s">
        <v>491</v>
      </c>
      <c r="D280" s="253" t="s">
        <v>177</v>
      </c>
      <c r="E280" s="253">
        <v>45</v>
      </c>
      <c r="F280" s="253">
        <v>56</v>
      </c>
      <c r="G280" s="253">
        <v>69</v>
      </c>
      <c r="H280" s="253">
        <v>57</v>
      </c>
      <c r="I280" s="350" t="s">
        <v>178</v>
      </c>
    </row>
    <row r="281" spans="2:9" ht="14">
      <c r="B281" s="349" t="s">
        <v>492</v>
      </c>
      <c r="C281" s="253" t="s">
        <v>53</v>
      </c>
      <c r="D281" s="253" t="s">
        <v>177</v>
      </c>
      <c r="E281" s="253">
        <v>33</v>
      </c>
      <c r="F281" s="253">
        <v>44</v>
      </c>
      <c r="G281" s="253">
        <v>67</v>
      </c>
      <c r="H281" s="253">
        <v>49</v>
      </c>
      <c r="I281" s="350" t="s">
        <v>178</v>
      </c>
    </row>
    <row r="282" spans="2:9" ht="14">
      <c r="B282" s="349" t="s">
        <v>493</v>
      </c>
      <c r="C282" s="253" t="s">
        <v>239</v>
      </c>
      <c r="D282" s="253" t="s">
        <v>177</v>
      </c>
      <c r="E282" s="253">
        <v>22</v>
      </c>
      <c r="F282" s="253">
        <v>43</v>
      </c>
      <c r="G282" s="253">
        <v>54</v>
      </c>
      <c r="H282" s="253">
        <v>40</v>
      </c>
      <c r="I282" s="350" t="s">
        <v>194</v>
      </c>
    </row>
    <row r="283" spans="2:9" ht="14">
      <c r="B283" s="349" t="s">
        <v>494</v>
      </c>
      <c r="C283" s="253" t="s">
        <v>216</v>
      </c>
      <c r="D283" s="253" t="s">
        <v>177</v>
      </c>
      <c r="E283" s="253">
        <v>37</v>
      </c>
      <c r="F283" s="253">
        <v>47</v>
      </c>
      <c r="G283" s="253">
        <v>73</v>
      </c>
      <c r="H283" s="253">
        <v>54</v>
      </c>
      <c r="I283" s="350" t="s">
        <v>178</v>
      </c>
    </row>
    <row r="284" spans="2:9" ht="14">
      <c r="B284" s="349" t="s">
        <v>495</v>
      </c>
      <c r="C284" s="253" t="s">
        <v>17</v>
      </c>
      <c r="D284" s="253" t="s">
        <v>177</v>
      </c>
      <c r="E284" s="253">
        <v>66</v>
      </c>
      <c r="F284" s="253">
        <v>50</v>
      </c>
      <c r="G284" s="253">
        <v>67</v>
      </c>
      <c r="H284" s="253">
        <v>63</v>
      </c>
      <c r="I284" s="350" t="s">
        <v>184</v>
      </c>
    </row>
    <row r="285" spans="2:9" ht="14">
      <c r="B285" s="349" t="s">
        <v>496</v>
      </c>
      <c r="C285" s="253" t="s">
        <v>214</v>
      </c>
      <c r="D285" s="253" t="s">
        <v>177</v>
      </c>
      <c r="E285" s="253">
        <v>30</v>
      </c>
      <c r="F285" s="253">
        <v>45</v>
      </c>
      <c r="G285" s="253">
        <v>70</v>
      </c>
      <c r="H285" s="253">
        <v>50</v>
      </c>
      <c r="I285" s="350" t="s">
        <v>178</v>
      </c>
    </row>
    <row r="286" spans="2:9" ht="14">
      <c r="B286" s="349" t="s">
        <v>497</v>
      </c>
      <c r="C286" s="253" t="s">
        <v>53</v>
      </c>
      <c r="D286" s="253" t="s">
        <v>177</v>
      </c>
      <c r="E286" s="253">
        <v>36</v>
      </c>
      <c r="F286" s="253">
        <v>57</v>
      </c>
      <c r="G286" s="253">
        <v>66</v>
      </c>
      <c r="H286" s="253">
        <v>53</v>
      </c>
      <c r="I286" s="350" t="s">
        <v>178</v>
      </c>
    </row>
    <row r="287" spans="2:9" ht="14">
      <c r="B287" s="349" t="s">
        <v>498</v>
      </c>
      <c r="C287" s="253" t="s">
        <v>214</v>
      </c>
      <c r="D287" s="253" t="s">
        <v>177</v>
      </c>
      <c r="E287" s="253">
        <v>30</v>
      </c>
      <c r="F287" s="253">
        <v>44</v>
      </c>
      <c r="G287" s="253">
        <v>60</v>
      </c>
      <c r="H287" s="253">
        <v>45</v>
      </c>
      <c r="I287" s="350" t="s">
        <v>194</v>
      </c>
    </row>
    <row r="288" spans="2:9" ht="14">
      <c r="B288" s="349" t="s">
        <v>499</v>
      </c>
      <c r="C288" s="253" t="s">
        <v>342</v>
      </c>
      <c r="D288" s="253" t="s">
        <v>177</v>
      </c>
      <c r="E288" s="253">
        <v>44</v>
      </c>
      <c r="F288" s="253">
        <v>46</v>
      </c>
      <c r="G288" s="253">
        <v>57</v>
      </c>
      <c r="H288" s="253">
        <v>50</v>
      </c>
      <c r="I288" s="350" t="s">
        <v>178</v>
      </c>
    </row>
    <row r="289" spans="2:9" ht="14">
      <c r="B289" s="349" t="s">
        <v>500</v>
      </c>
      <c r="C289" s="253" t="s">
        <v>276</v>
      </c>
      <c r="D289" s="253" t="s">
        <v>177</v>
      </c>
      <c r="E289" s="253">
        <v>34</v>
      </c>
      <c r="F289" s="253">
        <v>46</v>
      </c>
      <c r="G289" s="253">
        <v>68</v>
      </c>
      <c r="H289" s="253">
        <v>50</v>
      </c>
      <c r="I289" s="350" t="s">
        <v>178</v>
      </c>
    </row>
    <row r="290" spans="2:9" ht="14">
      <c r="B290" s="349" t="s">
        <v>501</v>
      </c>
      <c r="C290" s="253" t="s">
        <v>198</v>
      </c>
      <c r="D290" s="253" t="s">
        <v>183</v>
      </c>
      <c r="E290" s="253">
        <v>23</v>
      </c>
      <c r="F290" s="253">
        <v>34</v>
      </c>
      <c r="G290" s="253">
        <v>52</v>
      </c>
      <c r="H290" s="253">
        <v>37</v>
      </c>
      <c r="I290" s="350" t="s">
        <v>194</v>
      </c>
    </row>
    <row r="291" spans="2:9" ht="14">
      <c r="B291" s="349" t="s">
        <v>502</v>
      </c>
      <c r="C291" s="253" t="s">
        <v>231</v>
      </c>
      <c r="D291" s="253" t="s">
        <v>177</v>
      </c>
      <c r="E291" s="253">
        <v>34</v>
      </c>
      <c r="F291" s="253">
        <v>52</v>
      </c>
      <c r="G291" s="253">
        <v>56</v>
      </c>
      <c r="H291" s="253">
        <v>47</v>
      </c>
      <c r="I291" s="350" t="s">
        <v>178</v>
      </c>
    </row>
    <row r="292" spans="2:9" ht="14">
      <c r="B292" s="349" t="s">
        <v>503</v>
      </c>
      <c r="C292" s="253" t="s">
        <v>70</v>
      </c>
      <c r="D292" s="253" t="s">
        <v>177</v>
      </c>
      <c r="E292" s="253">
        <v>48</v>
      </c>
      <c r="F292" s="253">
        <v>60</v>
      </c>
      <c r="G292" s="253">
        <v>61</v>
      </c>
      <c r="H292" s="253">
        <v>56</v>
      </c>
      <c r="I292" s="350" t="s">
        <v>178</v>
      </c>
    </row>
    <row r="293" spans="2:9" ht="14">
      <c r="B293" s="349" t="s">
        <v>504</v>
      </c>
      <c r="C293" s="253" t="s">
        <v>70</v>
      </c>
      <c r="D293" s="253" t="s">
        <v>177</v>
      </c>
      <c r="E293" s="253">
        <v>27</v>
      </c>
      <c r="F293" s="253">
        <v>39</v>
      </c>
      <c r="G293" s="253">
        <v>66</v>
      </c>
      <c r="H293" s="253">
        <v>46</v>
      </c>
      <c r="I293" s="350" t="s">
        <v>178</v>
      </c>
    </row>
    <row r="294" spans="2:9" ht="14">
      <c r="B294" s="349" t="s">
        <v>505</v>
      </c>
      <c r="C294" s="253" t="s">
        <v>233</v>
      </c>
      <c r="D294" s="253" t="s">
        <v>177</v>
      </c>
      <c r="E294" s="253">
        <v>44</v>
      </c>
      <c r="F294" s="253">
        <v>52</v>
      </c>
      <c r="G294" s="253">
        <v>56</v>
      </c>
      <c r="H294" s="253">
        <v>51</v>
      </c>
      <c r="I294" s="350" t="s">
        <v>178</v>
      </c>
    </row>
    <row r="295" spans="2:9" ht="14">
      <c r="B295" s="349" t="s">
        <v>506</v>
      </c>
      <c r="C295" s="253" t="s">
        <v>68</v>
      </c>
      <c r="D295" s="253" t="s">
        <v>183</v>
      </c>
      <c r="E295" s="253">
        <v>41</v>
      </c>
      <c r="F295" s="253">
        <v>37</v>
      </c>
      <c r="G295" s="253">
        <v>55</v>
      </c>
      <c r="H295" s="253">
        <v>46</v>
      </c>
      <c r="I295" s="350" t="s">
        <v>178</v>
      </c>
    </row>
    <row r="296" spans="2:9" ht="14">
      <c r="B296" s="349" t="s">
        <v>507</v>
      </c>
      <c r="C296" s="253" t="s">
        <v>182</v>
      </c>
      <c r="D296" s="253" t="s">
        <v>183</v>
      </c>
      <c r="E296" s="253">
        <v>56</v>
      </c>
      <c r="F296" s="253">
        <v>46</v>
      </c>
      <c r="G296" s="253">
        <v>51</v>
      </c>
      <c r="H296" s="253">
        <v>52</v>
      </c>
      <c r="I296" s="350" t="s">
        <v>178</v>
      </c>
    </row>
    <row r="297" spans="2:9" ht="14">
      <c r="B297" s="349" t="s">
        <v>508</v>
      </c>
      <c r="C297" s="253" t="s">
        <v>68</v>
      </c>
      <c r="D297" s="253" t="s">
        <v>177</v>
      </c>
      <c r="E297" s="253">
        <v>43</v>
      </c>
      <c r="F297" s="253">
        <v>53</v>
      </c>
      <c r="G297" s="253">
        <v>69</v>
      </c>
      <c r="H297" s="253">
        <v>56</v>
      </c>
      <c r="I297" s="350" t="s">
        <v>178</v>
      </c>
    </row>
    <row r="298" spans="2:9" ht="14">
      <c r="B298" s="349" t="s">
        <v>509</v>
      </c>
      <c r="C298" s="253" t="s">
        <v>182</v>
      </c>
      <c r="D298" s="253" t="s">
        <v>183</v>
      </c>
      <c r="E298" s="253">
        <v>59</v>
      </c>
      <c r="F298" s="253">
        <v>50</v>
      </c>
      <c r="G298" s="253">
        <v>56</v>
      </c>
      <c r="H298" s="253">
        <v>56</v>
      </c>
      <c r="I298" s="350" t="s">
        <v>178</v>
      </c>
    </row>
    <row r="299" spans="2:9" ht="14">
      <c r="B299" s="349" t="s">
        <v>510</v>
      </c>
      <c r="C299" s="253" t="s">
        <v>68</v>
      </c>
      <c r="D299" s="253" t="s">
        <v>183</v>
      </c>
      <c r="E299" s="253">
        <v>41</v>
      </c>
      <c r="F299" s="253">
        <v>28</v>
      </c>
      <c r="G299" s="253">
        <v>53</v>
      </c>
      <c r="H299" s="253">
        <v>43</v>
      </c>
      <c r="I299" s="350" t="s">
        <v>194</v>
      </c>
    </row>
    <row r="300" spans="2:9" ht="14">
      <c r="B300" s="349" t="s">
        <v>142</v>
      </c>
      <c r="C300" s="253" t="s">
        <v>214</v>
      </c>
      <c r="D300" s="253" t="s">
        <v>177</v>
      </c>
      <c r="E300" s="253">
        <v>30</v>
      </c>
      <c r="F300" s="253">
        <v>43</v>
      </c>
      <c r="G300" s="253">
        <v>67</v>
      </c>
      <c r="H300" s="253">
        <v>48</v>
      </c>
      <c r="I300" s="350" t="s">
        <v>178</v>
      </c>
    </row>
    <row r="301" spans="2:9" ht="14">
      <c r="B301" s="349" t="s">
        <v>511</v>
      </c>
      <c r="C301" s="253" t="s">
        <v>182</v>
      </c>
      <c r="D301" s="253" t="s">
        <v>183</v>
      </c>
      <c r="E301" s="253">
        <v>59</v>
      </c>
      <c r="F301" s="253">
        <v>53</v>
      </c>
      <c r="G301" s="253">
        <v>47</v>
      </c>
      <c r="H301" s="253">
        <v>53</v>
      </c>
      <c r="I301" s="350" t="s">
        <v>178</v>
      </c>
    </row>
    <row r="302" spans="2:9" ht="14">
      <c r="B302" s="349" t="s">
        <v>512</v>
      </c>
      <c r="C302" s="253" t="s">
        <v>226</v>
      </c>
      <c r="D302" s="253" t="s">
        <v>177</v>
      </c>
      <c r="E302" s="253">
        <v>37</v>
      </c>
      <c r="F302" s="253">
        <v>47</v>
      </c>
      <c r="G302" s="253">
        <v>61</v>
      </c>
      <c r="H302" s="253">
        <v>49</v>
      </c>
      <c r="I302" s="350" t="s">
        <v>178</v>
      </c>
    </row>
    <row r="303" spans="2:9" ht="14">
      <c r="B303" s="349" t="s">
        <v>513</v>
      </c>
      <c r="C303" s="253" t="s">
        <v>198</v>
      </c>
      <c r="D303" s="253" t="s">
        <v>177</v>
      </c>
      <c r="E303" s="253">
        <v>44</v>
      </c>
      <c r="F303" s="253">
        <v>50</v>
      </c>
      <c r="G303" s="253">
        <v>67</v>
      </c>
      <c r="H303" s="253">
        <v>55</v>
      </c>
      <c r="I303" s="350" t="s">
        <v>178</v>
      </c>
    </row>
    <row r="304" spans="2:9" ht="14">
      <c r="B304" s="349" t="s">
        <v>514</v>
      </c>
      <c r="C304" s="253" t="s">
        <v>231</v>
      </c>
      <c r="D304" s="253" t="s">
        <v>177</v>
      </c>
      <c r="E304" s="253">
        <v>50</v>
      </c>
      <c r="F304" s="253">
        <v>56</v>
      </c>
      <c r="G304" s="253">
        <v>64</v>
      </c>
      <c r="H304" s="253">
        <v>57</v>
      </c>
      <c r="I304" s="350" t="s">
        <v>178</v>
      </c>
    </row>
    <row r="305" spans="2:9" ht="14">
      <c r="B305" s="349" t="s">
        <v>515</v>
      </c>
      <c r="C305" s="253" t="s">
        <v>516</v>
      </c>
      <c r="D305" s="253" t="s">
        <v>177</v>
      </c>
      <c r="E305" s="253">
        <v>34</v>
      </c>
      <c r="F305" s="253">
        <v>48</v>
      </c>
      <c r="G305" s="253">
        <v>69</v>
      </c>
      <c r="H305" s="253">
        <v>51</v>
      </c>
      <c r="I305" s="350" t="s">
        <v>178</v>
      </c>
    </row>
    <row r="306" spans="2:9" ht="14">
      <c r="B306" s="349" t="s">
        <v>517</v>
      </c>
      <c r="C306" s="253" t="s">
        <v>53</v>
      </c>
      <c r="D306" s="253" t="s">
        <v>177</v>
      </c>
      <c r="E306" s="253">
        <v>53</v>
      </c>
      <c r="F306" s="253">
        <v>53</v>
      </c>
      <c r="G306" s="253">
        <v>62</v>
      </c>
      <c r="H306" s="253">
        <v>57</v>
      </c>
      <c r="I306" s="350" t="s">
        <v>178</v>
      </c>
    </row>
    <row r="307" spans="2:9" ht="14">
      <c r="B307" s="349" t="s">
        <v>518</v>
      </c>
      <c r="C307" s="253" t="s">
        <v>303</v>
      </c>
      <c r="D307" s="253" t="s">
        <v>177</v>
      </c>
      <c r="E307" s="253">
        <v>53</v>
      </c>
      <c r="F307" s="253">
        <v>55</v>
      </c>
      <c r="G307" s="253">
        <v>58</v>
      </c>
      <c r="H307" s="253">
        <v>55</v>
      </c>
      <c r="I307" s="350" t="s">
        <v>178</v>
      </c>
    </row>
    <row r="308" spans="2:9" ht="14">
      <c r="B308" s="349" t="s">
        <v>519</v>
      </c>
      <c r="C308" s="253" t="s">
        <v>17</v>
      </c>
      <c r="D308" s="253" t="s">
        <v>177</v>
      </c>
      <c r="E308" s="253">
        <v>44</v>
      </c>
      <c r="F308" s="253">
        <v>53</v>
      </c>
      <c r="G308" s="253">
        <v>70</v>
      </c>
      <c r="H308" s="253">
        <v>57</v>
      </c>
      <c r="I308" s="350" t="s">
        <v>178</v>
      </c>
    </row>
    <row r="309" spans="2:9" ht="14">
      <c r="B309" s="349" t="s">
        <v>520</v>
      </c>
      <c r="C309" s="253" t="s">
        <v>243</v>
      </c>
      <c r="D309" s="253" t="s">
        <v>177</v>
      </c>
      <c r="E309" s="253">
        <v>35</v>
      </c>
      <c r="F309" s="253">
        <v>41</v>
      </c>
      <c r="G309" s="253">
        <v>63</v>
      </c>
      <c r="H309" s="253">
        <v>48</v>
      </c>
      <c r="I309" s="350" t="s">
        <v>178</v>
      </c>
    </row>
    <row r="310" spans="2:9" ht="14">
      <c r="B310" s="349" t="s">
        <v>521</v>
      </c>
      <c r="C310" s="253" t="s">
        <v>216</v>
      </c>
      <c r="D310" s="253" t="s">
        <v>177</v>
      </c>
      <c r="E310" s="253">
        <v>38</v>
      </c>
      <c r="F310" s="253">
        <v>46</v>
      </c>
      <c r="G310" s="253">
        <v>66</v>
      </c>
      <c r="H310" s="253">
        <v>51</v>
      </c>
      <c r="I310" s="350" t="s">
        <v>178</v>
      </c>
    </row>
    <row r="311" spans="2:9" ht="14">
      <c r="B311" s="349" t="s">
        <v>522</v>
      </c>
      <c r="C311" s="253" t="s">
        <v>219</v>
      </c>
      <c r="D311" s="253" t="s">
        <v>177</v>
      </c>
      <c r="E311" s="253">
        <v>68</v>
      </c>
      <c r="F311" s="253">
        <v>70</v>
      </c>
      <c r="G311" s="253">
        <v>73</v>
      </c>
      <c r="H311" s="253">
        <v>71</v>
      </c>
      <c r="I311" s="350" t="s">
        <v>250</v>
      </c>
    </row>
    <row r="312" spans="2:9" ht="14">
      <c r="B312" s="349" t="s">
        <v>523</v>
      </c>
      <c r="C312" s="253" t="s">
        <v>216</v>
      </c>
      <c r="D312" s="253" t="s">
        <v>177</v>
      </c>
      <c r="E312" s="253">
        <v>36</v>
      </c>
      <c r="F312" s="253">
        <v>55</v>
      </c>
      <c r="G312" s="253">
        <v>72</v>
      </c>
      <c r="H312" s="253">
        <v>55</v>
      </c>
      <c r="I312" s="350" t="s">
        <v>178</v>
      </c>
    </row>
    <row r="313" spans="2:9" ht="14">
      <c r="B313" s="349" t="s">
        <v>524</v>
      </c>
      <c r="C313" s="253" t="s">
        <v>180</v>
      </c>
      <c r="D313" s="253" t="s">
        <v>177</v>
      </c>
      <c r="E313" s="253">
        <v>34</v>
      </c>
      <c r="F313" s="253">
        <v>40</v>
      </c>
      <c r="G313" s="253">
        <v>70</v>
      </c>
      <c r="H313" s="253">
        <v>50</v>
      </c>
      <c r="I313" s="350" t="s">
        <v>178</v>
      </c>
    </row>
    <row r="314" spans="2:9" ht="14">
      <c r="B314" s="349" t="s">
        <v>525</v>
      </c>
      <c r="C314" s="253" t="s">
        <v>180</v>
      </c>
      <c r="D314" s="253" t="s">
        <v>177</v>
      </c>
      <c r="E314" s="253">
        <v>39</v>
      </c>
      <c r="F314" s="253">
        <v>48</v>
      </c>
      <c r="G314" s="253">
        <v>74</v>
      </c>
      <c r="H314" s="253">
        <v>55</v>
      </c>
      <c r="I314" s="350" t="s">
        <v>178</v>
      </c>
    </row>
    <row r="315" spans="2:9" ht="14">
      <c r="B315" s="349" t="s">
        <v>526</v>
      </c>
      <c r="C315" s="253" t="s">
        <v>231</v>
      </c>
      <c r="D315" s="253" t="s">
        <v>177</v>
      </c>
      <c r="E315" s="253">
        <v>34</v>
      </c>
      <c r="F315" s="253">
        <v>41</v>
      </c>
      <c r="G315" s="253">
        <v>73</v>
      </c>
      <c r="H315" s="253">
        <v>51</v>
      </c>
      <c r="I315" s="350" t="s">
        <v>178</v>
      </c>
    </row>
    <row r="316" spans="2:9" ht="14">
      <c r="B316" s="349" t="s">
        <v>527</v>
      </c>
      <c r="C316" s="253" t="s">
        <v>180</v>
      </c>
      <c r="D316" s="253" t="s">
        <v>177</v>
      </c>
      <c r="E316" s="253">
        <v>42</v>
      </c>
      <c r="F316" s="253">
        <v>44</v>
      </c>
      <c r="G316" s="253">
        <v>71</v>
      </c>
      <c r="H316" s="253">
        <v>54</v>
      </c>
      <c r="I316" s="350" t="s">
        <v>178</v>
      </c>
    </row>
    <row r="317" spans="2:9" ht="14">
      <c r="B317" s="349" t="s">
        <v>528</v>
      </c>
      <c r="C317" s="253" t="s">
        <v>214</v>
      </c>
      <c r="D317" s="253" t="s">
        <v>177</v>
      </c>
      <c r="E317" s="253">
        <v>30</v>
      </c>
      <c r="F317" s="253">
        <v>37</v>
      </c>
      <c r="G317" s="253">
        <v>53</v>
      </c>
      <c r="H317" s="253">
        <v>41</v>
      </c>
      <c r="I317" s="350" t="s">
        <v>194</v>
      </c>
    </row>
    <row r="318" spans="2:9" ht="14">
      <c r="B318" s="349" t="s">
        <v>128</v>
      </c>
      <c r="C318" s="253" t="s">
        <v>182</v>
      </c>
      <c r="D318" s="253" t="s">
        <v>177</v>
      </c>
      <c r="E318" s="253">
        <v>75</v>
      </c>
      <c r="F318" s="253">
        <v>61</v>
      </c>
      <c r="G318" s="253">
        <v>79</v>
      </c>
      <c r="H318" s="253">
        <v>73</v>
      </c>
      <c r="I318" s="350" t="s">
        <v>250</v>
      </c>
    </row>
    <row r="319" spans="2:9" ht="14">
      <c r="B319" s="349" t="s">
        <v>529</v>
      </c>
      <c r="C319" s="253" t="s">
        <v>182</v>
      </c>
      <c r="D319" s="253" t="s">
        <v>183</v>
      </c>
      <c r="E319" s="253">
        <v>57</v>
      </c>
      <c r="F319" s="253">
        <v>50</v>
      </c>
      <c r="G319" s="253">
        <v>62</v>
      </c>
      <c r="H319" s="253">
        <v>57</v>
      </c>
      <c r="I319" s="350" t="s">
        <v>178</v>
      </c>
    </row>
    <row r="320" spans="2:9" ht="14">
      <c r="B320" s="349" t="s">
        <v>530</v>
      </c>
      <c r="C320" s="253" t="s">
        <v>182</v>
      </c>
      <c r="D320" s="253" t="s">
        <v>183</v>
      </c>
      <c r="E320" s="253">
        <v>56</v>
      </c>
      <c r="F320" s="253">
        <v>53</v>
      </c>
      <c r="G320" s="253">
        <v>52</v>
      </c>
      <c r="H320" s="253">
        <v>54</v>
      </c>
      <c r="I320" s="350" t="s">
        <v>178</v>
      </c>
    </row>
    <row r="321" spans="2:9" ht="14">
      <c r="B321" s="349" t="s">
        <v>531</v>
      </c>
      <c r="C321" s="253" t="s">
        <v>68</v>
      </c>
      <c r="D321" s="253" t="s">
        <v>183</v>
      </c>
      <c r="E321" s="253">
        <v>41</v>
      </c>
      <c r="F321" s="253">
        <v>41</v>
      </c>
      <c r="G321" s="253">
        <v>62</v>
      </c>
      <c r="H321" s="253">
        <v>49</v>
      </c>
      <c r="I321" s="350" t="s">
        <v>178</v>
      </c>
    </row>
    <row r="322" spans="2:9" ht="14">
      <c r="B322" s="349" t="s">
        <v>532</v>
      </c>
      <c r="C322" s="253" t="s">
        <v>212</v>
      </c>
      <c r="D322" s="253" t="s">
        <v>177</v>
      </c>
      <c r="E322" s="253">
        <v>54</v>
      </c>
      <c r="F322" s="253">
        <v>55</v>
      </c>
      <c r="G322" s="253">
        <v>73</v>
      </c>
      <c r="H322" s="253">
        <v>62</v>
      </c>
      <c r="I322" s="350" t="s">
        <v>184</v>
      </c>
    </row>
    <row r="323" spans="2:9" ht="14">
      <c r="B323" s="349" t="s">
        <v>533</v>
      </c>
      <c r="C323" s="253" t="s">
        <v>89</v>
      </c>
      <c r="D323" s="253" t="s">
        <v>183</v>
      </c>
      <c r="E323" s="253">
        <v>34</v>
      </c>
      <c r="F323" s="253">
        <v>50</v>
      </c>
      <c r="G323" s="253">
        <v>66</v>
      </c>
      <c r="H323" s="253">
        <v>51</v>
      </c>
      <c r="I323" s="350" t="s">
        <v>178</v>
      </c>
    </row>
    <row r="324" spans="2:9" ht="14">
      <c r="B324" s="349" t="s">
        <v>534</v>
      </c>
      <c r="C324" s="253" t="s">
        <v>86</v>
      </c>
      <c r="D324" s="253" t="s">
        <v>177</v>
      </c>
      <c r="E324" s="253">
        <v>36</v>
      </c>
      <c r="F324" s="253">
        <v>39</v>
      </c>
      <c r="G324" s="253">
        <v>60</v>
      </c>
      <c r="H324" s="253">
        <v>46</v>
      </c>
      <c r="I324" s="350" t="s">
        <v>178</v>
      </c>
    </row>
    <row r="325" spans="2:9" ht="14">
      <c r="B325" s="349" t="s">
        <v>535</v>
      </c>
      <c r="C325" s="253" t="s">
        <v>180</v>
      </c>
      <c r="D325" s="253" t="s">
        <v>177</v>
      </c>
      <c r="E325" s="253">
        <v>34</v>
      </c>
      <c r="F325" s="253">
        <v>46</v>
      </c>
      <c r="G325" s="253">
        <v>70</v>
      </c>
      <c r="H325" s="253">
        <v>51</v>
      </c>
      <c r="I325" s="350" t="s">
        <v>178</v>
      </c>
    </row>
    <row r="326" spans="2:9" ht="14">
      <c r="B326" s="349" t="s">
        <v>536</v>
      </c>
      <c r="C326" s="253" t="s">
        <v>276</v>
      </c>
      <c r="D326" s="253" t="s">
        <v>177</v>
      </c>
      <c r="E326" s="253">
        <v>35</v>
      </c>
      <c r="F326" s="253">
        <v>48</v>
      </c>
      <c r="G326" s="253">
        <v>65</v>
      </c>
      <c r="H326" s="253">
        <v>50</v>
      </c>
      <c r="I326" s="350" t="s">
        <v>178</v>
      </c>
    </row>
    <row r="327" spans="2:9" ht="14">
      <c r="B327" s="349" t="s">
        <v>537</v>
      </c>
      <c r="C327" s="253" t="s">
        <v>204</v>
      </c>
      <c r="D327" s="253" t="s">
        <v>177</v>
      </c>
      <c r="E327" s="253">
        <v>81</v>
      </c>
      <c r="F327" s="253">
        <v>62</v>
      </c>
      <c r="G327" s="253">
        <v>71</v>
      </c>
      <c r="H327" s="253">
        <v>72</v>
      </c>
      <c r="I327" s="350" t="s">
        <v>250</v>
      </c>
    </row>
    <row r="328" spans="2:9" ht="14">
      <c r="B328" s="349" t="s">
        <v>538</v>
      </c>
      <c r="C328" s="253" t="s">
        <v>182</v>
      </c>
      <c r="D328" s="253" t="s">
        <v>183</v>
      </c>
      <c r="E328" s="253">
        <v>63</v>
      </c>
      <c r="F328" s="253">
        <v>50</v>
      </c>
      <c r="G328" s="253">
        <v>59</v>
      </c>
      <c r="H328" s="253">
        <v>58</v>
      </c>
      <c r="I328" s="350" t="s">
        <v>178</v>
      </c>
    </row>
    <row r="329" spans="2:9" ht="14">
      <c r="B329" s="349" t="s">
        <v>539</v>
      </c>
      <c r="C329" s="253" t="s">
        <v>212</v>
      </c>
      <c r="D329" s="253" t="s">
        <v>177</v>
      </c>
      <c r="E329" s="253">
        <v>50</v>
      </c>
      <c r="F329" s="253">
        <v>53</v>
      </c>
      <c r="G329" s="253">
        <v>72</v>
      </c>
      <c r="H329" s="253">
        <v>59</v>
      </c>
      <c r="I329" s="350" t="s">
        <v>178</v>
      </c>
    </row>
    <row r="330" spans="2:9" ht="14">
      <c r="B330" s="349" t="s">
        <v>540</v>
      </c>
      <c r="C330" s="253" t="s">
        <v>206</v>
      </c>
      <c r="D330" s="253" t="s">
        <v>177</v>
      </c>
      <c r="E330" s="253">
        <v>33</v>
      </c>
      <c r="F330" s="253">
        <v>40</v>
      </c>
      <c r="G330" s="253">
        <v>59</v>
      </c>
      <c r="H330" s="253">
        <v>45</v>
      </c>
      <c r="I330" s="350" t="s">
        <v>194</v>
      </c>
    </row>
    <row r="331" spans="2:9" ht="14">
      <c r="B331" s="349" t="s">
        <v>541</v>
      </c>
      <c r="C331" s="253" t="s">
        <v>180</v>
      </c>
      <c r="D331" s="253" t="s">
        <v>177</v>
      </c>
      <c r="E331" s="253">
        <v>40</v>
      </c>
      <c r="F331" s="253">
        <v>43</v>
      </c>
      <c r="G331" s="253">
        <v>64</v>
      </c>
      <c r="H331" s="253">
        <v>50</v>
      </c>
      <c r="I331" s="350" t="s">
        <v>178</v>
      </c>
    </row>
    <row r="332" spans="2:9" ht="14">
      <c r="B332" s="349" t="s">
        <v>542</v>
      </c>
      <c r="C332" s="253" t="s">
        <v>412</v>
      </c>
      <c r="D332" s="253" t="s">
        <v>177</v>
      </c>
      <c r="E332" s="253">
        <v>60</v>
      </c>
      <c r="F332" s="253">
        <v>58</v>
      </c>
      <c r="G332" s="253">
        <v>74</v>
      </c>
      <c r="H332" s="253">
        <v>65</v>
      </c>
      <c r="I332" s="350" t="s">
        <v>184</v>
      </c>
    </row>
    <row r="333" spans="2:9" ht="14">
      <c r="B333" s="349" t="s">
        <v>543</v>
      </c>
      <c r="C333" s="253" t="s">
        <v>212</v>
      </c>
      <c r="D333" s="253" t="s">
        <v>177</v>
      </c>
      <c r="E333" s="253">
        <v>42</v>
      </c>
      <c r="F333" s="253">
        <v>55</v>
      </c>
      <c r="G333" s="253">
        <v>59</v>
      </c>
      <c r="H333" s="253">
        <v>52</v>
      </c>
      <c r="I333" s="350" t="s">
        <v>178</v>
      </c>
    </row>
    <row r="334" spans="2:9" ht="14">
      <c r="B334" s="349" t="s">
        <v>544</v>
      </c>
      <c r="C334" s="253" t="s">
        <v>53</v>
      </c>
      <c r="D334" s="253" t="s">
        <v>177</v>
      </c>
      <c r="E334" s="253">
        <v>46</v>
      </c>
      <c r="F334" s="253">
        <v>59</v>
      </c>
      <c r="G334" s="253">
        <v>74</v>
      </c>
      <c r="H334" s="253">
        <v>60</v>
      </c>
      <c r="I334" s="350" t="s">
        <v>178</v>
      </c>
    </row>
    <row r="335" spans="2:9" ht="14">
      <c r="B335" s="349" t="s">
        <v>545</v>
      </c>
      <c r="C335" s="253" t="s">
        <v>186</v>
      </c>
      <c r="D335" s="253" t="s">
        <v>177</v>
      </c>
      <c r="E335" s="253">
        <v>27</v>
      </c>
      <c r="F335" s="253">
        <v>41</v>
      </c>
      <c r="G335" s="253">
        <v>63</v>
      </c>
      <c r="H335" s="253">
        <v>45</v>
      </c>
      <c r="I335" s="350" t="s">
        <v>194</v>
      </c>
    </row>
    <row r="336" spans="2:9" ht="14">
      <c r="B336" s="349" t="s">
        <v>546</v>
      </c>
      <c r="C336" s="253" t="s">
        <v>317</v>
      </c>
      <c r="D336" s="253" t="s">
        <v>177</v>
      </c>
      <c r="E336" s="253">
        <v>49</v>
      </c>
      <c r="F336" s="253">
        <v>56</v>
      </c>
      <c r="G336" s="253">
        <v>64</v>
      </c>
      <c r="H336" s="253">
        <v>57</v>
      </c>
      <c r="I336" s="350" t="s">
        <v>178</v>
      </c>
    </row>
    <row r="337" spans="2:9" ht="14">
      <c r="B337" s="349" t="s">
        <v>547</v>
      </c>
      <c r="C337" s="253" t="s">
        <v>182</v>
      </c>
      <c r="D337" s="253" t="s">
        <v>177</v>
      </c>
      <c r="E337" s="253">
        <v>63</v>
      </c>
      <c r="F337" s="253">
        <v>57</v>
      </c>
      <c r="G337" s="253">
        <v>75</v>
      </c>
      <c r="H337" s="253">
        <v>66</v>
      </c>
      <c r="I337" s="350" t="s">
        <v>184</v>
      </c>
    </row>
    <row r="338" spans="2:9" ht="14">
      <c r="B338" s="349" t="s">
        <v>548</v>
      </c>
      <c r="C338" s="253" t="s">
        <v>180</v>
      </c>
      <c r="D338" s="253" t="s">
        <v>177</v>
      </c>
      <c r="E338" s="253">
        <v>34</v>
      </c>
      <c r="F338" s="253">
        <v>53</v>
      </c>
      <c r="G338" s="253">
        <v>73</v>
      </c>
      <c r="H338" s="253">
        <v>54</v>
      </c>
      <c r="I338" s="350" t="s">
        <v>178</v>
      </c>
    </row>
    <row r="339" spans="2:9" ht="14">
      <c r="B339" s="349" t="s">
        <v>549</v>
      </c>
      <c r="C339" s="253" t="s">
        <v>212</v>
      </c>
      <c r="D339" s="253" t="s">
        <v>177</v>
      </c>
      <c r="E339" s="253">
        <v>73</v>
      </c>
      <c r="F339" s="253">
        <v>61</v>
      </c>
      <c r="G339" s="253">
        <v>75</v>
      </c>
      <c r="H339" s="253">
        <v>70</v>
      </c>
      <c r="I339" s="350" t="s">
        <v>184</v>
      </c>
    </row>
    <row r="340" spans="2:9" ht="14">
      <c r="B340" s="349" t="s">
        <v>550</v>
      </c>
      <c r="C340" s="253" t="s">
        <v>276</v>
      </c>
      <c r="D340" s="253" t="s">
        <v>177</v>
      </c>
      <c r="E340" s="253">
        <v>34</v>
      </c>
      <c r="F340" s="253">
        <v>52</v>
      </c>
      <c r="G340" s="253">
        <v>67</v>
      </c>
      <c r="H340" s="253">
        <v>52</v>
      </c>
      <c r="I340" s="350" t="s">
        <v>178</v>
      </c>
    </row>
    <row r="341" spans="2:9" ht="14">
      <c r="B341" s="349" t="s">
        <v>551</v>
      </c>
      <c r="C341" s="253" t="s">
        <v>53</v>
      </c>
      <c r="D341" s="253" t="s">
        <v>177</v>
      </c>
      <c r="E341" s="253">
        <v>48</v>
      </c>
      <c r="F341" s="253">
        <v>56</v>
      </c>
      <c r="G341" s="253">
        <v>67</v>
      </c>
      <c r="H341" s="253">
        <v>58</v>
      </c>
      <c r="I341" s="350" t="s">
        <v>178</v>
      </c>
    </row>
    <row r="342" spans="2:9" ht="14">
      <c r="B342" s="349" t="s">
        <v>552</v>
      </c>
      <c r="C342" s="253" t="s">
        <v>206</v>
      </c>
      <c r="D342" s="253" t="s">
        <v>177</v>
      </c>
      <c r="E342" s="253">
        <v>37</v>
      </c>
      <c r="F342" s="253">
        <v>46</v>
      </c>
      <c r="G342" s="253">
        <v>71</v>
      </c>
      <c r="H342" s="253">
        <v>53</v>
      </c>
      <c r="I342" s="350" t="s">
        <v>178</v>
      </c>
    </row>
    <row r="343" spans="2:9" ht="14">
      <c r="B343" s="349" t="s">
        <v>139</v>
      </c>
      <c r="C343" s="253" t="s">
        <v>84</v>
      </c>
      <c r="D343" s="253" t="s">
        <v>177</v>
      </c>
      <c r="E343" s="253">
        <v>40</v>
      </c>
      <c r="F343" s="253">
        <v>36</v>
      </c>
      <c r="G343" s="253">
        <v>60</v>
      </c>
      <c r="H343" s="253">
        <v>47</v>
      </c>
      <c r="I343" s="350" t="s">
        <v>178</v>
      </c>
    </row>
    <row r="344" spans="2:9" ht="14">
      <c r="B344" s="349" t="s">
        <v>553</v>
      </c>
      <c r="C344" s="253" t="s">
        <v>200</v>
      </c>
      <c r="D344" s="253" t="s">
        <v>177</v>
      </c>
      <c r="E344" s="253">
        <v>34</v>
      </c>
      <c r="F344" s="253">
        <v>47</v>
      </c>
      <c r="G344" s="253">
        <v>71</v>
      </c>
      <c r="H344" s="253">
        <v>52</v>
      </c>
      <c r="I344" s="350" t="s">
        <v>178</v>
      </c>
    </row>
    <row r="345" spans="2:9" ht="14">
      <c r="B345" s="349" t="s">
        <v>554</v>
      </c>
      <c r="C345" s="253" t="s">
        <v>282</v>
      </c>
      <c r="D345" s="253" t="s">
        <v>177</v>
      </c>
      <c r="E345" s="253">
        <v>37</v>
      </c>
      <c r="F345" s="253">
        <v>43</v>
      </c>
      <c r="G345" s="253">
        <v>64</v>
      </c>
      <c r="H345" s="253">
        <v>49</v>
      </c>
      <c r="I345" s="350" t="s">
        <v>178</v>
      </c>
    </row>
    <row r="346" spans="2:9" ht="14">
      <c r="B346" s="349" t="s">
        <v>555</v>
      </c>
      <c r="C346" s="253" t="s">
        <v>182</v>
      </c>
      <c r="D346" s="253" t="s">
        <v>177</v>
      </c>
      <c r="E346" s="253">
        <v>74</v>
      </c>
      <c r="F346" s="253">
        <v>64</v>
      </c>
      <c r="G346" s="253">
        <v>71</v>
      </c>
      <c r="H346" s="253">
        <v>71</v>
      </c>
      <c r="I346" s="350" t="s">
        <v>250</v>
      </c>
    </row>
    <row r="347" spans="2:9" ht="14">
      <c r="B347" s="349" t="s">
        <v>556</v>
      </c>
      <c r="C347" s="253" t="s">
        <v>237</v>
      </c>
      <c r="D347" s="253" t="s">
        <v>177</v>
      </c>
      <c r="E347" s="253">
        <v>66</v>
      </c>
      <c r="F347" s="253">
        <v>55</v>
      </c>
      <c r="G347" s="253">
        <v>72</v>
      </c>
      <c r="H347" s="253">
        <v>66</v>
      </c>
      <c r="I347" s="350" t="s">
        <v>184</v>
      </c>
    </row>
    <row r="348" spans="2:9" ht="14">
      <c r="B348" s="349" t="s">
        <v>557</v>
      </c>
      <c r="C348" s="253" t="s">
        <v>317</v>
      </c>
      <c r="D348" s="253" t="s">
        <v>177</v>
      </c>
      <c r="E348" s="253">
        <v>46</v>
      </c>
      <c r="F348" s="253">
        <v>47</v>
      </c>
      <c r="G348" s="253">
        <v>73</v>
      </c>
      <c r="H348" s="253">
        <v>57</v>
      </c>
      <c r="I348" s="350" t="s">
        <v>178</v>
      </c>
    </row>
    <row r="349" spans="2:9" ht="14">
      <c r="B349" s="349" t="s">
        <v>558</v>
      </c>
      <c r="C349" s="253" t="s">
        <v>84</v>
      </c>
      <c r="D349" s="253" t="s">
        <v>177</v>
      </c>
      <c r="E349" s="253">
        <v>46</v>
      </c>
      <c r="F349" s="253">
        <v>51</v>
      </c>
      <c r="G349" s="253">
        <v>61</v>
      </c>
      <c r="H349" s="253">
        <v>53</v>
      </c>
      <c r="I349" s="350" t="s">
        <v>178</v>
      </c>
    </row>
    <row r="350" spans="2:9" ht="14">
      <c r="B350" s="349" t="s">
        <v>559</v>
      </c>
      <c r="C350" s="253" t="s">
        <v>193</v>
      </c>
      <c r="D350" s="253" t="s">
        <v>177</v>
      </c>
      <c r="E350" s="253">
        <v>46</v>
      </c>
      <c r="F350" s="253">
        <v>46</v>
      </c>
      <c r="G350" s="253">
        <v>70</v>
      </c>
      <c r="H350" s="253">
        <v>55</v>
      </c>
      <c r="I350" s="350" t="s">
        <v>178</v>
      </c>
    </row>
    <row r="351" spans="2:9" ht="14">
      <c r="B351" s="349" t="s">
        <v>560</v>
      </c>
      <c r="C351" s="253" t="s">
        <v>182</v>
      </c>
      <c r="D351" s="253" t="s">
        <v>183</v>
      </c>
      <c r="E351" s="253">
        <v>66</v>
      </c>
      <c r="F351" s="253">
        <v>57</v>
      </c>
      <c r="G351" s="253">
        <v>59</v>
      </c>
      <c r="H351" s="253">
        <v>61</v>
      </c>
      <c r="I351" s="350" t="s">
        <v>184</v>
      </c>
    </row>
    <row r="352" spans="2:9" ht="14">
      <c r="B352" s="349" t="s">
        <v>561</v>
      </c>
      <c r="C352" s="253" t="s">
        <v>182</v>
      </c>
      <c r="D352" s="253" t="s">
        <v>177</v>
      </c>
      <c r="E352" s="253">
        <v>63</v>
      </c>
      <c r="F352" s="253">
        <v>64</v>
      </c>
      <c r="G352" s="253">
        <v>72</v>
      </c>
      <c r="H352" s="253">
        <v>67</v>
      </c>
      <c r="I352" s="350" t="s">
        <v>184</v>
      </c>
    </row>
    <row r="353" spans="2:9" ht="14">
      <c r="B353" s="349" t="s">
        <v>562</v>
      </c>
      <c r="C353" s="253" t="s">
        <v>70</v>
      </c>
      <c r="D353" s="253" t="s">
        <v>177</v>
      </c>
      <c r="E353" s="253">
        <v>25</v>
      </c>
      <c r="F353" s="253">
        <v>40</v>
      </c>
      <c r="G353" s="253">
        <v>70</v>
      </c>
      <c r="H353" s="253">
        <v>47</v>
      </c>
      <c r="I353" s="350" t="s">
        <v>178</v>
      </c>
    </row>
    <row r="354" spans="2:9" ht="14">
      <c r="B354" s="349" t="s">
        <v>563</v>
      </c>
      <c r="C354" s="253" t="s">
        <v>17</v>
      </c>
      <c r="D354" s="253" t="s">
        <v>177</v>
      </c>
      <c r="E354" s="253">
        <v>70</v>
      </c>
      <c r="F354" s="253">
        <v>61</v>
      </c>
      <c r="G354" s="253">
        <v>78</v>
      </c>
      <c r="H354" s="253">
        <v>71</v>
      </c>
      <c r="I354" s="350" t="s">
        <v>250</v>
      </c>
    </row>
    <row r="355" spans="2:9" ht="14">
      <c r="B355" s="349" t="s">
        <v>564</v>
      </c>
      <c r="C355" s="253" t="s">
        <v>237</v>
      </c>
      <c r="D355" s="253" t="s">
        <v>177</v>
      </c>
      <c r="E355" s="253">
        <v>58</v>
      </c>
      <c r="F355" s="253">
        <v>57</v>
      </c>
      <c r="G355" s="253">
        <v>64</v>
      </c>
      <c r="H355" s="253">
        <v>60</v>
      </c>
      <c r="I355" s="350" t="s">
        <v>178</v>
      </c>
    </row>
    <row r="356" spans="2:9" ht="14">
      <c r="B356" s="349" t="s">
        <v>565</v>
      </c>
      <c r="C356" s="253" t="s">
        <v>182</v>
      </c>
      <c r="D356" s="253" t="s">
        <v>177</v>
      </c>
      <c r="E356" s="253">
        <v>62</v>
      </c>
      <c r="F356" s="253">
        <v>50</v>
      </c>
      <c r="G356" s="253">
        <v>65</v>
      </c>
      <c r="H356" s="253">
        <v>60</v>
      </c>
      <c r="I356" s="350" t="s">
        <v>178</v>
      </c>
    </row>
    <row r="357" spans="2:9" ht="14">
      <c r="B357" s="349" t="s">
        <v>566</v>
      </c>
      <c r="C357" s="253" t="s">
        <v>212</v>
      </c>
      <c r="D357" s="253" t="s">
        <v>177</v>
      </c>
      <c r="E357" s="253">
        <v>52</v>
      </c>
      <c r="F357" s="253">
        <v>57</v>
      </c>
      <c r="G357" s="253">
        <v>75</v>
      </c>
      <c r="H357" s="253">
        <v>63</v>
      </c>
      <c r="I357" s="350" t="s">
        <v>184</v>
      </c>
    </row>
    <row r="358" spans="2:9" ht="14">
      <c r="B358" s="349" t="s">
        <v>567</v>
      </c>
      <c r="C358" s="253" t="s">
        <v>80</v>
      </c>
      <c r="D358" s="253" t="s">
        <v>177</v>
      </c>
      <c r="E358" s="253">
        <v>43</v>
      </c>
      <c r="F358" s="253">
        <v>41</v>
      </c>
      <c r="G358" s="253">
        <v>65</v>
      </c>
      <c r="H358" s="253">
        <v>52</v>
      </c>
      <c r="I358" s="350" t="s">
        <v>178</v>
      </c>
    </row>
    <row r="359" spans="2:9" ht="14">
      <c r="B359" s="349" t="s">
        <v>568</v>
      </c>
      <c r="C359" s="253" t="s">
        <v>86</v>
      </c>
      <c r="D359" s="253" t="s">
        <v>177</v>
      </c>
      <c r="E359" s="253">
        <v>55</v>
      </c>
      <c r="F359" s="253">
        <v>45</v>
      </c>
      <c r="G359" s="253">
        <v>73</v>
      </c>
      <c r="H359" s="253">
        <v>60</v>
      </c>
      <c r="I359" s="350" t="s">
        <v>178</v>
      </c>
    </row>
    <row r="360" spans="2:9" ht="14">
      <c r="B360" s="349" t="s">
        <v>569</v>
      </c>
      <c r="C360" s="253" t="s">
        <v>239</v>
      </c>
      <c r="D360" s="253" t="s">
        <v>177</v>
      </c>
      <c r="E360" s="253">
        <v>20</v>
      </c>
      <c r="F360" s="253">
        <v>33</v>
      </c>
      <c r="G360" s="253">
        <v>55</v>
      </c>
      <c r="H360" s="253">
        <v>37</v>
      </c>
      <c r="I360" s="350" t="s">
        <v>194</v>
      </c>
    </row>
    <row r="361" spans="2:9" ht="14">
      <c r="B361" s="349" t="s">
        <v>570</v>
      </c>
      <c r="C361" s="253" t="s">
        <v>86</v>
      </c>
      <c r="D361" s="253" t="s">
        <v>177</v>
      </c>
      <c r="E361" s="253">
        <v>43</v>
      </c>
      <c r="F361" s="253">
        <v>54</v>
      </c>
      <c r="G361" s="253">
        <v>71</v>
      </c>
      <c r="H361" s="253">
        <v>57</v>
      </c>
      <c r="I361" s="350" t="s">
        <v>178</v>
      </c>
    </row>
    <row r="362" spans="2:9" ht="14">
      <c r="B362" s="349" t="s">
        <v>571</v>
      </c>
      <c r="C362" s="253" t="s">
        <v>276</v>
      </c>
      <c r="D362" s="253" t="s">
        <v>177</v>
      </c>
      <c r="E362" s="253">
        <v>36</v>
      </c>
      <c r="F362" s="253">
        <v>47</v>
      </c>
      <c r="G362" s="253">
        <v>68</v>
      </c>
      <c r="H362" s="253">
        <v>52</v>
      </c>
      <c r="I362" s="350" t="s">
        <v>178</v>
      </c>
    </row>
    <row r="363" spans="2:9" ht="14">
      <c r="B363" s="349" t="s">
        <v>572</v>
      </c>
      <c r="C363" s="253" t="s">
        <v>296</v>
      </c>
      <c r="D363" s="253" t="s">
        <v>177</v>
      </c>
      <c r="E363" s="253">
        <v>37</v>
      </c>
      <c r="F363" s="253">
        <v>31</v>
      </c>
      <c r="G363" s="253">
        <v>44</v>
      </c>
      <c r="H363" s="253">
        <v>38</v>
      </c>
      <c r="I363" s="350" t="s">
        <v>194</v>
      </c>
    </row>
    <row r="364" spans="2:9" ht="14">
      <c r="B364" s="349" t="s">
        <v>573</v>
      </c>
      <c r="C364" s="253" t="s">
        <v>212</v>
      </c>
      <c r="D364" s="253" t="s">
        <v>177</v>
      </c>
      <c r="E364" s="253">
        <v>83</v>
      </c>
      <c r="F364" s="253">
        <v>69</v>
      </c>
      <c r="G364" s="253">
        <v>74</v>
      </c>
      <c r="H364" s="253">
        <v>76</v>
      </c>
      <c r="I364" s="350" t="s">
        <v>250</v>
      </c>
    </row>
    <row r="365" spans="2:9" ht="14">
      <c r="B365" s="349" t="s">
        <v>574</v>
      </c>
      <c r="C365" s="253" t="s">
        <v>231</v>
      </c>
      <c r="D365" s="253" t="s">
        <v>177</v>
      </c>
      <c r="E365" s="253">
        <v>27</v>
      </c>
      <c r="F365" s="253">
        <v>42</v>
      </c>
      <c r="G365" s="253">
        <v>53</v>
      </c>
      <c r="H365" s="253">
        <v>41</v>
      </c>
      <c r="I365" s="350" t="s">
        <v>194</v>
      </c>
    </row>
    <row r="366" spans="2:9" ht="14">
      <c r="B366" s="349" t="s">
        <v>575</v>
      </c>
      <c r="C366" s="253" t="s">
        <v>276</v>
      </c>
      <c r="D366" s="253" t="s">
        <v>177</v>
      </c>
      <c r="E366" s="253">
        <v>36</v>
      </c>
      <c r="F366" s="253">
        <v>42</v>
      </c>
      <c r="G366" s="253">
        <v>61</v>
      </c>
      <c r="H366" s="253">
        <v>48</v>
      </c>
      <c r="I366" s="350" t="s">
        <v>178</v>
      </c>
    </row>
    <row r="367" spans="2:9" ht="14">
      <c r="B367" s="349" t="s">
        <v>576</v>
      </c>
      <c r="C367" s="253" t="s">
        <v>68</v>
      </c>
      <c r="D367" s="253" t="s">
        <v>177</v>
      </c>
      <c r="E367" s="253">
        <v>49</v>
      </c>
      <c r="F367" s="253">
        <v>59</v>
      </c>
      <c r="G367" s="253">
        <v>72</v>
      </c>
      <c r="H367" s="253">
        <v>61</v>
      </c>
      <c r="I367" s="350" t="s">
        <v>184</v>
      </c>
    </row>
    <row r="368" spans="2:9" ht="14">
      <c r="B368" s="349" t="s">
        <v>577</v>
      </c>
      <c r="C368" s="253" t="s">
        <v>182</v>
      </c>
      <c r="D368" s="253" t="s">
        <v>183</v>
      </c>
      <c r="E368" s="253">
        <v>63</v>
      </c>
      <c r="F368" s="253">
        <v>51</v>
      </c>
      <c r="G368" s="253">
        <v>59</v>
      </c>
      <c r="H368" s="253">
        <v>58</v>
      </c>
      <c r="I368" s="350" t="s">
        <v>178</v>
      </c>
    </row>
    <row r="369" spans="2:9" ht="14">
      <c r="B369" s="349" t="s">
        <v>578</v>
      </c>
      <c r="C369" s="253" t="s">
        <v>212</v>
      </c>
      <c r="D369" s="253" t="s">
        <v>177</v>
      </c>
      <c r="E369" s="253">
        <v>60</v>
      </c>
      <c r="F369" s="253">
        <v>57</v>
      </c>
      <c r="G369" s="253">
        <v>69</v>
      </c>
      <c r="H369" s="253">
        <v>63</v>
      </c>
      <c r="I369" s="350" t="s">
        <v>184</v>
      </c>
    </row>
    <row r="370" spans="2:9" ht="14">
      <c r="B370" s="349" t="s">
        <v>579</v>
      </c>
      <c r="C370" s="253" t="s">
        <v>212</v>
      </c>
      <c r="D370" s="253" t="s">
        <v>177</v>
      </c>
      <c r="E370" s="253">
        <v>45</v>
      </c>
      <c r="F370" s="253">
        <v>48</v>
      </c>
      <c r="G370" s="253">
        <v>70</v>
      </c>
      <c r="H370" s="253">
        <v>55</v>
      </c>
      <c r="I370" s="350" t="s">
        <v>178</v>
      </c>
    </row>
    <row r="371" spans="2:9" ht="14">
      <c r="B371" s="349" t="s">
        <v>580</v>
      </c>
      <c r="C371" s="253" t="s">
        <v>233</v>
      </c>
      <c r="D371" s="253" t="s">
        <v>177</v>
      </c>
      <c r="E371" s="253">
        <v>34</v>
      </c>
      <c r="F371" s="253">
        <v>49</v>
      </c>
      <c r="G371" s="253">
        <v>64</v>
      </c>
      <c r="H371" s="253">
        <v>49</v>
      </c>
      <c r="I371" s="350" t="s">
        <v>178</v>
      </c>
    </row>
    <row r="372" spans="2:9" ht="14">
      <c r="B372" s="349" t="s">
        <v>581</v>
      </c>
      <c r="C372" s="253" t="s">
        <v>17</v>
      </c>
      <c r="D372" s="253" t="s">
        <v>177</v>
      </c>
      <c r="E372" s="253">
        <v>38</v>
      </c>
      <c r="F372" s="253">
        <v>48</v>
      </c>
      <c r="G372" s="253">
        <v>74</v>
      </c>
      <c r="H372" s="253">
        <v>55</v>
      </c>
      <c r="I372" s="350" t="s">
        <v>178</v>
      </c>
    </row>
    <row r="373" spans="2:9" ht="14">
      <c r="B373" s="349" t="s">
        <v>582</v>
      </c>
      <c r="C373" s="253" t="s">
        <v>180</v>
      </c>
      <c r="D373" s="253" t="s">
        <v>177</v>
      </c>
      <c r="E373" s="253">
        <v>34</v>
      </c>
      <c r="F373" s="253">
        <v>48</v>
      </c>
      <c r="G373" s="253">
        <v>78</v>
      </c>
      <c r="H373" s="253">
        <v>55</v>
      </c>
      <c r="I373" s="350" t="s">
        <v>178</v>
      </c>
    </row>
    <row r="374" spans="2:9" ht="14">
      <c r="B374" s="349" t="s">
        <v>583</v>
      </c>
      <c r="C374" s="253" t="s">
        <v>68</v>
      </c>
      <c r="D374" s="253" t="s">
        <v>177</v>
      </c>
      <c r="E374" s="253">
        <v>44</v>
      </c>
      <c r="F374" s="253">
        <v>41</v>
      </c>
      <c r="G374" s="253">
        <v>77</v>
      </c>
      <c r="H374" s="253">
        <v>56</v>
      </c>
      <c r="I374" s="350" t="s">
        <v>178</v>
      </c>
    </row>
    <row r="375" spans="2:9" ht="14">
      <c r="B375" s="349" t="s">
        <v>584</v>
      </c>
      <c r="C375" s="253" t="s">
        <v>182</v>
      </c>
      <c r="D375" s="253" t="s">
        <v>177</v>
      </c>
      <c r="E375" s="253">
        <v>64</v>
      </c>
      <c r="F375" s="253">
        <v>63</v>
      </c>
      <c r="G375" s="253">
        <v>72</v>
      </c>
      <c r="H375" s="253">
        <v>67</v>
      </c>
      <c r="I375" s="350" t="s">
        <v>184</v>
      </c>
    </row>
    <row r="376" spans="2:9" ht="14">
      <c r="B376" s="349" t="s">
        <v>585</v>
      </c>
      <c r="C376" s="253" t="s">
        <v>198</v>
      </c>
      <c r="D376" s="253" t="s">
        <v>183</v>
      </c>
      <c r="E376" s="253">
        <v>23</v>
      </c>
      <c r="F376" s="253">
        <v>34</v>
      </c>
      <c r="G376" s="253">
        <v>61</v>
      </c>
      <c r="H376" s="253">
        <v>41</v>
      </c>
      <c r="I376" s="350" t="s">
        <v>194</v>
      </c>
    </row>
    <row r="377" spans="2:9" ht="14">
      <c r="B377" s="349" t="s">
        <v>586</v>
      </c>
      <c r="C377" s="253" t="s">
        <v>86</v>
      </c>
      <c r="D377" s="253" t="s">
        <v>177</v>
      </c>
      <c r="E377" s="253">
        <v>39</v>
      </c>
      <c r="F377" s="253">
        <v>46</v>
      </c>
      <c r="G377" s="253">
        <v>70</v>
      </c>
      <c r="H377" s="253">
        <v>53</v>
      </c>
      <c r="I377" s="350" t="s">
        <v>178</v>
      </c>
    </row>
    <row r="378" spans="2:9" ht="14">
      <c r="B378" s="349" t="s">
        <v>587</v>
      </c>
      <c r="C378" s="253" t="s">
        <v>53</v>
      </c>
      <c r="D378" s="253" t="s">
        <v>177</v>
      </c>
      <c r="E378" s="253">
        <v>54</v>
      </c>
      <c r="F378" s="253">
        <v>68</v>
      </c>
      <c r="G378" s="253">
        <v>62</v>
      </c>
      <c r="H378" s="253">
        <v>61</v>
      </c>
      <c r="I378" s="350" t="s">
        <v>184</v>
      </c>
    </row>
    <row r="379" spans="2:9" ht="14">
      <c r="B379" s="349" t="s">
        <v>588</v>
      </c>
      <c r="C379" s="253" t="s">
        <v>231</v>
      </c>
      <c r="D379" s="253" t="s">
        <v>177</v>
      </c>
      <c r="E379" s="253">
        <v>41</v>
      </c>
      <c r="F379" s="253">
        <v>54</v>
      </c>
      <c r="G379" s="253">
        <v>59</v>
      </c>
      <c r="H379" s="253">
        <v>51</v>
      </c>
      <c r="I379" s="350" t="s">
        <v>178</v>
      </c>
    </row>
    <row r="380" spans="2:9" ht="14">
      <c r="B380" s="349" t="s">
        <v>589</v>
      </c>
      <c r="C380" s="253" t="s">
        <v>373</v>
      </c>
      <c r="D380" s="253" t="s">
        <v>177</v>
      </c>
      <c r="E380" s="253">
        <v>67</v>
      </c>
      <c r="F380" s="253">
        <v>58</v>
      </c>
      <c r="G380" s="253">
        <v>45</v>
      </c>
      <c r="H380" s="253">
        <v>56</v>
      </c>
      <c r="I380" s="350" t="s">
        <v>178</v>
      </c>
    </row>
    <row r="381" spans="2:9" ht="14">
      <c r="B381" s="349" t="s">
        <v>590</v>
      </c>
      <c r="C381" s="253" t="s">
        <v>373</v>
      </c>
      <c r="D381" s="253" t="s">
        <v>183</v>
      </c>
      <c r="E381" s="253">
        <v>62</v>
      </c>
      <c r="F381" s="253">
        <v>39</v>
      </c>
      <c r="G381" s="253">
        <v>32</v>
      </c>
      <c r="H381" s="253">
        <v>44</v>
      </c>
      <c r="I381" s="350" t="s">
        <v>194</v>
      </c>
    </row>
    <row r="382" spans="2:9" ht="14">
      <c r="B382" s="349" t="s">
        <v>591</v>
      </c>
      <c r="C382" s="253" t="s">
        <v>373</v>
      </c>
      <c r="D382" s="253" t="s">
        <v>183</v>
      </c>
      <c r="E382" s="253">
        <v>62</v>
      </c>
      <c r="F382" s="253">
        <v>46</v>
      </c>
      <c r="G382" s="253">
        <v>48</v>
      </c>
      <c r="H382" s="253">
        <v>52</v>
      </c>
      <c r="I382" s="350" t="s">
        <v>178</v>
      </c>
    </row>
    <row r="383" spans="2:9" ht="14">
      <c r="B383" s="349" t="s">
        <v>592</v>
      </c>
      <c r="C383" s="253" t="s">
        <v>186</v>
      </c>
      <c r="D383" s="253" t="s">
        <v>177</v>
      </c>
      <c r="E383" s="253">
        <v>29</v>
      </c>
      <c r="F383" s="253">
        <v>52</v>
      </c>
      <c r="G383" s="253">
        <v>64</v>
      </c>
      <c r="H383" s="253">
        <v>49</v>
      </c>
      <c r="I383" s="350" t="s">
        <v>178</v>
      </c>
    </row>
    <row r="384" spans="2:9" ht="14">
      <c r="B384" s="349" t="s">
        <v>593</v>
      </c>
      <c r="C384" s="253" t="s">
        <v>594</v>
      </c>
      <c r="D384" s="253" t="s">
        <v>177</v>
      </c>
      <c r="E384" s="253">
        <v>49</v>
      </c>
      <c r="F384" s="253">
        <v>49</v>
      </c>
      <c r="G384" s="253">
        <v>64</v>
      </c>
      <c r="H384" s="253">
        <v>55</v>
      </c>
      <c r="I384" s="350" t="s">
        <v>178</v>
      </c>
    </row>
    <row r="385" spans="2:9" ht="14">
      <c r="B385" s="349" t="s">
        <v>595</v>
      </c>
      <c r="C385" s="253" t="s">
        <v>279</v>
      </c>
      <c r="D385" s="253" t="s">
        <v>183</v>
      </c>
      <c r="E385" s="253">
        <v>26</v>
      </c>
      <c r="F385" s="253">
        <v>50</v>
      </c>
      <c r="G385" s="253">
        <v>50</v>
      </c>
      <c r="H385" s="253">
        <v>42</v>
      </c>
      <c r="I385" s="350" t="s">
        <v>194</v>
      </c>
    </row>
    <row r="386" spans="2:9" ht="14">
      <c r="B386" s="349" t="s">
        <v>596</v>
      </c>
      <c r="C386" s="253" t="s">
        <v>303</v>
      </c>
      <c r="D386" s="253" t="s">
        <v>177</v>
      </c>
      <c r="E386" s="253">
        <v>49</v>
      </c>
      <c r="F386" s="253">
        <v>48</v>
      </c>
      <c r="G386" s="253">
        <v>70</v>
      </c>
      <c r="H386" s="253">
        <v>57</v>
      </c>
      <c r="I386" s="350" t="s">
        <v>178</v>
      </c>
    </row>
    <row r="387" spans="2:9" ht="14">
      <c r="B387" s="349" t="s">
        <v>597</v>
      </c>
      <c r="C387" s="253" t="s">
        <v>214</v>
      </c>
      <c r="D387" s="253" t="s">
        <v>177</v>
      </c>
      <c r="E387" s="253">
        <v>31</v>
      </c>
      <c r="F387" s="253">
        <v>47</v>
      </c>
      <c r="G387" s="253">
        <v>66</v>
      </c>
      <c r="H387" s="253">
        <v>49</v>
      </c>
      <c r="I387" s="350" t="s">
        <v>178</v>
      </c>
    </row>
    <row r="388" spans="2:9" ht="14">
      <c r="B388" s="349" t="s">
        <v>141</v>
      </c>
      <c r="C388" s="253" t="s">
        <v>214</v>
      </c>
      <c r="D388" s="253" t="s">
        <v>177</v>
      </c>
      <c r="E388" s="253">
        <v>30</v>
      </c>
      <c r="F388" s="253">
        <v>36</v>
      </c>
      <c r="G388" s="253">
        <v>51</v>
      </c>
      <c r="H388" s="253">
        <v>40</v>
      </c>
      <c r="I388" s="350" t="s">
        <v>194</v>
      </c>
    </row>
    <row r="389" spans="2:9" ht="14">
      <c r="B389" s="349" t="s">
        <v>153</v>
      </c>
      <c r="C389" s="253" t="s">
        <v>70</v>
      </c>
      <c r="D389" s="253" t="s">
        <v>177</v>
      </c>
      <c r="E389" s="253">
        <v>26</v>
      </c>
      <c r="F389" s="253">
        <v>30</v>
      </c>
      <c r="G389" s="253">
        <v>70</v>
      </c>
      <c r="H389" s="253">
        <v>45</v>
      </c>
      <c r="I389" s="350" t="s">
        <v>194</v>
      </c>
    </row>
    <row r="390" spans="2:9" ht="14">
      <c r="B390" s="349" t="s">
        <v>598</v>
      </c>
      <c r="C390" s="253" t="s">
        <v>186</v>
      </c>
      <c r="D390" s="253" t="s">
        <v>177</v>
      </c>
      <c r="E390" s="253">
        <v>25</v>
      </c>
      <c r="F390" s="253">
        <v>45</v>
      </c>
      <c r="G390" s="253">
        <v>65</v>
      </c>
      <c r="H390" s="253">
        <v>46</v>
      </c>
      <c r="I390" s="350" t="s">
        <v>178</v>
      </c>
    </row>
    <row r="391" spans="2:9" ht="14">
      <c r="B391" s="349" t="s">
        <v>599</v>
      </c>
      <c r="C391" s="253" t="s">
        <v>17</v>
      </c>
      <c r="D391" s="253" t="s">
        <v>177</v>
      </c>
      <c r="E391" s="253">
        <v>48</v>
      </c>
      <c r="F391" s="253">
        <v>56</v>
      </c>
      <c r="G391" s="253">
        <v>75</v>
      </c>
      <c r="H391" s="253">
        <v>60</v>
      </c>
      <c r="I391" s="350" t="s">
        <v>178</v>
      </c>
    </row>
    <row r="392" spans="2:9" ht="14">
      <c r="B392" s="349" t="s">
        <v>600</v>
      </c>
      <c r="C392" s="253" t="s">
        <v>342</v>
      </c>
      <c r="D392" s="253" t="s">
        <v>177</v>
      </c>
      <c r="E392" s="253">
        <v>42</v>
      </c>
      <c r="F392" s="253">
        <v>47</v>
      </c>
      <c r="G392" s="253">
        <v>67</v>
      </c>
      <c r="H392" s="253">
        <v>54</v>
      </c>
      <c r="I392" s="350" t="s">
        <v>178</v>
      </c>
    </row>
    <row r="393" spans="2:9" ht="14">
      <c r="B393" s="349" t="s">
        <v>601</v>
      </c>
      <c r="C393" s="253" t="s">
        <v>212</v>
      </c>
      <c r="D393" s="253" t="s">
        <v>177</v>
      </c>
      <c r="E393" s="253">
        <v>45</v>
      </c>
      <c r="F393" s="253">
        <v>54</v>
      </c>
      <c r="G393" s="253">
        <v>73</v>
      </c>
      <c r="H393" s="253">
        <v>59</v>
      </c>
      <c r="I393" s="350" t="s">
        <v>178</v>
      </c>
    </row>
    <row r="394" spans="2:9" ht="14">
      <c r="B394" s="349" t="s">
        <v>146</v>
      </c>
      <c r="C394" s="253" t="s">
        <v>195</v>
      </c>
      <c r="D394" s="253" t="s">
        <v>177</v>
      </c>
      <c r="E394" s="253">
        <v>65</v>
      </c>
      <c r="F394" s="253">
        <v>64</v>
      </c>
      <c r="G394" s="253">
        <v>56</v>
      </c>
      <c r="H394" s="253">
        <v>61</v>
      </c>
      <c r="I394" s="350" t="s">
        <v>184</v>
      </c>
    </row>
    <row r="395" spans="2:9" ht="14">
      <c r="B395" s="349" t="s">
        <v>602</v>
      </c>
      <c r="C395" s="253" t="s">
        <v>206</v>
      </c>
      <c r="D395" s="253" t="s">
        <v>177</v>
      </c>
      <c r="E395" s="253">
        <v>34</v>
      </c>
      <c r="F395" s="253">
        <v>45</v>
      </c>
      <c r="G395" s="253">
        <v>62</v>
      </c>
      <c r="H395" s="253">
        <v>48</v>
      </c>
      <c r="I395" s="350" t="s">
        <v>178</v>
      </c>
    </row>
    <row r="396" spans="2:9" ht="14">
      <c r="B396" s="349" t="s">
        <v>603</v>
      </c>
      <c r="C396" s="253" t="s">
        <v>68</v>
      </c>
      <c r="D396" s="253" t="s">
        <v>177</v>
      </c>
      <c r="E396" s="253">
        <v>47</v>
      </c>
      <c r="F396" s="253">
        <v>47</v>
      </c>
      <c r="G396" s="253">
        <v>69</v>
      </c>
      <c r="H396" s="253">
        <v>55</v>
      </c>
      <c r="I396" s="350" t="s">
        <v>178</v>
      </c>
    </row>
    <row r="397" spans="2:9" ht="14">
      <c r="B397" s="349" t="s">
        <v>604</v>
      </c>
      <c r="C397" s="253" t="s">
        <v>198</v>
      </c>
      <c r="D397" s="253" t="s">
        <v>177</v>
      </c>
      <c r="E397" s="253">
        <v>30</v>
      </c>
      <c r="F397" s="253">
        <v>48</v>
      </c>
      <c r="G397" s="253">
        <v>70</v>
      </c>
      <c r="H397" s="253">
        <v>51</v>
      </c>
      <c r="I397" s="350" t="s">
        <v>178</v>
      </c>
    </row>
    <row r="398" spans="2:9" ht="14">
      <c r="B398" s="349" t="s">
        <v>605</v>
      </c>
      <c r="C398" s="253" t="s">
        <v>276</v>
      </c>
      <c r="D398" s="253" t="s">
        <v>177</v>
      </c>
      <c r="E398" s="253">
        <v>34</v>
      </c>
      <c r="F398" s="253">
        <v>42</v>
      </c>
      <c r="G398" s="253">
        <v>72</v>
      </c>
      <c r="H398" s="253">
        <v>51</v>
      </c>
      <c r="I398" s="350" t="s">
        <v>178</v>
      </c>
    </row>
    <row r="399" spans="2:9" ht="14">
      <c r="B399" s="349" t="s">
        <v>606</v>
      </c>
      <c r="C399" s="253" t="s">
        <v>198</v>
      </c>
      <c r="D399" s="253" t="s">
        <v>177</v>
      </c>
      <c r="E399" s="253">
        <v>45</v>
      </c>
      <c r="F399" s="253">
        <v>63</v>
      </c>
      <c r="G399" s="253">
        <v>66</v>
      </c>
      <c r="H399" s="253">
        <v>58</v>
      </c>
      <c r="I399" s="350" t="s">
        <v>178</v>
      </c>
    </row>
    <row r="400" spans="2:9" ht="14">
      <c r="B400" s="349" t="s">
        <v>607</v>
      </c>
      <c r="C400" s="253" t="s">
        <v>195</v>
      </c>
      <c r="D400" s="253" t="s">
        <v>183</v>
      </c>
      <c r="E400" s="253">
        <v>50</v>
      </c>
      <c r="F400" s="253">
        <v>41</v>
      </c>
      <c r="G400" s="253">
        <v>66</v>
      </c>
      <c r="H400" s="253">
        <v>54</v>
      </c>
      <c r="I400" s="350" t="s">
        <v>178</v>
      </c>
    </row>
    <row r="401" spans="2:9" ht="14">
      <c r="B401" s="349" t="s">
        <v>608</v>
      </c>
      <c r="C401" s="253" t="s">
        <v>70</v>
      </c>
      <c r="D401" s="253" t="s">
        <v>177</v>
      </c>
      <c r="E401" s="253">
        <v>28</v>
      </c>
      <c r="F401" s="253">
        <v>51</v>
      </c>
      <c r="G401" s="253">
        <v>59</v>
      </c>
      <c r="H401" s="253">
        <v>46</v>
      </c>
      <c r="I401" s="350" t="s">
        <v>178</v>
      </c>
    </row>
    <row r="402" spans="2:9" ht="14">
      <c r="B402" s="349" t="s">
        <v>609</v>
      </c>
      <c r="C402" s="253" t="s">
        <v>84</v>
      </c>
      <c r="D402" s="253" t="s">
        <v>177</v>
      </c>
      <c r="E402" s="253">
        <v>46</v>
      </c>
      <c r="F402" s="253">
        <v>46</v>
      </c>
      <c r="G402" s="253">
        <v>64</v>
      </c>
      <c r="H402" s="253">
        <v>53</v>
      </c>
      <c r="I402" s="350" t="s">
        <v>178</v>
      </c>
    </row>
    <row r="403" spans="2:9" ht="14">
      <c r="B403" s="349" t="s">
        <v>610</v>
      </c>
      <c r="C403" s="253" t="s">
        <v>611</v>
      </c>
      <c r="D403" s="253" t="s">
        <v>177</v>
      </c>
      <c r="E403" s="253">
        <v>35</v>
      </c>
      <c r="F403" s="253">
        <v>55</v>
      </c>
      <c r="G403" s="253">
        <v>61</v>
      </c>
      <c r="H403" s="253">
        <v>51</v>
      </c>
      <c r="I403" s="350" t="s">
        <v>178</v>
      </c>
    </row>
    <row r="404" spans="2:9" ht="14">
      <c r="B404" s="349" t="s">
        <v>612</v>
      </c>
      <c r="C404" s="253" t="s">
        <v>68</v>
      </c>
      <c r="D404" s="253" t="s">
        <v>177</v>
      </c>
      <c r="E404" s="253">
        <v>41</v>
      </c>
      <c r="F404" s="253">
        <v>37</v>
      </c>
      <c r="G404" s="253">
        <v>50</v>
      </c>
      <c r="H404" s="253">
        <v>43</v>
      </c>
      <c r="I404" s="350" t="s">
        <v>194</v>
      </c>
    </row>
    <row r="405" spans="2:9" ht="14">
      <c r="B405" s="349" t="s">
        <v>613</v>
      </c>
      <c r="C405" s="253" t="s">
        <v>212</v>
      </c>
      <c r="D405" s="253" t="s">
        <v>177</v>
      </c>
      <c r="E405" s="253">
        <v>42</v>
      </c>
      <c r="F405" s="253">
        <v>58</v>
      </c>
      <c r="G405" s="253">
        <v>74</v>
      </c>
      <c r="H405" s="253">
        <v>59</v>
      </c>
      <c r="I405" s="350" t="s">
        <v>178</v>
      </c>
    </row>
    <row r="406" spans="2:9" ht="14">
      <c r="B406" s="349" t="s">
        <v>614</v>
      </c>
      <c r="C406" s="253" t="s">
        <v>70</v>
      </c>
      <c r="D406" s="253" t="s">
        <v>177</v>
      </c>
      <c r="E406" s="253">
        <v>36</v>
      </c>
      <c r="F406" s="253">
        <v>45</v>
      </c>
      <c r="G406" s="253">
        <v>77</v>
      </c>
      <c r="H406" s="253">
        <v>54</v>
      </c>
      <c r="I406" s="350" t="s">
        <v>178</v>
      </c>
    </row>
    <row r="407" spans="2:9" ht="14">
      <c r="B407" s="349" t="s">
        <v>615</v>
      </c>
      <c r="C407" s="253" t="s">
        <v>256</v>
      </c>
      <c r="D407" s="253" t="s">
        <v>177</v>
      </c>
      <c r="E407" s="253">
        <v>33</v>
      </c>
      <c r="F407" s="253">
        <v>46</v>
      </c>
      <c r="G407" s="253">
        <v>77</v>
      </c>
      <c r="H407" s="253">
        <v>54</v>
      </c>
      <c r="I407" s="350" t="s">
        <v>178</v>
      </c>
    </row>
    <row r="408" spans="2:9" ht="14">
      <c r="B408" s="349" t="s">
        <v>616</v>
      </c>
      <c r="C408" s="253" t="s">
        <v>186</v>
      </c>
      <c r="D408" s="253" t="s">
        <v>177</v>
      </c>
      <c r="E408" s="253">
        <v>24</v>
      </c>
      <c r="F408" s="253">
        <v>38</v>
      </c>
      <c r="G408" s="253">
        <v>61</v>
      </c>
      <c r="H408" s="253">
        <v>42</v>
      </c>
      <c r="I408" s="350" t="s">
        <v>194</v>
      </c>
    </row>
    <row r="409" spans="2:9" ht="14">
      <c r="B409" s="349" t="s">
        <v>617</v>
      </c>
      <c r="C409" s="253" t="s">
        <v>206</v>
      </c>
      <c r="D409" s="253" t="s">
        <v>177</v>
      </c>
      <c r="E409" s="253">
        <v>58</v>
      </c>
      <c r="F409" s="253">
        <v>51</v>
      </c>
      <c r="G409" s="253">
        <v>62</v>
      </c>
      <c r="H409" s="253">
        <v>58</v>
      </c>
      <c r="I409" s="350" t="s">
        <v>178</v>
      </c>
    </row>
    <row r="410" spans="2:9" ht="14">
      <c r="B410" s="349" t="s">
        <v>618</v>
      </c>
      <c r="C410" s="253" t="s">
        <v>204</v>
      </c>
      <c r="D410" s="253" t="s">
        <v>183</v>
      </c>
      <c r="E410" s="253">
        <v>68</v>
      </c>
      <c r="F410" s="253">
        <v>63</v>
      </c>
      <c r="G410" s="253">
        <v>45</v>
      </c>
      <c r="H410" s="253">
        <v>57</v>
      </c>
      <c r="I410" s="350" t="s">
        <v>178</v>
      </c>
    </row>
    <row r="411" spans="2:9" ht="14">
      <c r="B411" s="349" t="s">
        <v>619</v>
      </c>
      <c r="C411" s="253" t="s">
        <v>180</v>
      </c>
      <c r="D411" s="253" t="s">
        <v>177</v>
      </c>
      <c r="E411" s="253">
        <v>33</v>
      </c>
      <c r="F411" s="253">
        <v>37</v>
      </c>
      <c r="G411" s="253">
        <v>59</v>
      </c>
      <c r="H411" s="253">
        <v>44</v>
      </c>
      <c r="I411" s="350" t="s">
        <v>194</v>
      </c>
    </row>
    <row r="412" spans="2:9" ht="14">
      <c r="B412" s="349" t="s">
        <v>620</v>
      </c>
      <c r="C412" s="253" t="s">
        <v>17</v>
      </c>
      <c r="D412" s="253" t="s">
        <v>177</v>
      </c>
      <c r="E412" s="253">
        <v>38</v>
      </c>
      <c r="F412" s="253">
        <v>46</v>
      </c>
      <c r="G412" s="253">
        <v>61</v>
      </c>
      <c r="H412" s="253">
        <v>49</v>
      </c>
      <c r="I412" s="350" t="s">
        <v>178</v>
      </c>
    </row>
    <row r="413" spans="2:9" ht="14">
      <c r="B413" s="349" t="s">
        <v>621</v>
      </c>
      <c r="C413" s="253" t="s">
        <v>68</v>
      </c>
      <c r="D413" s="253" t="s">
        <v>177</v>
      </c>
      <c r="E413" s="253">
        <v>41</v>
      </c>
      <c r="F413" s="253">
        <v>45</v>
      </c>
      <c r="G413" s="253">
        <v>54</v>
      </c>
      <c r="H413" s="253">
        <v>47</v>
      </c>
      <c r="I413" s="350" t="s">
        <v>178</v>
      </c>
    </row>
    <row r="414" spans="2:9" ht="14">
      <c r="B414" s="349" t="s">
        <v>622</v>
      </c>
      <c r="C414" s="253" t="s">
        <v>186</v>
      </c>
      <c r="D414" s="253" t="s">
        <v>177</v>
      </c>
      <c r="E414" s="253">
        <v>48</v>
      </c>
      <c r="F414" s="253">
        <v>43</v>
      </c>
      <c r="G414" s="253">
        <v>66</v>
      </c>
      <c r="H414" s="253">
        <v>54</v>
      </c>
      <c r="I414" s="350" t="s">
        <v>178</v>
      </c>
    </row>
    <row r="415" spans="2:9" ht="14">
      <c r="B415" s="349" t="s">
        <v>623</v>
      </c>
      <c r="C415" s="253" t="s">
        <v>212</v>
      </c>
      <c r="D415" s="253" t="s">
        <v>177</v>
      </c>
      <c r="E415" s="253">
        <v>54</v>
      </c>
      <c r="F415" s="253">
        <v>60</v>
      </c>
      <c r="G415" s="253">
        <v>74</v>
      </c>
      <c r="H415" s="253">
        <v>64</v>
      </c>
      <c r="I415" s="350" t="s">
        <v>184</v>
      </c>
    </row>
    <row r="416" spans="2:9" ht="14">
      <c r="B416" s="349" t="s">
        <v>624</v>
      </c>
      <c r="C416" s="253" t="s">
        <v>200</v>
      </c>
      <c r="D416" s="253" t="s">
        <v>177</v>
      </c>
      <c r="E416" s="253">
        <v>34</v>
      </c>
      <c r="F416" s="253">
        <v>50</v>
      </c>
      <c r="G416" s="253">
        <v>70</v>
      </c>
      <c r="H416" s="253">
        <v>52</v>
      </c>
      <c r="I416" s="350" t="s">
        <v>178</v>
      </c>
    </row>
    <row r="417" spans="2:9" ht="14">
      <c r="B417" s="349" t="s">
        <v>625</v>
      </c>
      <c r="C417" s="253" t="s">
        <v>53</v>
      </c>
      <c r="D417" s="253" t="s">
        <v>177</v>
      </c>
      <c r="E417" s="253">
        <v>37</v>
      </c>
      <c r="F417" s="253">
        <v>46</v>
      </c>
      <c r="G417" s="253">
        <v>68</v>
      </c>
      <c r="H417" s="253">
        <v>51</v>
      </c>
      <c r="I417" s="350" t="s">
        <v>178</v>
      </c>
    </row>
    <row r="418" spans="2:9" ht="14">
      <c r="B418" s="349" t="s">
        <v>626</v>
      </c>
      <c r="C418" s="253" t="s">
        <v>84</v>
      </c>
      <c r="D418" s="253" t="s">
        <v>177</v>
      </c>
      <c r="E418" s="253">
        <v>48</v>
      </c>
      <c r="F418" s="253">
        <v>48</v>
      </c>
      <c r="G418" s="253">
        <v>62</v>
      </c>
      <c r="H418" s="253">
        <v>54</v>
      </c>
      <c r="I418" s="350" t="s">
        <v>178</v>
      </c>
    </row>
    <row r="419" spans="2:9" ht="14">
      <c r="B419" s="349" t="s">
        <v>627</v>
      </c>
      <c r="C419" s="253" t="s">
        <v>186</v>
      </c>
      <c r="D419" s="253" t="s">
        <v>177</v>
      </c>
      <c r="E419" s="253">
        <v>49</v>
      </c>
      <c r="F419" s="253">
        <v>54</v>
      </c>
      <c r="G419" s="253">
        <v>69</v>
      </c>
      <c r="H419" s="253">
        <v>58</v>
      </c>
      <c r="I419" s="350" t="s">
        <v>178</v>
      </c>
    </row>
    <row r="420" spans="2:9" ht="14">
      <c r="B420" s="349" t="s">
        <v>628</v>
      </c>
      <c r="C420" s="253" t="s">
        <v>186</v>
      </c>
      <c r="D420" s="253" t="s">
        <v>177</v>
      </c>
      <c r="E420" s="253">
        <v>53</v>
      </c>
      <c r="F420" s="253">
        <v>57</v>
      </c>
      <c r="G420" s="253">
        <v>69</v>
      </c>
      <c r="H420" s="253">
        <v>61</v>
      </c>
      <c r="I420" s="350" t="s">
        <v>184</v>
      </c>
    </row>
    <row r="421" spans="2:9" ht="14">
      <c r="B421" s="349" t="s">
        <v>629</v>
      </c>
      <c r="C421" s="253" t="s">
        <v>182</v>
      </c>
      <c r="D421" s="253" t="s">
        <v>183</v>
      </c>
      <c r="E421" s="253">
        <v>59</v>
      </c>
      <c r="F421" s="253">
        <v>53</v>
      </c>
      <c r="G421" s="253">
        <v>34</v>
      </c>
      <c r="H421" s="253">
        <v>48</v>
      </c>
      <c r="I421" s="350" t="s">
        <v>178</v>
      </c>
    </row>
    <row r="422" spans="2:9" ht="14">
      <c r="B422" s="349" t="s">
        <v>630</v>
      </c>
      <c r="C422" s="253" t="s">
        <v>182</v>
      </c>
      <c r="D422" s="253" t="s">
        <v>177</v>
      </c>
      <c r="E422" s="253">
        <v>57</v>
      </c>
      <c r="F422" s="253">
        <v>50</v>
      </c>
      <c r="G422" s="253">
        <v>64</v>
      </c>
      <c r="H422" s="253">
        <v>58</v>
      </c>
      <c r="I422" s="350" t="s">
        <v>178</v>
      </c>
    </row>
    <row r="423" spans="2:9" ht="14">
      <c r="B423" s="349" t="s">
        <v>631</v>
      </c>
      <c r="C423" s="253" t="s">
        <v>180</v>
      </c>
      <c r="D423" s="253" t="s">
        <v>177</v>
      </c>
      <c r="E423" s="253">
        <v>34</v>
      </c>
      <c r="F423" s="253">
        <v>39</v>
      </c>
      <c r="G423" s="253">
        <v>64</v>
      </c>
      <c r="H423" s="253">
        <v>47</v>
      </c>
      <c r="I423" s="350" t="s">
        <v>178</v>
      </c>
    </row>
    <row r="424" spans="2:9" ht="14">
      <c r="B424" s="349" t="s">
        <v>632</v>
      </c>
      <c r="C424" s="253" t="s">
        <v>182</v>
      </c>
      <c r="D424" s="253" t="s">
        <v>177</v>
      </c>
      <c r="E424" s="253">
        <v>62</v>
      </c>
      <c r="F424" s="253">
        <v>51</v>
      </c>
      <c r="G424" s="253">
        <v>70</v>
      </c>
      <c r="H424" s="253">
        <v>62</v>
      </c>
      <c r="I424" s="350" t="s">
        <v>184</v>
      </c>
    </row>
    <row r="425" spans="2:9" ht="14">
      <c r="B425" s="349" t="s">
        <v>633</v>
      </c>
      <c r="C425" s="253" t="s">
        <v>239</v>
      </c>
      <c r="D425" s="253" t="s">
        <v>177</v>
      </c>
      <c r="E425" s="253">
        <v>20</v>
      </c>
      <c r="F425" s="253">
        <v>41</v>
      </c>
      <c r="G425" s="253">
        <v>61</v>
      </c>
      <c r="H425" s="253">
        <v>42</v>
      </c>
      <c r="I425" s="350" t="s">
        <v>194</v>
      </c>
    </row>
    <row r="426" spans="2:9" ht="14">
      <c r="B426" s="349" t="s">
        <v>634</v>
      </c>
      <c r="C426" s="253" t="s">
        <v>256</v>
      </c>
      <c r="D426" s="253" t="s">
        <v>177</v>
      </c>
      <c r="E426" s="253">
        <v>41</v>
      </c>
      <c r="F426" s="253">
        <v>56</v>
      </c>
      <c r="G426" s="253">
        <v>68</v>
      </c>
      <c r="H426" s="253">
        <v>56</v>
      </c>
      <c r="I426" s="350" t="s">
        <v>178</v>
      </c>
    </row>
    <row r="427" spans="2:9" ht="14">
      <c r="B427" s="349" t="s">
        <v>635</v>
      </c>
      <c r="C427" s="253" t="s">
        <v>636</v>
      </c>
      <c r="D427" s="253" t="s">
        <v>177</v>
      </c>
      <c r="E427" s="253">
        <v>46</v>
      </c>
      <c r="F427" s="253">
        <v>68</v>
      </c>
      <c r="G427" s="253">
        <v>62</v>
      </c>
      <c r="H427" s="253">
        <v>58</v>
      </c>
      <c r="I427" s="350" t="s">
        <v>178</v>
      </c>
    </row>
    <row r="428" spans="2:9" ht="14">
      <c r="B428" s="349" t="s">
        <v>637</v>
      </c>
      <c r="C428" s="253" t="s">
        <v>638</v>
      </c>
      <c r="D428" s="253" t="s">
        <v>177</v>
      </c>
      <c r="E428" s="253">
        <v>56</v>
      </c>
      <c r="F428" s="253">
        <v>58</v>
      </c>
      <c r="G428" s="253">
        <v>62</v>
      </c>
      <c r="H428" s="253">
        <v>59</v>
      </c>
      <c r="I428" s="350" t="s">
        <v>178</v>
      </c>
    </row>
    <row r="429" spans="2:9" ht="14">
      <c r="B429" s="349" t="s">
        <v>639</v>
      </c>
      <c r="C429" s="253" t="s">
        <v>214</v>
      </c>
      <c r="D429" s="253" t="s">
        <v>177</v>
      </c>
      <c r="E429" s="253">
        <v>30</v>
      </c>
      <c r="F429" s="253">
        <v>44</v>
      </c>
      <c r="G429" s="253">
        <v>62</v>
      </c>
      <c r="H429" s="253">
        <v>46</v>
      </c>
      <c r="I429" s="350" t="s">
        <v>178</v>
      </c>
    </row>
    <row r="430" spans="2:9" ht="14">
      <c r="B430" s="349" t="s">
        <v>640</v>
      </c>
      <c r="C430" s="253" t="s">
        <v>180</v>
      </c>
      <c r="D430" s="253" t="s">
        <v>177</v>
      </c>
      <c r="E430" s="253">
        <v>32</v>
      </c>
      <c r="F430" s="253">
        <v>37</v>
      </c>
      <c r="G430" s="253">
        <v>63</v>
      </c>
      <c r="H430" s="253">
        <v>46</v>
      </c>
      <c r="I430" s="350" t="s">
        <v>178</v>
      </c>
    </row>
    <row r="431" spans="2:9" ht="14">
      <c r="B431" s="349" t="s">
        <v>641</v>
      </c>
      <c r="C431" s="253" t="s">
        <v>84</v>
      </c>
      <c r="D431" s="253" t="s">
        <v>177</v>
      </c>
      <c r="E431" s="253">
        <v>38</v>
      </c>
      <c r="F431" s="253">
        <v>46</v>
      </c>
      <c r="G431" s="253">
        <v>60</v>
      </c>
      <c r="H431" s="253">
        <v>49</v>
      </c>
      <c r="I431" s="350" t="s">
        <v>178</v>
      </c>
    </row>
    <row r="432" spans="2:9" ht="14">
      <c r="B432" s="349" t="s">
        <v>642</v>
      </c>
      <c r="C432" s="253" t="s">
        <v>243</v>
      </c>
      <c r="D432" s="253" t="s">
        <v>177</v>
      </c>
      <c r="E432" s="253">
        <v>41</v>
      </c>
      <c r="F432" s="253">
        <v>41</v>
      </c>
      <c r="G432" s="253">
        <v>71</v>
      </c>
      <c r="H432" s="253">
        <v>53</v>
      </c>
      <c r="I432" s="350" t="s">
        <v>178</v>
      </c>
    </row>
    <row r="433" spans="2:9" ht="14">
      <c r="B433" s="349" t="s">
        <v>643</v>
      </c>
      <c r="C433" s="253" t="s">
        <v>70</v>
      </c>
      <c r="D433" s="253" t="s">
        <v>177</v>
      </c>
      <c r="E433" s="253">
        <v>45</v>
      </c>
      <c r="F433" s="253">
        <v>44</v>
      </c>
      <c r="G433" s="253">
        <v>68</v>
      </c>
      <c r="H433" s="253">
        <v>54</v>
      </c>
      <c r="I433" s="350" t="s">
        <v>178</v>
      </c>
    </row>
    <row r="434" spans="2:9" ht="14">
      <c r="B434" s="349" t="s">
        <v>644</v>
      </c>
      <c r="C434" s="253" t="s">
        <v>17</v>
      </c>
      <c r="D434" s="253" t="s">
        <v>177</v>
      </c>
      <c r="E434" s="253">
        <v>41</v>
      </c>
      <c r="F434" s="253">
        <v>46</v>
      </c>
      <c r="G434" s="253">
        <v>76</v>
      </c>
      <c r="H434" s="253">
        <v>56</v>
      </c>
      <c r="I434" s="350" t="s">
        <v>178</v>
      </c>
    </row>
    <row r="435" spans="2:9" ht="14">
      <c r="B435" s="349" t="s">
        <v>645</v>
      </c>
      <c r="C435" s="253" t="s">
        <v>17</v>
      </c>
      <c r="D435" s="253" t="s">
        <v>177</v>
      </c>
      <c r="E435" s="253">
        <v>46</v>
      </c>
      <c r="F435" s="253">
        <v>43</v>
      </c>
      <c r="G435" s="253">
        <v>70</v>
      </c>
      <c r="H435" s="253">
        <v>55</v>
      </c>
      <c r="I435" s="350" t="s">
        <v>178</v>
      </c>
    </row>
    <row r="436" spans="2:9" ht="14">
      <c r="B436" s="349" t="s">
        <v>646</v>
      </c>
      <c r="C436" s="253" t="s">
        <v>239</v>
      </c>
      <c r="D436" s="253" t="s">
        <v>183</v>
      </c>
      <c r="E436" s="253">
        <v>20</v>
      </c>
      <c r="F436" s="253">
        <v>26</v>
      </c>
      <c r="G436" s="253">
        <v>39</v>
      </c>
      <c r="H436" s="253">
        <v>29</v>
      </c>
      <c r="I436" s="350" t="s">
        <v>647</v>
      </c>
    </row>
    <row r="437" spans="2:9" ht="14">
      <c r="B437" s="349" t="s">
        <v>648</v>
      </c>
      <c r="C437" s="253" t="s">
        <v>182</v>
      </c>
      <c r="D437" s="253" t="s">
        <v>177</v>
      </c>
      <c r="E437" s="253">
        <v>62</v>
      </c>
      <c r="F437" s="253">
        <v>61</v>
      </c>
      <c r="G437" s="253">
        <v>54</v>
      </c>
      <c r="H437" s="253">
        <v>59</v>
      </c>
      <c r="I437" s="350" t="s">
        <v>178</v>
      </c>
    </row>
    <row r="438" spans="2:9" ht="14">
      <c r="B438" s="349" t="s">
        <v>649</v>
      </c>
      <c r="C438" s="253" t="s">
        <v>182</v>
      </c>
      <c r="D438" s="253" t="s">
        <v>177</v>
      </c>
      <c r="E438" s="253">
        <v>57</v>
      </c>
      <c r="F438" s="253">
        <v>62</v>
      </c>
      <c r="G438" s="253">
        <v>52</v>
      </c>
      <c r="H438" s="253">
        <v>56</v>
      </c>
      <c r="I438" s="350" t="s">
        <v>178</v>
      </c>
    </row>
    <row r="439" spans="2:9" ht="14">
      <c r="B439" s="349" t="s">
        <v>650</v>
      </c>
      <c r="C439" s="253" t="s">
        <v>342</v>
      </c>
      <c r="D439" s="253" t="s">
        <v>177</v>
      </c>
      <c r="E439" s="253">
        <v>47</v>
      </c>
      <c r="F439" s="253">
        <v>45</v>
      </c>
      <c r="G439" s="253">
        <v>58</v>
      </c>
      <c r="H439" s="253">
        <v>50</v>
      </c>
      <c r="I439" s="350" t="s">
        <v>178</v>
      </c>
    </row>
    <row r="440" spans="2:9" ht="14">
      <c r="B440" s="349" t="s">
        <v>651</v>
      </c>
      <c r="C440" s="253" t="s">
        <v>652</v>
      </c>
      <c r="D440" s="253" t="s">
        <v>177</v>
      </c>
      <c r="E440" s="253">
        <v>52</v>
      </c>
      <c r="F440" s="253">
        <v>51</v>
      </c>
      <c r="G440" s="253">
        <v>68</v>
      </c>
      <c r="H440" s="253">
        <v>58</v>
      </c>
      <c r="I440" s="350" t="s">
        <v>178</v>
      </c>
    </row>
    <row r="441" spans="2:9" ht="14">
      <c r="B441" s="349" t="s">
        <v>653</v>
      </c>
      <c r="C441" s="253" t="s">
        <v>17</v>
      </c>
      <c r="D441" s="253" t="s">
        <v>177</v>
      </c>
      <c r="E441" s="253">
        <v>47</v>
      </c>
      <c r="F441" s="253">
        <v>37</v>
      </c>
      <c r="G441" s="253">
        <v>67</v>
      </c>
      <c r="H441" s="253">
        <v>52</v>
      </c>
      <c r="I441" s="350" t="s">
        <v>178</v>
      </c>
    </row>
    <row r="442" spans="2:9" ht="14">
      <c r="B442" s="349" t="s">
        <v>654</v>
      </c>
      <c r="C442" s="253" t="s">
        <v>282</v>
      </c>
      <c r="D442" s="253" t="s">
        <v>177</v>
      </c>
      <c r="E442" s="253">
        <v>35</v>
      </c>
      <c r="F442" s="253">
        <v>43</v>
      </c>
      <c r="G442" s="253">
        <v>64</v>
      </c>
      <c r="H442" s="253">
        <v>48</v>
      </c>
      <c r="I442" s="350" t="s">
        <v>178</v>
      </c>
    </row>
    <row r="443" spans="2:9" ht="14">
      <c r="B443" s="349" t="s">
        <v>655</v>
      </c>
      <c r="C443" s="253" t="s">
        <v>86</v>
      </c>
      <c r="D443" s="253" t="s">
        <v>177</v>
      </c>
      <c r="E443" s="253">
        <v>38</v>
      </c>
      <c r="F443" s="253">
        <v>43</v>
      </c>
      <c r="G443" s="253">
        <v>61</v>
      </c>
      <c r="H443" s="253">
        <v>48</v>
      </c>
      <c r="I443" s="350" t="s">
        <v>178</v>
      </c>
    </row>
    <row r="444" spans="2:9" ht="14">
      <c r="B444" s="349" t="s">
        <v>656</v>
      </c>
      <c r="C444" s="253" t="s">
        <v>231</v>
      </c>
      <c r="D444" s="253" t="s">
        <v>177</v>
      </c>
      <c r="E444" s="253">
        <v>27</v>
      </c>
      <c r="F444" s="253">
        <v>38</v>
      </c>
      <c r="G444" s="253">
        <v>69</v>
      </c>
      <c r="H444" s="253">
        <v>46</v>
      </c>
      <c r="I444" s="350" t="s">
        <v>178</v>
      </c>
    </row>
    <row r="445" spans="2:9" ht="14">
      <c r="B445" s="349" t="s">
        <v>657</v>
      </c>
      <c r="C445" s="253" t="s">
        <v>186</v>
      </c>
      <c r="D445" s="253" t="s">
        <v>177</v>
      </c>
      <c r="E445" s="253">
        <v>43</v>
      </c>
      <c r="F445" s="253">
        <v>61</v>
      </c>
      <c r="G445" s="253">
        <v>69</v>
      </c>
      <c r="H445" s="253">
        <v>58</v>
      </c>
      <c r="I445" s="350" t="s">
        <v>178</v>
      </c>
    </row>
    <row r="446" spans="2:9" ht="14">
      <c r="B446" s="349" t="s">
        <v>658</v>
      </c>
      <c r="C446" s="253" t="s">
        <v>212</v>
      </c>
      <c r="D446" s="253" t="s">
        <v>177</v>
      </c>
      <c r="E446" s="253">
        <v>44</v>
      </c>
      <c r="F446" s="253">
        <v>61</v>
      </c>
      <c r="G446" s="253">
        <v>71</v>
      </c>
      <c r="H446" s="253">
        <v>59</v>
      </c>
      <c r="I446" s="350" t="s">
        <v>178</v>
      </c>
    </row>
    <row r="447" spans="2:9" ht="14">
      <c r="B447" s="349" t="s">
        <v>659</v>
      </c>
      <c r="C447" s="253" t="s">
        <v>231</v>
      </c>
      <c r="D447" s="253" t="s">
        <v>177</v>
      </c>
      <c r="E447" s="253">
        <v>28</v>
      </c>
      <c r="F447" s="253">
        <v>42</v>
      </c>
      <c r="G447" s="253">
        <v>60</v>
      </c>
      <c r="H447" s="253">
        <v>44</v>
      </c>
      <c r="I447" s="350" t="s">
        <v>194</v>
      </c>
    </row>
    <row r="448" spans="2:9" ht="14">
      <c r="B448" s="349" t="s">
        <v>660</v>
      </c>
      <c r="C448" s="253" t="s">
        <v>182</v>
      </c>
      <c r="D448" s="253" t="s">
        <v>177</v>
      </c>
      <c r="E448" s="253">
        <v>69</v>
      </c>
      <c r="F448" s="253">
        <v>62</v>
      </c>
      <c r="G448" s="253">
        <v>60</v>
      </c>
      <c r="H448" s="253">
        <v>63</v>
      </c>
      <c r="I448" s="350" t="s">
        <v>184</v>
      </c>
    </row>
    <row r="449" spans="2:9" ht="14">
      <c r="B449" s="349" t="s">
        <v>661</v>
      </c>
      <c r="C449" s="253" t="s">
        <v>636</v>
      </c>
      <c r="D449" s="253" t="s">
        <v>177</v>
      </c>
      <c r="E449" s="253">
        <v>49</v>
      </c>
      <c r="F449" s="253">
        <v>66</v>
      </c>
      <c r="G449" s="253">
        <v>61</v>
      </c>
      <c r="H449" s="253">
        <v>58</v>
      </c>
      <c r="I449" s="350" t="s">
        <v>178</v>
      </c>
    </row>
    <row r="450" spans="2:9" ht="14">
      <c r="B450" s="349" t="s">
        <v>662</v>
      </c>
      <c r="C450" s="253" t="s">
        <v>193</v>
      </c>
      <c r="D450" s="253" t="s">
        <v>177</v>
      </c>
      <c r="E450" s="253">
        <v>36</v>
      </c>
      <c r="F450" s="253">
        <v>49</v>
      </c>
      <c r="G450" s="253">
        <v>69</v>
      </c>
      <c r="H450" s="253">
        <v>52</v>
      </c>
      <c r="I450" s="350" t="s">
        <v>178</v>
      </c>
    </row>
    <row r="451" spans="2:9" ht="14">
      <c r="B451" s="349" t="s">
        <v>663</v>
      </c>
      <c r="C451" s="253" t="s">
        <v>206</v>
      </c>
      <c r="D451" s="253" t="s">
        <v>177</v>
      </c>
      <c r="E451" s="253">
        <v>37</v>
      </c>
      <c r="F451" s="253">
        <v>48</v>
      </c>
      <c r="G451" s="253">
        <v>65</v>
      </c>
      <c r="H451" s="253">
        <v>51</v>
      </c>
      <c r="I451" s="350" t="s">
        <v>178</v>
      </c>
    </row>
    <row r="452" spans="2:9" ht="14">
      <c r="B452" s="349" t="s">
        <v>664</v>
      </c>
      <c r="C452" s="253" t="s">
        <v>412</v>
      </c>
      <c r="D452" s="253" t="s">
        <v>177</v>
      </c>
      <c r="E452" s="253">
        <v>44</v>
      </c>
      <c r="F452" s="253">
        <v>67</v>
      </c>
      <c r="G452" s="253">
        <v>73</v>
      </c>
      <c r="H452" s="253">
        <v>61</v>
      </c>
      <c r="I452" s="350" t="s">
        <v>184</v>
      </c>
    </row>
    <row r="453" spans="2:9" ht="14">
      <c r="B453" s="349" t="s">
        <v>665</v>
      </c>
      <c r="C453" s="253" t="s">
        <v>282</v>
      </c>
      <c r="D453" s="253" t="s">
        <v>183</v>
      </c>
      <c r="E453" s="253">
        <v>48</v>
      </c>
      <c r="F453" s="253">
        <v>23</v>
      </c>
      <c r="G453" s="253">
        <v>35</v>
      </c>
      <c r="H453" s="253">
        <v>37</v>
      </c>
      <c r="I453" s="350" t="s">
        <v>194</v>
      </c>
    </row>
    <row r="454" spans="2:9" ht="14">
      <c r="B454" s="349" t="s">
        <v>148</v>
      </c>
      <c r="C454" s="253" t="s">
        <v>198</v>
      </c>
      <c r="D454" s="253" t="s">
        <v>177</v>
      </c>
      <c r="E454" s="253">
        <v>24</v>
      </c>
      <c r="F454" s="253">
        <v>33</v>
      </c>
      <c r="G454" s="253">
        <v>51</v>
      </c>
      <c r="H454" s="253">
        <v>37</v>
      </c>
      <c r="I454" s="350" t="s">
        <v>194</v>
      </c>
    </row>
    <row r="455" spans="2:9" ht="14">
      <c r="B455" s="349" t="s">
        <v>666</v>
      </c>
      <c r="C455" s="253" t="s">
        <v>249</v>
      </c>
      <c r="D455" s="253" t="s">
        <v>183</v>
      </c>
      <c r="E455" s="253">
        <v>31</v>
      </c>
      <c r="F455" s="253">
        <v>41</v>
      </c>
      <c r="G455" s="253">
        <v>50</v>
      </c>
      <c r="H455" s="253">
        <v>41</v>
      </c>
      <c r="I455" s="350" t="s">
        <v>194</v>
      </c>
    </row>
    <row r="456" spans="2:9" ht="14">
      <c r="B456" s="349" t="s">
        <v>667</v>
      </c>
      <c r="C456" s="253" t="s">
        <v>182</v>
      </c>
      <c r="D456" s="253" t="s">
        <v>177</v>
      </c>
      <c r="E456" s="253">
        <v>62</v>
      </c>
      <c r="F456" s="253">
        <v>45</v>
      </c>
      <c r="G456" s="253">
        <v>71</v>
      </c>
      <c r="H456" s="253">
        <v>62</v>
      </c>
      <c r="I456" s="350" t="s">
        <v>184</v>
      </c>
    </row>
    <row r="457" spans="2:9" ht="14">
      <c r="B457" s="349" t="s">
        <v>668</v>
      </c>
      <c r="C457" s="253" t="s">
        <v>516</v>
      </c>
      <c r="D457" s="253" t="s">
        <v>177</v>
      </c>
      <c r="E457" s="253">
        <v>33</v>
      </c>
      <c r="F457" s="253">
        <v>42</v>
      </c>
      <c r="G457" s="253">
        <v>74</v>
      </c>
      <c r="H457" s="253">
        <v>52</v>
      </c>
      <c r="I457" s="350" t="s">
        <v>178</v>
      </c>
    </row>
    <row r="458" spans="2:9" ht="14">
      <c r="B458" s="349" t="s">
        <v>669</v>
      </c>
      <c r="C458" s="253" t="s">
        <v>180</v>
      </c>
      <c r="D458" s="253" t="s">
        <v>177</v>
      </c>
      <c r="E458" s="253">
        <v>36</v>
      </c>
      <c r="F458" s="253">
        <v>48</v>
      </c>
      <c r="G458" s="253">
        <v>64</v>
      </c>
      <c r="H458" s="253">
        <v>50</v>
      </c>
      <c r="I458" s="350" t="s">
        <v>178</v>
      </c>
    </row>
    <row r="459" spans="2:9" ht="14">
      <c r="B459" s="349" t="s">
        <v>670</v>
      </c>
      <c r="C459" s="253" t="s">
        <v>214</v>
      </c>
      <c r="D459" s="253" t="s">
        <v>177</v>
      </c>
      <c r="E459" s="253">
        <v>31</v>
      </c>
      <c r="F459" s="253">
        <v>59</v>
      </c>
      <c r="G459" s="253">
        <v>71</v>
      </c>
      <c r="H459" s="253">
        <v>54</v>
      </c>
      <c r="I459" s="350" t="s">
        <v>178</v>
      </c>
    </row>
    <row r="460" spans="2:9" ht="14">
      <c r="B460" s="349" t="s">
        <v>671</v>
      </c>
      <c r="C460" s="253" t="s">
        <v>276</v>
      </c>
      <c r="D460" s="253" t="s">
        <v>177</v>
      </c>
      <c r="E460" s="253">
        <v>36</v>
      </c>
      <c r="F460" s="253">
        <v>37</v>
      </c>
      <c r="G460" s="253">
        <v>50</v>
      </c>
      <c r="H460" s="253">
        <v>42</v>
      </c>
      <c r="I460" s="350" t="s">
        <v>194</v>
      </c>
    </row>
    <row r="461" spans="2:9" ht="14">
      <c r="B461" s="349" t="s">
        <v>672</v>
      </c>
      <c r="C461" s="253" t="s">
        <v>186</v>
      </c>
      <c r="D461" s="253" t="s">
        <v>177</v>
      </c>
      <c r="E461" s="253">
        <v>27</v>
      </c>
      <c r="F461" s="253">
        <v>47</v>
      </c>
      <c r="G461" s="253">
        <v>69</v>
      </c>
      <c r="H461" s="253">
        <v>49</v>
      </c>
      <c r="I461" s="350" t="s">
        <v>178</v>
      </c>
    </row>
    <row r="462" spans="2:9" ht="14">
      <c r="B462" s="349" t="s">
        <v>673</v>
      </c>
      <c r="C462" s="253" t="s">
        <v>594</v>
      </c>
      <c r="D462" s="253" t="s">
        <v>177</v>
      </c>
      <c r="E462" s="253">
        <v>46</v>
      </c>
      <c r="F462" s="253">
        <v>47</v>
      </c>
      <c r="G462" s="253">
        <v>70</v>
      </c>
      <c r="H462" s="253">
        <v>56</v>
      </c>
      <c r="I462" s="350" t="s">
        <v>178</v>
      </c>
    </row>
    <row r="463" spans="2:9" ht="14">
      <c r="B463" s="349" t="s">
        <v>674</v>
      </c>
      <c r="C463" s="253" t="s">
        <v>214</v>
      </c>
      <c r="D463" s="253" t="s">
        <v>177</v>
      </c>
      <c r="E463" s="253">
        <v>30</v>
      </c>
      <c r="F463" s="253">
        <v>34</v>
      </c>
      <c r="G463" s="253">
        <v>62</v>
      </c>
      <c r="H463" s="253">
        <v>44</v>
      </c>
      <c r="I463" s="350" t="s">
        <v>194</v>
      </c>
    </row>
    <row r="464" spans="2:9" ht="14">
      <c r="B464" s="349" t="s">
        <v>675</v>
      </c>
      <c r="C464" s="253" t="s">
        <v>239</v>
      </c>
      <c r="D464" s="253" t="s">
        <v>177</v>
      </c>
      <c r="E464" s="253">
        <v>20</v>
      </c>
      <c r="F464" s="253">
        <v>41</v>
      </c>
      <c r="G464" s="253">
        <v>54</v>
      </c>
      <c r="H464" s="253">
        <v>38</v>
      </c>
      <c r="I464" s="350" t="s">
        <v>194</v>
      </c>
    </row>
    <row r="465" spans="2:9" ht="14">
      <c r="B465" s="349" t="s">
        <v>676</v>
      </c>
      <c r="C465" s="253" t="s">
        <v>70</v>
      </c>
      <c r="D465" s="253" t="s">
        <v>177</v>
      </c>
      <c r="E465" s="253">
        <v>49</v>
      </c>
      <c r="F465" s="253">
        <v>54</v>
      </c>
      <c r="G465" s="253">
        <v>72</v>
      </c>
      <c r="H465" s="253">
        <v>60</v>
      </c>
      <c r="I465" s="350" t="s">
        <v>178</v>
      </c>
    </row>
    <row r="466" spans="2:9" ht="14">
      <c r="B466" s="349" t="s">
        <v>677</v>
      </c>
      <c r="C466" s="253" t="s">
        <v>276</v>
      </c>
      <c r="D466" s="253" t="s">
        <v>177</v>
      </c>
      <c r="E466" s="253">
        <v>39</v>
      </c>
      <c r="F466" s="253">
        <v>59</v>
      </c>
      <c r="G466" s="253">
        <v>64</v>
      </c>
      <c r="H466" s="253">
        <v>54</v>
      </c>
      <c r="I466" s="350" t="s">
        <v>178</v>
      </c>
    </row>
    <row r="467" spans="2:9" ht="14">
      <c r="B467" s="349" t="s">
        <v>678</v>
      </c>
      <c r="C467" s="253" t="s">
        <v>53</v>
      </c>
      <c r="D467" s="253" t="s">
        <v>177</v>
      </c>
      <c r="E467" s="253">
        <v>36</v>
      </c>
      <c r="F467" s="253">
        <v>49</v>
      </c>
      <c r="G467" s="253">
        <v>69</v>
      </c>
      <c r="H467" s="253">
        <v>53</v>
      </c>
      <c r="I467" s="350" t="s">
        <v>178</v>
      </c>
    </row>
    <row r="468" spans="2:9" ht="14">
      <c r="B468" s="349" t="s">
        <v>679</v>
      </c>
      <c r="C468" s="253" t="s">
        <v>516</v>
      </c>
      <c r="D468" s="253" t="s">
        <v>177</v>
      </c>
      <c r="E468" s="253">
        <v>29</v>
      </c>
      <c r="F468" s="253">
        <v>29</v>
      </c>
      <c r="G468" s="253">
        <v>60</v>
      </c>
      <c r="H468" s="253">
        <v>42</v>
      </c>
      <c r="I468" s="350" t="s">
        <v>194</v>
      </c>
    </row>
    <row r="469" spans="2:9" ht="14">
      <c r="B469" s="349" t="s">
        <v>680</v>
      </c>
      <c r="C469" s="253" t="s">
        <v>305</v>
      </c>
      <c r="D469" s="253" t="s">
        <v>177</v>
      </c>
      <c r="E469" s="253">
        <v>32</v>
      </c>
      <c r="F469" s="253">
        <v>44</v>
      </c>
      <c r="G469" s="253">
        <v>67</v>
      </c>
      <c r="H469" s="253">
        <v>49</v>
      </c>
      <c r="I469" s="350" t="s">
        <v>178</v>
      </c>
    </row>
    <row r="470" spans="2:9" ht="14">
      <c r="B470" s="349" t="s">
        <v>681</v>
      </c>
      <c r="C470" s="253" t="s">
        <v>68</v>
      </c>
      <c r="D470" s="253" t="s">
        <v>177</v>
      </c>
      <c r="E470" s="253">
        <v>48</v>
      </c>
      <c r="F470" s="253">
        <v>60</v>
      </c>
      <c r="G470" s="253">
        <v>69</v>
      </c>
      <c r="H470" s="253">
        <v>60</v>
      </c>
      <c r="I470" s="350" t="s">
        <v>178</v>
      </c>
    </row>
    <row r="471" spans="2:9" ht="14">
      <c r="B471" s="349" t="s">
        <v>682</v>
      </c>
      <c r="C471" s="253" t="s">
        <v>80</v>
      </c>
      <c r="D471" s="253" t="s">
        <v>177</v>
      </c>
      <c r="E471" s="253">
        <v>43</v>
      </c>
      <c r="F471" s="253">
        <v>57</v>
      </c>
      <c r="G471" s="253">
        <v>67</v>
      </c>
      <c r="H471" s="253">
        <v>56</v>
      </c>
      <c r="I471" s="350" t="s">
        <v>178</v>
      </c>
    </row>
    <row r="472" spans="2:9" ht="14">
      <c r="B472" s="349" t="s">
        <v>683</v>
      </c>
      <c r="C472" s="253" t="s">
        <v>276</v>
      </c>
      <c r="D472" s="253" t="s">
        <v>177</v>
      </c>
      <c r="E472" s="253">
        <v>50</v>
      </c>
      <c r="F472" s="253">
        <v>46</v>
      </c>
      <c r="G472" s="253">
        <v>69</v>
      </c>
      <c r="H472" s="253">
        <v>57</v>
      </c>
      <c r="I472" s="350" t="s">
        <v>178</v>
      </c>
    </row>
    <row r="473" spans="2:9" ht="14">
      <c r="B473" s="349" t="s">
        <v>684</v>
      </c>
      <c r="C473" s="253" t="s">
        <v>180</v>
      </c>
      <c r="D473" s="253" t="s">
        <v>177</v>
      </c>
      <c r="E473" s="253">
        <v>34</v>
      </c>
      <c r="F473" s="253">
        <v>44</v>
      </c>
      <c r="G473" s="253">
        <v>68</v>
      </c>
      <c r="H473" s="253">
        <v>50</v>
      </c>
      <c r="I473" s="350" t="s">
        <v>178</v>
      </c>
    </row>
    <row r="474" spans="2:9" ht="14">
      <c r="B474" s="349" t="s">
        <v>685</v>
      </c>
      <c r="C474" s="253" t="s">
        <v>186</v>
      </c>
      <c r="D474" s="253" t="s">
        <v>177</v>
      </c>
      <c r="E474" s="253">
        <v>22</v>
      </c>
      <c r="F474" s="253">
        <v>42</v>
      </c>
      <c r="G474" s="253">
        <v>66</v>
      </c>
      <c r="H474" s="253">
        <v>44</v>
      </c>
      <c r="I474" s="350" t="s">
        <v>194</v>
      </c>
    </row>
    <row r="475" spans="2:9" ht="14">
      <c r="B475" s="349" t="s">
        <v>686</v>
      </c>
      <c r="C475" s="253" t="s">
        <v>276</v>
      </c>
      <c r="D475" s="253" t="s">
        <v>177</v>
      </c>
      <c r="E475" s="253">
        <v>35</v>
      </c>
      <c r="F475" s="253">
        <v>39</v>
      </c>
      <c r="G475" s="253">
        <v>71</v>
      </c>
      <c r="H475" s="253">
        <v>51</v>
      </c>
      <c r="I475" s="350" t="s">
        <v>178</v>
      </c>
    </row>
    <row r="476" spans="2:9" ht="14">
      <c r="B476" s="349" t="s">
        <v>687</v>
      </c>
      <c r="C476" s="253" t="s">
        <v>206</v>
      </c>
      <c r="D476" s="253" t="s">
        <v>177</v>
      </c>
      <c r="E476" s="253">
        <v>35</v>
      </c>
      <c r="F476" s="253">
        <v>47</v>
      </c>
      <c r="G476" s="253">
        <v>64</v>
      </c>
      <c r="H476" s="253">
        <v>49</v>
      </c>
      <c r="I476" s="350" t="s">
        <v>178</v>
      </c>
    </row>
    <row r="477" spans="2:9" ht="14">
      <c r="B477" s="349" t="s">
        <v>149</v>
      </c>
      <c r="C477" s="253" t="s">
        <v>70</v>
      </c>
      <c r="D477" s="253" t="s">
        <v>177</v>
      </c>
      <c r="E477" s="253">
        <v>54</v>
      </c>
      <c r="F477" s="253">
        <v>58</v>
      </c>
      <c r="G477" s="253">
        <v>69</v>
      </c>
      <c r="H477" s="253">
        <v>61</v>
      </c>
      <c r="I477" s="350" t="s">
        <v>184</v>
      </c>
    </row>
    <row r="478" spans="2:9" ht="14">
      <c r="B478" s="349" t="s">
        <v>688</v>
      </c>
      <c r="C478" s="253" t="s">
        <v>182</v>
      </c>
      <c r="D478" s="253" t="s">
        <v>177</v>
      </c>
      <c r="E478" s="253">
        <v>62</v>
      </c>
      <c r="F478" s="253">
        <v>62</v>
      </c>
      <c r="G478" s="253">
        <v>69</v>
      </c>
      <c r="H478" s="253">
        <v>65</v>
      </c>
      <c r="I478" s="350" t="s">
        <v>184</v>
      </c>
    </row>
    <row r="479" spans="2:9" ht="14">
      <c r="B479" s="349" t="s">
        <v>689</v>
      </c>
      <c r="C479" s="253" t="s">
        <v>182</v>
      </c>
      <c r="D479" s="253" t="s">
        <v>177</v>
      </c>
      <c r="E479" s="253">
        <v>57</v>
      </c>
      <c r="F479" s="253">
        <v>64</v>
      </c>
      <c r="G479" s="253">
        <v>71</v>
      </c>
      <c r="H479" s="253">
        <v>64</v>
      </c>
      <c r="I479" s="350" t="s">
        <v>184</v>
      </c>
    </row>
    <row r="480" spans="2:9" ht="14">
      <c r="B480" s="349" t="s">
        <v>690</v>
      </c>
      <c r="C480" s="253" t="s">
        <v>180</v>
      </c>
      <c r="D480" s="253" t="s">
        <v>177</v>
      </c>
      <c r="E480" s="253">
        <v>46</v>
      </c>
      <c r="F480" s="253">
        <v>54</v>
      </c>
      <c r="G480" s="253">
        <v>69</v>
      </c>
      <c r="H480" s="253">
        <v>57</v>
      </c>
      <c r="I480" s="350" t="s">
        <v>178</v>
      </c>
    </row>
    <row r="481" spans="2:9" ht="14">
      <c r="B481" s="349" t="s">
        <v>691</v>
      </c>
      <c r="C481" s="253" t="s">
        <v>102</v>
      </c>
      <c r="D481" s="253" t="s">
        <v>183</v>
      </c>
      <c r="E481" s="253">
        <v>20</v>
      </c>
      <c r="F481" s="253">
        <v>32</v>
      </c>
      <c r="G481" s="253">
        <v>53</v>
      </c>
      <c r="H481" s="253">
        <v>37</v>
      </c>
      <c r="I481" s="350" t="s">
        <v>194</v>
      </c>
    </row>
    <row r="482" spans="2:9" ht="14">
      <c r="B482" s="349" t="s">
        <v>692</v>
      </c>
      <c r="C482" s="253" t="s">
        <v>214</v>
      </c>
      <c r="D482" s="253" t="s">
        <v>177</v>
      </c>
      <c r="E482" s="253">
        <v>30</v>
      </c>
      <c r="F482" s="253">
        <v>37</v>
      </c>
      <c r="G482" s="253">
        <v>40</v>
      </c>
      <c r="H482" s="253">
        <v>36</v>
      </c>
      <c r="I482" s="350" t="s">
        <v>194</v>
      </c>
    </row>
    <row r="483" spans="2:9" ht="14">
      <c r="B483" s="349" t="s">
        <v>693</v>
      </c>
      <c r="C483" s="253" t="s">
        <v>195</v>
      </c>
      <c r="D483" s="253" t="s">
        <v>177</v>
      </c>
      <c r="E483" s="253">
        <v>61</v>
      </c>
      <c r="F483" s="253">
        <v>55</v>
      </c>
      <c r="G483" s="253">
        <v>66</v>
      </c>
      <c r="H483" s="253">
        <v>61</v>
      </c>
      <c r="I483" s="350" t="s">
        <v>184</v>
      </c>
    </row>
    <row r="484" spans="2:9" ht="14">
      <c r="B484" s="349" t="s">
        <v>694</v>
      </c>
      <c r="C484" s="253" t="s">
        <v>180</v>
      </c>
      <c r="D484" s="253" t="s">
        <v>177</v>
      </c>
      <c r="E484" s="253">
        <v>52</v>
      </c>
      <c r="F484" s="253">
        <v>54</v>
      </c>
      <c r="G484" s="253">
        <v>63</v>
      </c>
      <c r="H484" s="253">
        <v>57</v>
      </c>
      <c r="I484" s="350" t="s">
        <v>178</v>
      </c>
    </row>
    <row r="485" spans="2:9" ht="14">
      <c r="B485" s="349" t="s">
        <v>695</v>
      </c>
      <c r="C485" s="253" t="s">
        <v>373</v>
      </c>
      <c r="D485" s="253" t="s">
        <v>183</v>
      </c>
      <c r="E485" s="253">
        <v>62</v>
      </c>
      <c r="F485" s="253">
        <v>56</v>
      </c>
      <c r="G485" s="253">
        <v>43</v>
      </c>
      <c r="H485" s="253">
        <v>53</v>
      </c>
      <c r="I485" s="350" t="s">
        <v>178</v>
      </c>
    </row>
    <row r="486" spans="2:9" ht="14">
      <c r="B486" s="349" t="s">
        <v>696</v>
      </c>
      <c r="C486" s="253" t="s">
        <v>84</v>
      </c>
      <c r="D486" s="253" t="s">
        <v>177</v>
      </c>
      <c r="E486" s="253">
        <v>35</v>
      </c>
      <c r="F486" s="253">
        <v>46</v>
      </c>
      <c r="G486" s="253">
        <v>69</v>
      </c>
      <c r="H486" s="253">
        <v>51</v>
      </c>
      <c r="I486" s="350" t="s">
        <v>178</v>
      </c>
    </row>
    <row r="487" spans="2:9" ht="14">
      <c r="B487" s="349" t="s">
        <v>697</v>
      </c>
      <c r="C487" s="253" t="s">
        <v>180</v>
      </c>
      <c r="D487" s="253" t="s">
        <v>177</v>
      </c>
      <c r="E487" s="253">
        <v>50</v>
      </c>
      <c r="F487" s="253">
        <v>40</v>
      </c>
      <c r="G487" s="253">
        <v>72</v>
      </c>
      <c r="H487" s="253">
        <v>56</v>
      </c>
      <c r="I487" s="350" t="s">
        <v>178</v>
      </c>
    </row>
    <row r="488" spans="2:9" ht="14">
      <c r="B488" s="349" t="s">
        <v>698</v>
      </c>
      <c r="C488" s="253" t="s">
        <v>53</v>
      </c>
      <c r="D488" s="253" t="s">
        <v>177</v>
      </c>
      <c r="E488" s="253">
        <v>34</v>
      </c>
      <c r="F488" s="253">
        <v>56</v>
      </c>
      <c r="G488" s="253">
        <v>74</v>
      </c>
      <c r="H488" s="253">
        <v>56</v>
      </c>
      <c r="I488" s="350" t="s">
        <v>178</v>
      </c>
    </row>
    <row r="489" spans="2:9" ht="14">
      <c r="B489" s="349" t="s">
        <v>699</v>
      </c>
      <c r="C489" s="253" t="s">
        <v>276</v>
      </c>
      <c r="D489" s="253" t="s">
        <v>177</v>
      </c>
      <c r="E489" s="253">
        <v>45</v>
      </c>
      <c r="F489" s="253">
        <v>41</v>
      </c>
      <c r="G489" s="253">
        <v>71</v>
      </c>
      <c r="H489" s="253">
        <v>55</v>
      </c>
      <c r="I489" s="350" t="s">
        <v>178</v>
      </c>
    </row>
    <row r="490" spans="2:9" ht="14">
      <c r="B490" s="349" t="s">
        <v>700</v>
      </c>
      <c r="C490" s="253" t="s">
        <v>212</v>
      </c>
      <c r="D490" s="253" t="s">
        <v>177</v>
      </c>
      <c r="E490" s="253">
        <v>44</v>
      </c>
      <c r="F490" s="253">
        <v>48</v>
      </c>
      <c r="G490" s="253">
        <v>71</v>
      </c>
      <c r="H490" s="253">
        <v>56</v>
      </c>
      <c r="I490" s="350" t="s">
        <v>178</v>
      </c>
    </row>
    <row r="491" spans="2:9" ht="14">
      <c r="B491" s="349" t="s">
        <v>701</v>
      </c>
      <c r="C491" s="253" t="s">
        <v>239</v>
      </c>
      <c r="D491" s="253" t="s">
        <v>183</v>
      </c>
      <c r="E491" s="253">
        <v>20</v>
      </c>
      <c r="F491" s="253">
        <v>29</v>
      </c>
      <c r="G491" s="253">
        <v>41</v>
      </c>
      <c r="H491" s="253">
        <v>30</v>
      </c>
      <c r="I491" s="350" t="s">
        <v>647</v>
      </c>
    </row>
    <row r="492" spans="2:9" ht="14">
      <c r="B492" s="349" t="s">
        <v>702</v>
      </c>
      <c r="C492" s="253" t="s">
        <v>491</v>
      </c>
      <c r="D492" s="253" t="s">
        <v>177</v>
      </c>
      <c r="E492" s="253">
        <v>33</v>
      </c>
      <c r="F492" s="253">
        <v>41</v>
      </c>
      <c r="G492" s="253">
        <v>63</v>
      </c>
      <c r="H492" s="253">
        <v>47</v>
      </c>
      <c r="I492" s="350" t="s">
        <v>178</v>
      </c>
    </row>
    <row r="493" spans="2:9" ht="14">
      <c r="B493" s="349" t="s">
        <v>152</v>
      </c>
      <c r="C493" s="253" t="s">
        <v>70</v>
      </c>
      <c r="D493" s="253" t="s">
        <v>177</v>
      </c>
      <c r="E493" s="253">
        <v>29</v>
      </c>
      <c r="F493" s="253">
        <v>43</v>
      </c>
      <c r="G493" s="253">
        <v>56</v>
      </c>
      <c r="H493" s="253">
        <v>43</v>
      </c>
      <c r="I493" s="350" t="s">
        <v>194</v>
      </c>
    </row>
    <row r="494" spans="2:9" ht="14">
      <c r="B494" s="349" t="s">
        <v>703</v>
      </c>
      <c r="C494" s="253" t="s">
        <v>182</v>
      </c>
      <c r="D494" s="253" t="s">
        <v>177</v>
      </c>
      <c r="E494" s="253">
        <v>61</v>
      </c>
      <c r="F494" s="253">
        <v>68</v>
      </c>
      <c r="G494" s="253">
        <v>75</v>
      </c>
      <c r="H494" s="253">
        <v>68</v>
      </c>
      <c r="I494" s="350" t="s">
        <v>184</v>
      </c>
    </row>
    <row r="495" spans="2:9" ht="14">
      <c r="B495" s="349" t="s">
        <v>704</v>
      </c>
      <c r="C495" s="253" t="s">
        <v>231</v>
      </c>
      <c r="D495" s="253" t="s">
        <v>177</v>
      </c>
      <c r="E495" s="253">
        <v>48</v>
      </c>
      <c r="F495" s="253">
        <v>65</v>
      </c>
      <c r="G495" s="253">
        <v>68</v>
      </c>
      <c r="H495" s="253">
        <v>60</v>
      </c>
      <c r="I495" s="350" t="s">
        <v>178</v>
      </c>
    </row>
    <row r="496" spans="2:9" ht="14">
      <c r="B496" s="349" t="s">
        <v>705</v>
      </c>
      <c r="C496" s="253" t="s">
        <v>214</v>
      </c>
      <c r="D496" s="253" t="s">
        <v>177</v>
      </c>
      <c r="E496" s="253">
        <v>32</v>
      </c>
      <c r="F496" s="253">
        <v>41</v>
      </c>
      <c r="G496" s="253">
        <v>53</v>
      </c>
      <c r="H496" s="253">
        <v>43</v>
      </c>
      <c r="I496" s="350" t="s">
        <v>194</v>
      </c>
    </row>
    <row r="497" spans="2:9" ht="14">
      <c r="B497" s="349" t="s">
        <v>706</v>
      </c>
      <c r="C497" s="253" t="s">
        <v>180</v>
      </c>
      <c r="D497" s="253" t="s">
        <v>177</v>
      </c>
      <c r="E497" s="253">
        <v>53</v>
      </c>
      <c r="F497" s="253">
        <v>45</v>
      </c>
      <c r="G497" s="253">
        <v>71</v>
      </c>
      <c r="H497" s="253">
        <v>58</v>
      </c>
      <c r="I497" s="350" t="s">
        <v>178</v>
      </c>
    </row>
    <row r="498" spans="2:9" ht="14">
      <c r="B498" s="349" t="s">
        <v>707</v>
      </c>
      <c r="C498" s="253" t="s">
        <v>53</v>
      </c>
      <c r="D498" s="253" t="s">
        <v>177</v>
      </c>
      <c r="E498" s="253">
        <v>45</v>
      </c>
      <c r="F498" s="253">
        <v>53</v>
      </c>
      <c r="G498" s="253">
        <v>68</v>
      </c>
      <c r="H498" s="253">
        <v>56</v>
      </c>
      <c r="I498" s="350" t="s">
        <v>178</v>
      </c>
    </row>
    <row r="499" spans="2:9" ht="14">
      <c r="B499" s="349" t="s">
        <v>708</v>
      </c>
      <c r="C499" s="253" t="s">
        <v>276</v>
      </c>
      <c r="D499" s="253" t="s">
        <v>177</v>
      </c>
      <c r="E499" s="253">
        <v>35</v>
      </c>
      <c r="F499" s="253">
        <v>48</v>
      </c>
      <c r="G499" s="253">
        <v>67</v>
      </c>
      <c r="H499" s="253">
        <v>51</v>
      </c>
      <c r="I499" s="350" t="s">
        <v>178</v>
      </c>
    </row>
    <row r="500" spans="2:9" ht="14">
      <c r="B500" s="349" t="s">
        <v>709</v>
      </c>
      <c r="C500" s="253" t="s">
        <v>186</v>
      </c>
      <c r="D500" s="253" t="s">
        <v>177</v>
      </c>
      <c r="E500" s="253">
        <v>26</v>
      </c>
      <c r="F500" s="253">
        <v>39</v>
      </c>
      <c r="G500" s="253">
        <v>61</v>
      </c>
      <c r="H500" s="253">
        <v>43</v>
      </c>
      <c r="I500" s="350" t="s">
        <v>194</v>
      </c>
    </row>
    <row r="501" spans="2:9" ht="14">
      <c r="B501" s="349" t="s">
        <v>710</v>
      </c>
      <c r="C501" s="253" t="s">
        <v>186</v>
      </c>
      <c r="D501" s="253" t="s">
        <v>177</v>
      </c>
      <c r="E501" s="253">
        <v>33</v>
      </c>
      <c r="F501" s="253">
        <v>44</v>
      </c>
      <c r="G501" s="253">
        <v>69</v>
      </c>
      <c r="H501" s="253">
        <v>50</v>
      </c>
      <c r="I501" s="350" t="s">
        <v>178</v>
      </c>
    </row>
    <row r="502" spans="2:9" ht="14">
      <c r="B502" s="349" t="s">
        <v>711</v>
      </c>
      <c r="C502" s="253" t="s">
        <v>53</v>
      </c>
      <c r="D502" s="253" t="s">
        <v>177</v>
      </c>
      <c r="E502" s="253">
        <v>55</v>
      </c>
      <c r="F502" s="253">
        <v>60</v>
      </c>
      <c r="G502" s="253">
        <v>50</v>
      </c>
      <c r="H502" s="253">
        <v>54</v>
      </c>
      <c r="I502" s="350" t="s">
        <v>178</v>
      </c>
    </row>
    <row r="503" spans="2:9" ht="14">
      <c r="B503" s="349" t="s">
        <v>712</v>
      </c>
      <c r="C503" s="253" t="s">
        <v>342</v>
      </c>
      <c r="D503" s="253" t="s">
        <v>177</v>
      </c>
      <c r="E503" s="253">
        <v>41</v>
      </c>
      <c r="F503" s="253">
        <v>49</v>
      </c>
      <c r="G503" s="253">
        <v>57</v>
      </c>
      <c r="H503" s="253">
        <v>50</v>
      </c>
      <c r="I503" s="350" t="s">
        <v>178</v>
      </c>
    </row>
    <row r="504" spans="2:9" ht="14">
      <c r="B504" s="349" t="s">
        <v>713</v>
      </c>
      <c r="C504" s="253" t="s">
        <v>182</v>
      </c>
      <c r="D504" s="253" t="s">
        <v>177</v>
      </c>
      <c r="E504" s="253">
        <v>56</v>
      </c>
      <c r="F504" s="253">
        <v>57</v>
      </c>
      <c r="G504" s="253">
        <v>69</v>
      </c>
      <c r="H504" s="253">
        <v>62</v>
      </c>
      <c r="I504" s="350" t="s">
        <v>184</v>
      </c>
    </row>
    <row r="505" spans="2:9" ht="14">
      <c r="B505" s="349" t="s">
        <v>714</v>
      </c>
      <c r="C505" s="253" t="s">
        <v>182</v>
      </c>
      <c r="D505" s="253" t="s">
        <v>183</v>
      </c>
      <c r="E505" s="253">
        <v>62</v>
      </c>
      <c r="F505" s="253">
        <v>50</v>
      </c>
      <c r="G505" s="253">
        <v>60</v>
      </c>
      <c r="H505" s="253">
        <v>58</v>
      </c>
      <c r="I505" s="350" t="s">
        <v>178</v>
      </c>
    </row>
    <row r="506" spans="2:9" ht="14">
      <c r="B506" s="349" t="s">
        <v>715</v>
      </c>
      <c r="C506" s="253" t="s">
        <v>276</v>
      </c>
      <c r="D506" s="253" t="s">
        <v>177</v>
      </c>
      <c r="E506" s="253">
        <v>38</v>
      </c>
      <c r="F506" s="253">
        <v>46</v>
      </c>
      <c r="G506" s="253">
        <v>64</v>
      </c>
      <c r="H506" s="253">
        <v>50</v>
      </c>
      <c r="I506" s="350" t="s">
        <v>178</v>
      </c>
    </row>
    <row r="507" spans="2:9" ht="14">
      <c r="B507" s="349" t="s">
        <v>716</v>
      </c>
      <c r="C507" s="253" t="s">
        <v>276</v>
      </c>
      <c r="D507" s="253" t="s">
        <v>177</v>
      </c>
      <c r="E507" s="253">
        <v>41</v>
      </c>
      <c r="F507" s="253">
        <v>48</v>
      </c>
      <c r="G507" s="253">
        <v>67</v>
      </c>
      <c r="H507" s="253">
        <v>53</v>
      </c>
      <c r="I507" s="350" t="s">
        <v>178</v>
      </c>
    </row>
    <row r="508" spans="2:9" ht="14">
      <c r="B508" s="349" t="s">
        <v>717</v>
      </c>
      <c r="C508" s="253" t="s">
        <v>276</v>
      </c>
      <c r="D508" s="253" t="s">
        <v>177</v>
      </c>
      <c r="E508" s="253">
        <v>34</v>
      </c>
      <c r="F508" s="253">
        <v>40</v>
      </c>
      <c r="G508" s="253">
        <v>70</v>
      </c>
      <c r="H508" s="253">
        <v>50</v>
      </c>
      <c r="I508" s="350" t="s">
        <v>178</v>
      </c>
    </row>
    <row r="509" spans="2:9" ht="14">
      <c r="B509" s="349" t="s">
        <v>136</v>
      </c>
      <c r="C509" s="253" t="s">
        <v>53</v>
      </c>
      <c r="D509" s="253" t="s">
        <v>177</v>
      </c>
      <c r="E509" s="253">
        <v>34</v>
      </c>
      <c r="F509" s="253">
        <v>52</v>
      </c>
      <c r="G509" s="253">
        <v>66</v>
      </c>
      <c r="H509" s="253">
        <v>51</v>
      </c>
      <c r="I509" s="350" t="s">
        <v>178</v>
      </c>
    </row>
    <row r="510" spans="2:9" ht="14">
      <c r="B510" s="349" t="s">
        <v>718</v>
      </c>
      <c r="C510" s="253" t="s">
        <v>276</v>
      </c>
      <c r="D510" s="253" t="s">
        <v>177</v>
      </c>
      <c r="E510" s="253">
        <v>34</v>
      </c>
      <c r="F510" s="253">
        <v>47</v>
      </c>
      <c r="G510" s="253">
        <v>64</v>
      </c>
      <c r="H510" s="253">
        <v>49</v>
      </c>
      <c r="I510" s="350" t="s">
        <v>178</v>
      </c>
    </row>
    <row r="511" spans="2:9" ht="14">
      <c r="B511" s="349" t="s">
        <v>719</v>
      </c>
      <c r="C511" s="253" t="s">
        <v>256</v>
      </c>
      <c r="D511" s="253" t="s">
        <v>177</v>
      </c>
      <c r="E511" s="253">
        <v>34</v>
      </c>
      <c r="F511" s="253">
        <v>44</v>
      </c>
      <c r="G511" s="253">
        <v>69</v>
      </c>
      <c r="H511" s="253">
        <v>50</v>
      </c>
      <c r="I511" s="350" t="s">
        <v>178</v>
      </c>
    </row>
    <row r="512" spans="2:9" ht="14">
      <c r="B512" s="349" t="s">
        <v>720</v>
      </c>
      <c r="C512" s="253" t="s">
        <v>53</v>
      </c>
      <c r="D512" s="253" t="s">
        <v>177</v>
      </c>
      <c r="E512" s="253">
        <v>45</v>
      </c>
      <c r="F512" s="253">
        <v>63</v>
      </c>
      <c r="G512" s="253">
        <v>79</v>
      </c>
      <c r="H512" s="253">
        <v>63</v>
      </c>
      <c r="I512" s="350" t="s">
        <v>184</v>
      </c>
    </row>
    <row r="513" spans="2:9" ht="14">
      <c r="B513" s="349" t="s">
        <v>721</v>
      </c>
      <c r="C513" s="253" t="s">
        <v>198</v>
      </c>
      <c r="D513" s="253" t="s">
        <v>183</v>
      </c>
      <c r="E513" s="253">
        <v>28</v>
      </c>
      <c r="F513" s="253">
        <v>47</v>
      </c>
      <c r="G513" s="253">
        <v>60</v>
      </c>
      <c r="H513" s="253">
        <v>46</v>
      </c>
      <c r="I513" s="350" t="s">
        <v>178</v>
      </c>
    </row>
    <row r="514" spans="2:9" ht="14">
      <c r="B514" s="349" t="s">
        <v>722</v>
      </c>
      <c r="C514" s="253" t="s">
        <v>723</v>
      </c>
      <c r="D514" s="253" t="s">
        <v>177</v>
      </c>
      <c r="E514" s="253">
        <v>36</v>
      </c>
      <c r="F514" s="253">
        <v>52</v>
      </c>
      <c r="G514" s="253">
        <v>71</v>
      </c>
      <c r="H514" s="253">
        <v>54</v>
      </c>
      <c r="I514" s="350" t="s">
        <v>178</v>
      </c>
    </row>
    <row r="515" spans="2:9" ht="14">
      <c r="B515" s="349" t="s">
        <v>724</v>
      </c>
      <c r="C515" s="253" t="s">
        <v>212</v>
      </c>
      <c r="D515" s="253" t="s">
        <v>177</v>
      </c>
      <c r="E515" s="253">
        <v>44</v>
      </c>
      <c r="F515" s="253">
        <v>44</v>
      </c>
      <c r="G515" s="253">
        <v>71</v>
      </c>
      <c r="H515" s="253">
        <v>55</v>
      </c>
      <c r="I515" s="350" t="s">
        <v>178</v>
      </c>
    </row>
    <row r="516" spans="2:9" ht="14">
      <c r="B516" s="349" t="s">
        <v>725</v>
      </c>
      <c r="C516" s="253" t="s">
        <v>182</v>
      </c>
      <c r="D516" s="253" t="s">
        <v>183</v>
      </c>
      <c r="E516" s="253">
        <v>59</v>
      </c>
      <c r="F516" s="253">
        <v>54</v>
      </c>
      <c r="G516" s="253">
        <v>61</v>
      </c>
      <c r="H516" s="253">
        <v>59</v>
      </c>
      <c r="I516" s="350" t="s">
        <v>178</v>
      </c>
    </row>
    <row r="517" spans="2:9" ht="14">
      <c r="B517" s="349" t="s">
        <v>726</v>
      </c>
      <c r="C517" s="253" t="s">
        <v>182</v>
      </c>
      <c r="D517" s="253" t="s">
        <v>183</v>
      </c>
      <c r="E517" s="253">
        <v>62</v>
      </c>
      <c r="F517" s="253">
        <v>48</v>
      </c>
      <c r="G517" s="253">
        <v>62</v>
      </c>
      <c r="H517" s="253">
        <v>59</v>
      </c>
      <c r="I517" s="350" t="s">
        <v>178</v>
      </c>
    </row>
    <row r="518" spans="2:9" ht="14">
      <c r="B518" s="349" t="s">
        <v>727</v>
      </c>
      <c r="C518" s="253" t="s">
        <v>204</v>
      </c>
      <c r="D518" s="253" t="s">
        <v>183</v>
      </c>
      <c r="E518" s="253">
        <v>60</v>
      </c>
      <c r="F518" s="253">
        <v>52</v>
      </c>
      <c r="G518" s="253">
        <v>59</v>
      </c>
      <c r="H518" s="253">
        <v>57</v>
      </c>
      <c r="I518" s="350" t="s">
        <v>178</v>
      </c>
    </row>
    <row r="519" spans="2:9" ht="14">
      <c r="B519" s="349" t="s">
        <v>728</v>
      </c>
      <c r="C519" s="253" t="s">
        <v>186</v>
      </c>
      <c r="D519" s="253" t="s">
        <v>177</v>
      </c>
      <c r="E519" s="253">
        <v>50</v>
      </c>
      <c r="F519" s="253">
        <v>52</v>
      </c>
      <c r="G519" s="253">
        <v>70</v>
      </c>
      <c r="H519" s="253">
        <v>59</v>
      </c>
      <c r="I519" s="350" t="s">
        <v>178</v>
      </c>
    </row>
    <row r="520" spans="2:9" ht="14">
      <c r="B520" s="349" t="s">
        <v>729</v>
      </c>
      <c r="C520" s="253" t="s">
        <v>282</v>
      </c>
      <c r="D520" s="253" t="s">
        <v>177</v>
      </c>
      <c r="E520" s="253">
        <v>68</v>
      </c>
      <c r="F520" s="253">
        <v>63</v>
      </c>
      <c r="G520" s="253">
        <v>70</v>
      </c>
      <c r="H520" s="253">
        <v>68</v>
      </c>
      <c r="I520" s="350" t="s">
        <v>184</v>
      </c>
    </row>
    <row r="521" spans="2:9" ht="14">
      <c r="B521" s="349" t="s">
        <v>730</v>
      </c>
      <c r="C521" s="253" t="s">
        <v>212</v>
      </c>
      <c r="D521" s="253" t="s">
        <v>177</v>
      </c>
      <c r="E521" s="253">
        <v>70</v>
      </c>
      <c r="F521" s="253">
        <v>66</v>
      </c>
      <c r="G521" s="253">
        <v>78</v>
      </c>
      <c r="H521" s="253">
        <v>72</v>
      </c>
      <c r="I521" s="350" t="s">
        <v>250</v>
      </c>
    </row>
    <row r="522" spans="2:9" ht="14">
      <c r="B522" s="349" t="s">
        <v>731</v>
      </c>
      <c r="C522" s="253" t="s">
        <v>17</v>
      </c>
      <c r="D522" s="253" t="s">
        <v>177</v>
      </c>
      <c r="E522" s="253">
        <v>60</v>
      </c>
      <c r="F522" s="253">
        <v>53</v>
      </c>
      <c r="G522" s="253">
        <v>82</v>
      </c>
      <c r="H522" s="253">
        <v>67</v>
      </c>
      <c r="I522" s="350" t="s">
        <v>184</v>
      </c>
    </row>
    <row r="523" spans="2:9" ht="14">
      <c r="B523" s="349" t="s">
        <v>732</v>
      </c>
      <c r="C523" s="253" t="s">
        <v>212</v>
      </c>
      <c r="D523" s="253" t="s">
        <v>177</v>
      </c>
      <c r="E523" s="253">
        <v>43</v>
      </c>
      <c r="F523" s="253">
        <v>62</v>
      </c>
      <c r="G523" s="253">
        <v>75</v>
      </c>
      <c r="H523" s="253">
        <v>61</v>
      </c>
      <c r="I523" s="350" t="s">
        <v>184</v>
      </c>
    </row>
    <row r="524" spans="2:9" ht="14">
      <c r="B524" s="349" t="s">
        <v>733</v>
      </c>
      <c r="C524" s="253" t="s">
        <v>84</v>
      </c>
      <c r="D524" s="253" t="s">
        <v>183</v>
      </c>
      <c r="E524" s="253">
        <v>34</v>
      </c>
      <c r="F524" s="253">
        <v>29</v>
      </c>
      <c r="G524" s="253">
        <v>55</v>
      </c>
      <c r="H524" s="253">
        <v>41</v>
      </c>
      <c r="I524" s="350" t="s">
        <v>194</v>
      </c>
    </row>
    <row r="525" spans="2:9" ht="14">
      <c r="B525" s="349" t="s">
        <v>734</v>
      </c>
      <c r="C525" s="253" t="s">
        <v>231</v>
      </c>
      <c r="D525" s="253" t="s">
        <v>177</v>
      </c>
      <c r="E525" s="253">
        <v>40</v>
      </c>
      <c r="F525" s="253">
        <v>55</v>
      </c>
      <c r="G525" s="253">
        <v>71</v>
      </c>
      <c r="H525" s="253">
        <v>56</v>
      </c>
      <c r="I525" s="350" t="s">
        <v>178</v>
      </c>
    </row>
    <row r="526" spans="2:9" ht="14">
      <c r="B526" s="349" t="s">
        <v>735</v>
      </c>
      <c r="C526" s="253" t="s">
        <v>182</v>
      </c>
      <c r="D526" s="253" t="s">
        <v>183</v>
      </c>
      <c r="E526" s="253">
        <v>61</v>
      </c>
      <c r="F526" s="253">
        <v>55</v>
      </c>
      <c r="G526" s="253">
        <v>68</v>
      </c>
      <c r="H526" s="253">
        <v>62</v>
      </c>
      <c r="I526" s="350" t="s">
        <v>184</v>
      </c>
    </row>
    <row r="527" spans="2:9" ht="14">
      <c r="B527" s="349" t="s">
        <v>736</v>
      </c>
      <c r="C527" s="253" t="s">
        <v>182</v>
      </c>
      <c r="D527" s="253" t="s">
        <v>183</v>
      </c>
      <c r="E527" s="253">
        <v>61</v>
      </c>
      <c r="F527" s="253">
        <v>46</v>
      </c>
      <c r="G527" s="253">
        <v>66</v>
      </c>
      <c r="H527" s="253">
        <v>59</v>
      </c>
      <c r="I527" s="350" t="s">
        <v>178</v>
      </c>
    </row>
    <row r="528" spans="2:9" ht="14">
      <c r="B528" s="349" t="s">
        <v>737</v>
      </c>
      <c r="C528" s="253" t="s">
        <v>237</v>
      </c>
      <c r="D528" s="253" t="s">
        <v>177</v>
      </c>
      <c r="E528" s="253">
        <v>52</v>
      </c>
      <c r="F528" s="253">
        <v>56</v>
      </c>
      <c r="G528" s="253">
        <v>73</v>
      </c>
      <c r="H528" s="253">
        <v>62</v>
      </c>
      <c r="I528" s="350" t="s">
        <v>184</v>
      </c>
    </row>
    <row r="529" spans="2:9" ht="14">
      <c r="B529" s="349" t="s">
        <v>738</v>
      </c>
      <c r="C529" s="253" t="s">
        <v>195</v>
      </c>
      <c r="D529" s="253" t="s">
        <v>183</v>
      </c>
      <c r="E529" s="253">
        <v>51</v>
      </c>
      <c r="F529" s="253">
        <v>46</v>
      </c>
      <c r="G529" s="253">
        <v>58</v>
      </c>
      <c r="H529" s="253">
        <v>53</v>
      </c>
      <c r="I529" s="350" t="s">
        <v>178</v>
      </c>
    </row>
    <row r="530" spans="2:9" ht="14">
      <c r="B530" s="349" t="s">
        <v>739</v>
      </c>
      <c r="C530" s="253" t="s">
        <v>214</v>
      </c>
      <c r="D530" s="253" t="s">
        <v>183</v>
      </c>
      <c r="E530" s="253">
        <v>34</v>
      </c>
      <c r="F530" s="253">
        <v>44</v>
      </c>
      <c r="G530" s="253">
        <v>48</v>
      </c>
      <c r="H530" s="253">
        <v>42</v>
      </c>
      <c r="I530" s="350" t="s">
        <v>194</v>
      </c>
    </row>
    <row r="531" spans="2:9" ht="14">
      <c r="B531" s="349" t="s">
        <v>740</v>
      </c>
      <c r="C531" s="253" t="s">
        <v>84</v>
      </c>
      <c r="D531" s="253" t="s">
        <v>183</v>
      </c>
      <c r="E531" s="253">
        <v>35</v>
      </c>
      <c r="F531" s="253">
        <v>27</v>
      </c>
      <c r="G531" s="253">
        <v>52</v>
      </c>
      <c r="H531" s="253">
        <v>40</v>
      </c>
      <c r="I531" s="350" t="s">
        <v>194</v>
      </c>
    </row>
    <row r="532" spans="2:9" ht="14">
      <c r="B532" s="349" t="s">
        <v>741</v>
      </c>
      <c r="C532" s="253" t="s">
        <v>204</v>
      </c>
      <c r="D532" s="253" t="s">
        <v>183</v>
      </c>
      <c r="E532" s="253">
        <v>51</v>
      </c>
      <c r="F532" s="253">
        <v>55</v>
      </c>
      <c r="G532" s="253">
        <v>58</v>
      </c>
      <c r="H532" s="253">
        <v>55</v>
      </c>
      <c r="I532" s="350" t="s">
        <v>178</v>
      </c>
    </row>
    <row r="533" spans="2:9" ht="14">
      <c r="B533" s="349" t="s">
        <v>742</v>
      </c>
      <c r="C533" s="253" t="s">
        <v>231</v>
      </c>
      <c r="D533" s="253" t="s">
        <v>177</v>
      </c>
      <c r="E533" s="253">
        <v>51</v>
      </c>
      <c r="F533" s="253">
        <v>62</v>
      </c>
      <c r="G533" s="253">
        <v>71</v>
      </c>
      <c r="H533" s="253">
        <v>62</v>
      </c>
      <c r="I533" s="350" t="s">
        <v>184</v>
      </c>
    </row>
    <row r="534" spans="2:9" ht="14">
      <c r="B534" s="349" t="s">
        <v>743</v>
      </c>
      <c r="C534" s="253" t="s">
        <v>231</v>
      </c>
      <c r="D534" s="253" t="s">
        <v>177</v>
      </c>
      <c r="E534" s="253">
        <v>44</v>
      </c>
      <c r="F534" s="253">
        <v>52</v>
      </c>
      <c r="G534" s="253">
        <v>75</v>
      </c>
      <c r="H534" s="253">
        <v>58</v>
      </c>
      <c r="I534" s="350" t="s">
        <v>178</v>
      </c>
    </row>
    <row r="535" spans="2:9" ht="14">
      <c r="B535" s="349" t="s">
        <v>744</v>
      </c>
      <c r="C535" s="253" t="s">
        <v>282</v>
      </c>
      <c r="D535" s="253" t="s">
        <v>177</v>
      </c>
      <c r="E535" s="253">
        <v>36</v>
      </c>
      <c r="F535" s="253">
        <v>44</v>
      </c>
      <c r="G535" s="253">
        <v>69</v>
      </c>
      <c r="H535" s="253">
        <v>51</v>
      </c>
      <c r="I535" s="350" t="s">
        <v>178</v>
      </c>
    </row>
    <row r="536" spans="2:9" ht="14">
      <c r="B536" s="349" t="s">
        <v>745</v>
      </c>
      <c r="C536" s="253" t="s">
        <v>282</v>
      </c>
      <c r="D536" s="253" t="s">
        <v>183</v>
      </c>
      <c r="E536" s="253">
        <v>37</v>
      </c>
      <c r="F536" s="253">
        <v>29</v>
      </c>
      <c r="G536" s="253">
        <v>60</v>
      </c>
      <c r="H536" s="253">
        <v>44</v>
      </c>
      <c r="I536" s="350" t="s">
        <v>194</v>
      </c>
    </row>
    <row r="537" spans="2:9" ht="14">
      <c r="B537" s="349" t="s">
        <v>746</v>
      </c>
      <c r="C537" s="253" t="s">
        <v>186</v>
      </c>
      <c r="D537" s="253" t="s">
        <v>177</v>
      </c>
      <c r="E537" s="253">
        <v>24</v>
      </c>
      <c r="F537" s="253">
        <v>36</v>
      </c>
      <c r="G537" s="253">
        <v>59</v>
      </c>
      <c r="H537" s="253">
        <v>41</v>
      </c>
      <c r="I537" s="350" t="s">
        <v>194</v>
      </c>
    </row>
    <row r="538" spans="2:9" ht="14">
      <c r="B538" s="349" t="s">
        <v>747</v>
      </c>
      <c r="C538" s="253" t="s">
        <v>193</v>
      </c>
      <c r="D538" s="253" t="s">
        <v>177</v>
      </c>
      <c r="E538" s="253">
        <v>36</v>
      </c>
      <c r="F538" s="253">
        <v>43</v>
      </c>
      <c r="G538" s="253">
        <v>67</v>
      </c>
      <c r="H538" s="253">
        <v>50</v>
      </c>
      <c r="I538" s="350" t="s">
        <v>178</v>
      </c>
    </row>
    <row r="539" spans="2:9" ht="14">
      <c r="B539" s="349" t="s">
        <v>748</v>
      </c>
      <c r="C539" s="253" t="s">
        <v>652</v>
      </c>
      <c r="D539" s="253" t="s">
        <v>177</v>
      </c>
      <c r="E539" s="253">
        <v>41</v>
      </c>
      <c r="F539" s="253">
        <v>48</v>
      </c>
      <c r="G539" s="253">
        <v>75</v>
      </c>
      <c r="H539" s="253">
        <v>57</v>
      </c>
      <c r="I539" s="350" t="s">
        <v>178</v>
      </c>
    </row>
    <row r="540" spans="2:9" ht="14">
      <c r="B540" s="349" t="s">
        <v>749</v>
      </c>
      <c r="C540" s="253" t="s">
        <v>212</v>
      </c>
      <c r="D540" s="253" t="s">
        <v>177</v>
      </c>
      <c r="E540" s="253">
        <v>75</v>
      </c>
      <c r="F540" s="253">
        <v>60</v>
      </c>
      <c r="G540" s="253">
        <v>78</v>
      </c>
      <c r="H540" s="253">
        <v>72</v>
      </c>
      <c r="I540" s="350" t="s">
        <v>250</v>
      </c>
    </row>
    <row r="541" spans="2:9" ht="14">
      <c r="B541" s="349" t="s">
        <v>750</v>
      </c>
      <c r="C541" s="253" t="s">
        <v>216</v>
      </c>
      <c r="D541" s="253" t="s">
        <v>177</v>
      </c>
      <c r="E541" s="253">
        <v>33</v>
      </c>
      <c r="F541" s="253">
        <v>44</v>
      </c>
      <c r="G541" s="253">
        <v>58</v>
      </c>
      <c r="H541" s="253">
        <v>46</v>
      </c>
      <c r="I541" s="350" t="s">
        <v>178</v>
      </c>
    </row>
    <row r="542" spans="2:9" ht="14">
      <c r="B542" s="349" t="s">
        <v>751</v>
      </c>
      <c r="C542" s="253" t="s">
        <v>216</v>
      </c>
      <c r="D542" s="253" t="s">
        <v>177</v>
      </c>
      <c r="E542" s="253">
        <v>34</v>
      </c>
      <c r="F542" s="253">
        <v>37</v>
      </c>
      <c r="G542" s="253">
        <v>64</v>
      </c>
      <c r="H542" s="253">
        <v>47</v>
      </c>
      <c r="I542" s="350" t="s">
        <v>178</v>
      </c>
    </row>
    <row r="543" spans="2:9" ht="14">
      <c r="B543" s="349" t="s">
        <v>752</v>
      </c>
      <c r="C543" s="253" t="s">
        <v>216</v>
      </c>
      <c r="D543" s="253" t="s">
        <v>177</v>
      </c>
      <c r="E543" s="253">
        <v>34</v>
      </c>
      <c r="F543" s="253">
        <v>38</v>
      </c>
      <c r="G543" s="253">
        <v>68</v>
      </c>
      <c r="H543" s="253">
        <v>49</v>
      </c>
      <c r="I543" s="350" t="s">
        <v>178</v>
      </c>
    </row>
    <row r="544" spans="2:9" ht="14">
      <c r="B544" s="349" t="s">
        <v>753</v>
      </c>
      <c r="C544" s="253" t="s">
        <v>182</v>
      </c>
      <c r="D544" s="253" t="s">
        <v>177</v>
      </c>
      <c r="E544" s="253">
        <v>58</v>
      </c>
      <c r="F544" s="253">
        <v>62</v>
      </c>
      <c r="G544" s="253">
        <v>76</v>
      </c>
      <c r="H544" s="253">
        <v>66</v>
      </c>
      <c r="I544" s="350" t="s">
        <v>184</v>
      </c>
    </row>
    <row r="545" spans="2:9" ht="14">
      <c r="B545" s="349" t="s">
        <v>754</v>
      </c>
      <c r="C545" s="253" t="s">
        <v>755</v>
      </c>
      <c r="D545" s="253" t="s">
        <v>177</v>
      </c>
      <c r="E545" s="253">
        <v>36</v>
      </c>
      <c r="F545" s="253">
        <v>42</v>
      </c>
      <c r="G545" s="253">
        <v>68</v>
      </c>
      <c r="H545" s="253">
        <v>51</v>
      </c>
      <c r="I545" s="350" t="s">
        <v>178</v>
      </c>
    </row>
    <row r="546" spans="2:9" ht="14">
      <c r="B546" s="349" t="s">
        <v>756</v>
      </c>
      <c r="C546" s="253" t="s">
        <v>70</v>
      </c>
      <c r="D546" s="253" t="s">
        <v>177</v>
      </c>
      <c r="E546" s="253">
        <v>28</v>
      </c>
      <c r="F546" s="253">
        <v>41</v>
      </c>
      <c r="G546" s="253">
        <v>46</v>
      </c>
      <c r="H546" s="253">
        <v>39</v>
      </c>
      <c r="I546" s="350" t="s">
        <v>194</v>
      </c>
    </row>
    <row r="547" spans="2:9" ht="14">
      <c r="B547" s="349" t="s">
        <v>757</v>
      </c>
      <c r="C547" s="253" t="s">
        <v>317</v>
      </c>
      <c r="D547" s="253" t="s">
        <v>177</v>
      </c>
      <c r="E547" s="253">
        <v>47</v>
      </c>
      <c r="F547" s="253">
        <v>54</v>
      </c>
      <c r="G547" s="253">
        <v>67</v>
      </c>
      <c r="H547" s="253">
        <v>57</v>
      </c>
      <c r="I547" s="350" t="s">
        <v>178</v>
      </c>
    </row>
    <row r="548" spans="2:9" ht="14">
      <c r="B548" s="349" t="s">
        <v>758</v>
      </c>
      <c r="C548" s="253" t="s">
        <v>182</v>
      </c>
      <c r="D548" s="253" t="s">
        <v>177</v>
      </c>
      <c r="E548" s="253">
        <v>60</v>
      </c>
      <c r="F548" s="253">
        <v>68</v>
      </c>
      <c r="G548" s="253">
        <v>72</v>
      </c>
      <c r="H548" s="253">
        <v>67</v>
      </c>
      <c r="I548" s="350" t="s">
        <v>184</v>
      </c>
    </row>
    <row r="549" spans="2:9" ht="14">
      <c r="B549" s="349" t="s">
        <v>759</v>
      </c>
      <c r="C549" s="253" t="s">
        <v>70</v>
      </c>
      <c r="D549" s="253" t="s">
        <v>177</v>
      </c>
      <c r="E549" s="253">
        <v>39</v>
      </c>
      <c r="F549" s="253">
        <v>47</v>
      </c>
      <c r="G549" s="253">
        <v>66</v>
      </c>
      <c r="H549" s="253">
        <v>52</v>
      </c>
      <c r="I549" s="350" t="s">
        <v>178</v>
      </c>
    </row>
    <row r="550" spans="2:9" ht="14">
      <c r="B550" s="349" t="s">
        <v>760</v>
      </c>
      <c r="C550" s="253" t="s">
        <v>206</v>
      </c>
      <c r="D550" s="253" t="s">
        <v>177</v>
      </c>
      <c r="E550" s="253">
        <v>36</v>
      </c>
      <c r="F550" s="253">
        <v>38</v>
      </c>
      <c r="G550" s="253">
        <v>71</v>
      </c>
      <c r="H550" s="253">
        <v>50</v>
      </c>
      <c r="I550" s="350" t="s">
        <v>178</v>
      </c>
    </row>
    <row r="551" spans="2:9" ht="14">
      <c r="B551" s="349" t="s">
        <v>145</v>
      </c>
      <c r="C551" s="253" t="s">
        <v>198</v>
      </c>
      <c r="D551" s="253" t="s">
        <v>177</v>
      </c>
      <c r="E551" s="253">
        <v>59</v>
      </c>
      <c r="F551" s="253">
        <v>60</v>
      </c>
      <c r="G551" s="253">
        <v>73</v>
      </c>
      <c r="H551" s="253">
        <v>65</v>
      </c>
      <c r="I551" s="350" t="s">
        <v>184</v>
      </c>
    </row>
    <row r="552" spans="2:9" ht="14">
      <c r="B552" s="349" t="s">
        <v>761</v>
      </c>
      <c r="C552" s="253" t="s">
        <v>216</v>
      </c>
      <c r="D552" s="253" t="s">
        <v>177</v>
      </c>
      <c r="E552" s="253">
        <v>43</v>
      </c>
      <c r="F552" s="253">
        <v>53</v>
      </c>
      <c r="G552" s="253">
        <v>69</v>
      </c>
      <c r="H552" s="253">
        <v>56</v>
      </c>
      <c r="I552" s="350" t="s">
        <v>178</v>
      </c>
    </row>
    <row r="553" spans="2:9" ht="14">
      <c r="B553" s="349" t="s">
        <v>762</v>
      </c>
      <c r="C553" s="253" t="s">
        <v>86</v>
      </c>
      <c r="D553" s="253" t="s">
        <v>177</v>
      </c>
      <c r="E553" s="253">
        <v>39</v>
      </c>
      <c r="F553" s="253">
        <v>52</v>
      </c>
      <c r="G553" s="253">
        <v>64</v>
      </c>
      <c r="H553" s="253">
        <v>52</v>
      </c>
      <c r="I553" s="350" t="s">
        <v>178</v>
      </c>
    </row>
    <row r="554" spans="2:9" ht="14">
      <c r="B554" s="349" t="s">
        <v>763</v>
      </c>
      <c r="C554" s="253" t="s">
        <v>180</v>
      </c>
      <c r="D554" s="253" t="s">
        <v>177</v>
      </c>
      <c r="E554" s="253">
        <v>33</v>
      </c>
      <c r="F554" s="253">
        <v>39</v>
      </c>
      <c r="G554" s="253">
        <v>67</v>
      </c>
      <c r="H554" s="253">
        <v>48</v>
      </c>
      <c r="I554" s="350" t="s">
        <v>178</v>
      </c>
    </row>
    <row r="555" spans="2:9" ht="14">
      <c r="B555" s="349" t="s">
        <v>764</v>
      </c>
      <c r="C555" s="253" t="s">
        <v>180</v>
      </c>
      <c r="D555" s="253" t="s">
        <v>177</v>
      </c>
      <c r="E555" s="253">
        <v>35</v>
      </c>
      <c r="F555" s="253">
        <v>41</v>
      </c>
      <c r="G555" s="253">
        <v>74</v>
      </c>
      <c r="H555" s="253">
        <v>52</v>
      </c>
      <c r="I555" s="350" t="s">
        <v>178</v>
      </c>
    </row>
    <row r="556" spans="2:9" ht="14">
      <c r="B556" s="349" t="s">
        <v>765</v>
      </c>
      <c r="C556" s="253" t="s">
        <v>216</v>
      </c>
      <c r="D556" s="253" t="s">
        <v>177</v>
      </c>
      <c r="E556" s="253">
        <v>34</v>
      </c>
      <c r="F556" s="253">
        <v>45</v>
      </c>
      <c r="G556" s="253">
        <v>73</v>
      </c>
      <c r="H556" s="253">
        <v>53</v>
      </c>
      <c r="I556" s="350" t="s">
        <v>178</v>
      </c>
    </row>
    <row r="557" spans="2:9" ht="14">
      <c r="B557" s="349" t="s">
        <v>766</v>
      </c>
      <c r="C557" s="253" t="s">
        <v>206</v>
      </c>
      <c r="D557" s="253" t="s">
        <v>177</v>
      </c>
      <c r="E557" s="253">
        <v>46</v>
      </c>
      <c r="F557" s="253">
        <v>58</v>
      </c>
      <c r="G557" s="253">
        <v>67</v>
      </c>
      <c r="H557" s="253">
        <v>57</v>
      </c>
      <c r="I557" s="350" t="s">
        <v>178</v>
      </c>
    </row>
    <row r="558" spans="2:9" ht="14">
      <c r="B558" s="349" t="s">
        <v>767</v>
      </c>
      <c r="C558" s="253" t="s">
        <v>204</v>
      </c>
      <c r="D558" s="253" t="s">
        <v>183</v>
      </c>
      <c r="E558" s="253">
        <v>61</v>
      </c>
      <c r="F558" s="253">
        <v>52</v>
      </c>
      <c r="G558" s="253">
        <v>64</v>
      </c>
      <c r="H558" s="253">
        <v>60</v>
      </c>
      <c r="I558" s="350" t="s">
        <v>178</v>
      </c>
    </row>
    <row r="559" spans="2:9" ht="14">
      <c r="B559" s="349" t="s">
        <v>768</v>
      </c>
      <c r="C559" s="253" t="s">
        <v>53</v>
      </c>
      <c r="D559" s="253" t="s">
        <v>177</v>
      </c>
      <c r="E559" s="253">
        <v>56</v>
      </c>
      <c r="F559" s="253">
        <v>63</v>
      </c>
      <c r="G559" s="253">
        <v>65</v>
      </c>
      <c r="H559" s="253">
        <v>61</v>
      </c>
      <c r="I559" s="350" t="s">
        <v>184</v>
      </c>
    </row>
    <row r="560" spans="2:9" ht="14">
      <c r="B560" s="349" t="s">
        <v>769</v>
      </c>
      <c r="C560" s="253" t="s">
        <v>638</v>
      </c>
      <c r="D560" s="253" t="s">
        <v>177</v>
      </c>
      <c r="E560" s="253">
        <v>43</v>
      </c>
      <c r="F560" s="253">
        <v>55</v>
      </c>
      <c r="G560" s="253">
        <v>68</v>
      </c>
      <c r="H560" s="253">
        <v>56</v>
      </c>
      <c r="I560" s="350" t="s">
        <v>178</v>
      </c>
    </row>
    <row r="561" spans="2:9" ht="14">
      <c r="B561" s="349" t="s">
        <v>770</v>
      </c>
      <c r="C561" s="253" t="s">
        <v>193</v>
      </c>
      <c r="D561" s="253" t="s">
        <v>177</v>
      </c>
      <c r="E561" s="253">
        <v>37</v>
      </c>
      <c r="F561" s="253">
        <v>44</v>
      </c>
      <c r="G561" s="253">
        <v>66</v>
      </c>
      <c r="H561" s="253">
        <v>50</v>
      </c>
      <c r="I561" s="350" t="s">
        <v>178</v>
      </c>
    </row>
    <row r="562" spans="2:9" ht="14">
      <c r="B562" s="349" t="s">
        <v>771</v>
      </c>
      <c r="C562" s="253" t="s">
        <v>249</v>
      </c>
      <c r="D562" s="253" t="s">
        <v>177</v>
      </c>
      <c r="E562" s="253">
        <v>35</v>
      </c>
      <c r="F562" s="253">
        <v>45</v>
      </c>
      <c r="G562" s="253">
        <v>67</v>
      </c>
      <c r="H562" s="253">
        <v>50</v>
      </c>
      <c r="I562" s="350" t="s">
        <v>178</v>
      </c>
    </row>
    <row r="563" spans="2:9" ht="14">
      <c r="B563" s="349" t="s">
        <v>772</v>
      </c>
      <c r="C563" s="253" t="s">
        <v>180</v>
      </c>
      <c r="D563" s="253" t="s">
        <v>177</v>
      </c>
      <c r="E563" s="253">
        <v>35</v>
      </c>
      <c r="F563" s="253">
        <v>43</v>
      </c>
      <c r="G563" s="253">
        <v>71</v>
      </c>
      <c r="H563" s="253">
        <v>51</v>
      </c>
      <c r="I563" s="350" t="s">
        <v>178</v>
      </c>
    </row>
    <row r="564" spans="2:9" ht="14">
      <c r="B564" s="349" t="s">
        <v>773</v>
      </c>
      <c r="C564" s="253" t="s">
        <v>206</v>
      </c>
      <c r="D564" s="253" t="s">
        <v>177</v>
      </c>
      <c r="E564" s="253">
        <v>38</v>
      </c>
      <c r="F564" s="253">
        <v>47</v>
      </c>
      <c r="G564" s="253">
        <v>63</v>
      </c>
      <c r="H564" s="253">
        <v>50</v>
      </c>
      <c r="I564" s="350" t="s">
        <v>178</v>
      </c>
    </row>
    <row r="565" spans="2:9" ht="14">
      <c r="B565" s="349" t="s">
        <v>774</v>
      </c>
      <c r="C565" s="253" t="s">
        <v>276</v>
      </c>
      <c r="D565" s="253" t="s">
        <v>177</v>
      </c>
      <c r="E565" s="253">
        <v>36</v>
      </c>
      <c r="F565" s="253">
        <v>48</v>
      </c>
      <c r="G565" s="253">
        <v>76</v>
      </c>
      <c r="H565" s="253">
        <v>55</v>
      </c>
      <c r="I565" s="350" t="s">
        <v>178</v>
      </c>
    </row>
    <row r="566" spans="2:9" ht="14">
      <c r="B566" s="349" t="s">
        <v>163</v>
      </c>
      <c r="C566" s="253" t="s">
        <v>342</v>
      </c>
      <c r="D566" s="253" t="s">
        <v>177</v>
      </c>
      <c r="E566" s="253">
        <v>43</v>
      </c>
      <c r="F566" s="253">
        <v>52</v>
      </c>
      <c r="G566" s="253">
        <v>65</v>
      </c>
      <c r="H566" s="253">
        <v>54</v>
      </c>
      <c r="I566" s="350" t="s">
        <v>178</v>
      </c>
    </row>
    <row r="567" spans="2:9" ht="14">
      <c r="B567" s="349" t="s">
        <v>775</v>
      </c>
      <c r="C567" s="253" t="s">
        <v>237</v>
      </c>
      <c r="D567" s="253" t="s">
        <v>177</v>
      </c>
      <c r="E567" s="253">
        <v>51</v>
      </c>
      <c r="F567" s="253">
        <v>49</v>
      </c>
      <c r="G567" s="253">
        <v>74</v>
      </c>
      <c r="H567" s="253">
        <v>59</v>
      </c>
      <c r="I567" s="350" t="s">
        <v>178</v>
      </c>
    </row>
    <row r="568" spans="2:9" ht="14">
      <c r="B568" s="349" t="s">
        <v>776</v>
      </c>
      <c r="C568" s="253" t="s">
        <v>182</v>
      </c>
      <c r="D568" s="253" t="s">
        <v>177</v>
      </c>
      <c r="E568" s="253">
        <v>48</v>
      </c>
      <c r="F568" s="253">
        <v>62</v>
      </c>
      <c r="G568" s="253">
        <v>58</v>
      </c>
      <c r="H568" s="253">
        <v>55</v>
      </c>
      <c r="I568" s="350" t="s">
        <v>178</v>
      </c>
    </row>
    <row r="569" spans="2:9" ht="14">
      <c r="B569" s="349" t="s">
        <v>777</v>
      </c>
      <c r="C569" s="253" t="s">
        <v>182</v>
      </c>
      <c r="D569" s="253" t="s">
        <v>177</v>
      </c>
      <c r="E569" s="253">
        <v>62</v>
      </c>
      <c r="F569" s="253">
        <v>59</v>
      </c>
      <c r="G569" s="253">
        <v>68</v>
      </c>
      <c r="H569" s="253">
        <v>64</v>
      </c>
      <c r="I569" s="350" t="s">
        <v>184</v>
      </c>
    </row>
    <row r="570" spans="2:9" ht="14">
      <c r="B570" s="349" t="s">
        <v>151</v>
      </c>
      <c r="C570" s="253" t="s">
        <v>70</v>
      </c>
      <c r="D570" s="253" t="s">
        <v>177</v>
      </c>
      <c r="E570" s="253">
        <v>48</v>
      </c>
      <c r="F570" s="253">
        <v>61</v>
      </c>
      <c r="G570" s="253">
        <v>71</v>
      </c>
      <c r="H570" s="253">
        <v>60</v>
      </c>
      <c r="I570" s="350" t="s">
        <v>178</v>
      </c>
    </row>
    <row r="571" spans="2:9" ht="14">
      <c r="B571" s="349" t="s">
        <v>137</v>
      </c>
      <c r="C571" s="253" t="s">
        <v>53</v>
      </c>
      <c r="D571" s="253" t="s">
        <v>177</v>
      </c>
      <c r="E571" s="253">
        <v>32</v>
      </c>
      <c r="F571" s="253">
        <v>56</v>
      </c>
      <c r="G571" s="253">
        <v>67</v>
      </c>
      <c r="H571" s="253">
        <v>52</v>
      </c>
      <c r="I571" s="350" t="s">
        <v>178</v>
      </c>
    </row>
    <row r="572" spans="2:9" ht="14">
      <c r="B572" s="349" t="s">
        <v>778</v>
      </c>
      <c r="C572" s="253" t="s">
        <v>182</v>
      </c>
      <c r="D572" s="253" t="s">
        <v>177</v>
      </c>
      <c r="E572" s="253">
        <v>52</v>
      </c>
      <c r="F572" s="253">
        <v>66</v>
      </c>
      <c r="G572" s="253">
        <v>57</v>
      </c>
      <c r="H572" s="253">
        <v>57</v>
      </c>
      <c r="I572" s="350" t="s">
        <v>178</v>
      </c>
    </row>
    <row r="573" spans="2:9" ht="14">
      <c r="B573" s="349" t="s">
        <v>779</v>
      </c>
      <c r="C573" s="253" t="s">
        <v>17</v>
      </c>
      <c r="D573" s="253" t="s">
        <v>177</v>
      </c>
      <c r="E573" s="253">
        <v>47</v>
      </c>
      <c r="F573" s="253">
        <v>38</v>
      </c>
      <c r="G573" s="253">
        <v>65</v>
      </c>
      <c r="H573" s="253">
        <v>52</v>
      </c>
      <c r="I573" s="350" t="s">
        <v>178</v>
      </c>
    </row>
    <row r="574" spans="2:9" ht="14">
      <c r="B574" s="349" t="s">
        <v>780</v>
      </c>
      <c r="C574" s="253" t="s">
        <v>17</v>
      </c>
      <c r="D574" s="253" t="s">
        <v>177</v>
      </c>
      <c r="E574" s="253">
        <v>50</v>
      </c>
      <c r="F574" s="253">
        <v>46</v>
      </c>
      <c r="G574" s="253">
        <v>71</v>
      </c>
      <c r="H574" s="253">
        <v>57</v>
      </c>
      <c r="I574" s="350" t="s">
        <v>178</v>
      </c>
    </row>
    <row r="575" spans="2:9" ht="14">
      <c r="B575" s="349" t="s">
        <v>781</v>
      </c>
      <c r="C575" s="253" t="s">
        <v>276</v>
      </c>
      <c r="D575" s="253" t="s">
        <v>177</v>
      </c>
      <c r="E575" s="253">
        <v>39</v>
      </c>
      <c r="F575" s="253">
        <v>47</v>
      </c>
      <c r="G575" s="253">
        <v>68</v>
      </c>
      <c r="H575" s="253">
        <v>53</v>
      </c>
      <c r="I575" s="350" t="s">
        <v>178</v>
      </c>
    </row>
    <row r="576" spans="2:9" ht="14">
      <c r="B576" s="349" t="s">
        <v>782</v>
      </c>
      <c r="C576" s="253" t="s">
        <v>186</v>
      </c>
      <c r="D576" s="253" t="s">
        <v>177</v>
      </c>
      <c r="E576" s="253">
        <v>40</v>
      </c>
      <c r="F576" s="253">
        <v>59</v>
      </c>
      <c r="G576" s="253">
        <v>61</v>
      </c>
      <c r="H576" s="253">
        <v>53</v>
      </c>
      <c r="I576" s="350" t="s">
        <v>178</v>
      </c>
    </row>
    <row r="577" spans="2:9" ht="14">
      <c r="B577" s="349" t="s">
        <v>783</v>
      </c>
      <c r="C577" s="253" t="s">
        <v>68</v>
      </c>
      <c r="D577" s="253" t="s">
        <v>177</v>
      </c>
      <c r="E577" s="253">
        <v>51</v>
      </c>
      <c r="F577" s="253">
        <v>57</v>
      </c>
      <c r="G577" s="253">
        <v>74</v>
      </c>
      <c r="H577" s="253">
        <v>62</v>
      </c>
      <c r="I577" s="350" t="s">
        <v>184</v>
      </c>
    </row>
    <row r="578" spans="2:9" ht="14">
      <c r="B578" s="349" t="s">
        <v>784</v>
      </c>
      <c r="C578" s="253" t="s">
        <v>249</v>
      </c>
      <c r="D578" s="253" t="s">
        <v>177</v>
      </c>
      <c r="E578" s="253">
        <v>39</v>
      </c>
      <c r="F578" s="253">
        <v>42</v>
      </c>
      <c r="G578" s="253">
        <v>79</v>
      </c>
      <c r="H578" s="253">
        <v>56</v>
      </c>
      <c r="I578" s="350" t="s">
        <v>178</v>
      </c>
    </row>
    <row r="579" spans="2:9" ht="14">
      <c r="B579" s="349" t="s">
        <v>785</v>
      </c>
      <c r="C579" s="253" t="s">
        <v>89</v>
      </c>
      <c r="D579" s="253" t="s">
        <v>177</v>
      </c>
      <c r="E579" s="253">
        <v>40</v>
      </c>
      <c r="F579" s="253">
        <v>43</v>
      </c>
      <c r="G579" s="253">
        <v>61</v>
      </c>
      <c r="H579" s="253">
        <v>49</v>
      </c>
      <c r="I579" s="350" t="s">
        <v>178</v>
      </c>
    </row>
    <row r="580" spans="2:9" ht="14">
      <c r="B580" s="349" t="s">
        <v>786</v>
      </c>
      <c r="C580" s="253" t="s">
        <v>276</v>
      </c>
      <c r="D580" s="253" t="s">
        <v>177</v>
      </c>
      <c r="E580" s="253">
        <v>34</v>
      </c>
      <c r="F580" s="253">
        <v>53</v>
      </c>
      <c r="G580" s="253">
        <v>63</v>
      </c>
      <c r="H580" s="253">
        <v>50</v>
      </c>
      <c r="I580" s="350" t="s">
        <v>178</v>
      </c>
    </row>
    <row r="581" spans="2:9" ht="14">
      <c r="B581" s="349" t="s">
        <v>787</v>
      </c>
      <c r="C581" s="253" t="s">
        <v>17</v>
      </c>
      <c r="D581" s="253" t="s">
        <v>177</v>
      </c>
      <c r="E581" s="253">
        <v>42</v>
      </c>
      <c r="F581" s="253">
        <v>39</v>
      </c>
      <c r="G581" s="253">
        <v>65</v>
      </c>
      <c r="H581" s="253">
        <v>51</v>
      </c>
      <c r="I581" s="350" t="s">
        <v>178</v>
      </c>
    </row>
    <row r="582" spans="2:9" ht="14">
      <c r="B582" s="349" t="s">
        <v>788</v>
      </c>
      <c r="C582" s="253" t="s">
        <v>206</v>
      </c>
      <c r="D582" s="253" t="s">
        <v>177</v>
      </c>
      <c r="E582" s="253">
        <v>31</v>
      </c>
      <c r="F582" s="253">
        <v>37</v>
      </c>
      <c r="G582" s="253">
        <v>56</v>
      </c>
      <c r="H582" s="253">
        <v>43</v>
      </c>
      <c r="I582" s="350" t="s">
        <v>194</v>
      </c>
    </row>
    <row r="583" spans="2:9" ht="14">
      <c r="B583" s="349" t="s">
        <v>789</v>
      </c>
      <c r="C583" s="253" t="s">
        <v>231</v>
      </c>
      <c r="D583" s="253" t="s">
        <v>177</v>
      </c>
      <c r="E583" s="253">
        <v>42</v>
      </c>
      <c r="F583" s="253">
        <v>56</v>
      </c>
      <c r="G583" s="253">
        <v>58</v>
      </c>
      <c r="H583" s="253">
        <v>52</v>
      </c>
      <c r="I583" s="350" t="s">
        <v>178</v>
      </c>
    </row>
    <row r="584" spans="2:9" ht="14">
      <c r="B584" s="349" t="s">
        <v>790</v>
      </c>
      <c r="C584" s="253" t="s">
        <v>180</v>
      </c>
      <c r="D584" s="253" t="s">
        <v>177</v>
      </c>
      <c r="E584" s="253">
        <v>40</v>
      </c>
      <c r="F584" s="253">
        <v>41</v>
      </c>
      <c r="G584" s="253">
        <v>63</v>
      </c>
      <c r="H584" s="253">
        <v>49</v>
      </c>
      <c r="I584" s="350" t="s">
        <v>178</v>
      </c>
    </row>
    <row r="585" spans="2:9" ht="14">
      <c r="B585" s="349" t="s">
        <v>791</v>
      </c>
      <c r="C585" s="253" t="s">
        <v>256</v>
      </c>
      <c r="D585" s="253" t="s">
        <v>177</v>
      </c>
      <c r="E585" s="253">
        <v>36</v>
      </c>
      <c r="F585" s="253">
        <v>45</v>
      </c>
      <c r="G585" s="253">
        <v>76</v>
      </c>
      <c r="H585" s="253">
        <v>54</v>
      </c>
      <c r="I585" s="350" t="s">
        <v>178</v>
      </c>
    </row>
    <row r="586" spans="2:9" ht="14">
      <c r="B586" s="349" t="s">
        <v>792</v>
      </c>
      <c r="C586" s="253" t="s">
        <v>186</v>
      </c>
      <c r="D586" s="253" t="s">
        <v>177</v>
      </c>
      <c r="E586" s="253">
        <v>26</v>
      </c>
      <c r="F586" s="253">
        <v>41</v>
      </c>
      <c r="G586" s="253">
        <v>58</v>
      </c>
      <c r="H586" s="253">
        <v>43</v>
      </c>
      <c r="I586" s="350" t="s">
        <v>194</v>
      </c>
    </row>
    <row r="587" spans="2:9" ht="14">
      <c r="B587" s="349" t="s">
        <v>793</v>
      </c>
      <c r="C587" s="253" t="s">
        <v>206</v>
      </c>
      <c r="D587" s="253" t="s">
        <v>177</v>
      </c>
      <c r="E587" s="253">
        <v>36</v>
      </c>
      <c r="F587" s="253">
        <v>44</v>
      </c>
      <c r="G587" s="253">
        <v>66</v>
      </c>
      <c r="H587" s="253">
        <v>50</v>
      </c>
      <c r="I587" s="350" t="s">
        <v>178</v>
      </c>
    </row>
    <row r="588" spans="2:9" ht="14">
      <c r="B588" s="349" t="s">
        <v>794</v>
      </c>
      <c r="C588" s="253" t="s">
        <v>282</v>
      </c>
      <c r="D588" s="253" t="s">
        <v>177</v>
      </c>
      <c r="E588" s="253">
        <v>41</v>
      </c>
      <c r="F588" s="253">
        <v>48</v>
      </c>
      <c r="G588" s="253">
        <v>52</v>
      </c>
      <c r="H588" s="253">
        <v>47</v>
      </c>
      <c r="I588" s="350" t="s">
        <v>178</v>
      </c>
    </row>
    <row r="589" spans="2:9" ht="14">
      <c r="B589" s="349" t="s">
        <v>795</v>
      </c>
      <c r="C589" s="253" t="s">
        <v>180</v>
      </c>
      <c r="D589" s="253" t="s">
        <v>177</v>
      </c>
      <c r="E589" s="253">
        <v>34</v>
      </c>
      <c r="F589" s="253">
        <v>36</v>
      </c>
      <c r="G589" s="253">
        <v>67</v>
      </c>
      <c r="H589" s="253">
        <v>48</v>
      </c>
      <c r="I589" s="350" t="s">
        <v>178</v>
      </c>
    </row>
    <row r="590" spans="2:9" ht="14">
      <c r="B590" s="349" t="s">
        <v>796</v>
      </c>
      <c r="C590" s="253" t="s">
        <v>226</v>
      </c>
      <c r="D590" s="253" t="s">
        <v>177</v>
      </c>
      <c r="E590" s="253">
        <v>58</v>
      </c>
      <c r="F590" s="253">
        <v>56</v>
      </c>
      <c r="G590" s="253">
        <v>75</v>
      </c>
      <c r="H590" s="253">
        <v>64</v>
      </c>
      <c r="I590" s="350" t="s">
        <v>184</v>
      </c>
    </row>
    <row r="591" spans="2:9" ht="14">
      <c r="B591" s="349" t="s">
        <v>797</v>
      </c>
      <c r="C591" s="253" t="s">
        <v>193</v>
      </c>
      <c r="D591" s="253" t="s">
        <v>177</v>
      </c>
      <c r="E591" s="253">
        <v>40</v>
      </c>
      <c r="F591" s="253">
        <v>45</v>
      </c>
      <c r="G591" s="253">
        <v>60</v>
      </c>
      <c r="H591" s="253">
        <v>49</v>
      </c>
      <c r="I591" s="350" t="s">
        <v>178</v>
      </c>
    </row>
    <row r="592" spans="2:9" ht="14">
      <c r="B592" s="349" t="s">
        <v>798</v>
      </c>
      <c r="C592" s="253" t="s">
        <v>17</v>
      </c>
      <c r="D592" s="253" t="s">
        <v>177</v>
      </c>
      <c r="E592" s="253">
        <v>38</v>
      </c>
      <c r="F592" s="253">
        <v>40</v>
      </c>
      <c r="G592" s="253">
        <v>64</v>
      </c>
      <c r="H592" s="253">
        <v>49</v>
      </c>
      <c r="I592" s="350" t="s">
        <v>178</v>
      </c>
    </row>
    <row r="593" spans="2:9" ht="14">
      <c r="B593" s="349" t="s">
        <v>799</v>
      </c>
      <c r="C593" s="253" t="s">
        <v>195</v>
      </c>
      <c r="D593" s="253" t="s">
        <v>183</v>
      </c>
      <c r="E593" s="253">
        <v>50</v>
      </c>
      <c r="F593" s="253">
        <v>49</v>
      </c>
      <c r="G593" s="253">
        <v>58</v>
      </c>
      <c r="H593" s="253">
        <v>53</v>
      </c>
      <c r="I593" s="350" t="s">
        <v>178</v>
      </c>
    </row>
    <row r="594" spans="2:9" ht="14">
      <c r="B594" s="349" t="s">
        <v>800</v>
      </c>
      <c r="C594" s="253" t="s">
        <v>89</v>
      </c>
      <c r="D594" s="253" t="s">
        <v>177</v>
      </c>
      <c r="E594" s="253">
        <v>58</v>
      </c>
      <c r="F594" s="253">
        <v>59</v>
      </c>
      <c r="G594" s="253">
        <v>70</v>
      </c>
      <c r="H594" s="253">
        <v>63</v>
      </c>
      <c r="I594" s="350" t="s">
        <v>184</v>
      </c>
    </row>
    <row r="595" spans="2:9" ht="14">
      <c r="B595" s="349" t="s">
        <v>801</v>
      </c>
      <c r="C595" s="253" t="s">
        <v>516</v>
      </c>
      <c r="D595" s="253" t="s">
        <v>177</v>
      </c>
      <c r="E595" s="253">
        <v>34</v>
      </c>
      <c r="F595" s="253">
        <v>44</v>
      </c>
      <c r="G595" s="253">
        <v>64</v>
      </c>
      <c r="H595" s="253">
        <v>49</v>
      </c>
      <c r="I595" s="350" t="s">
        <v>178</v>
      </c>
    </row>
    <row r="596" spans="2:9" ht="14">
      <c r="B596" s="349" t="s">
        <v>802</v>
      </c>
      <c r="C596" s="253" t="s">
        <v>276</v>
      </c>
      <c r="D596" s="253" t="s">
        <v>177</v>
      </c>
      <c r="E596" s="253">
        <v>35</v>
      </c>
      <c r="F596" s="253">
        <v>50</v>
      </c>
      <c r="G596" s="253">
        <v>66</v>
      </c>
      <c r="H596" s="253">
        <v>51</v>
      </c>
      <c r="I596" s="350" t="s">
        <v>178</v>
      </c>
    </row>
    <row r="597" spans="2:9" ht="14">
      <c r="B597" s="349" t="s">
        <v>803</v>
      </c>
      <c r="C597" s="253" t="s">
        <v>226</v>
      </c>
      <c r="D597" s="253" t="s">
        <v>177</v>
      </c>
      <c r="E597" s="253">
        <v>41</v>
      </c>
      <c r="F597" s="253">
        <v>48</v>
      </c>
      <c r="G597" s="253">
        <v>73</v>
      </c>
      <c r="H597" s="253">
        <v>55</v>
      </c>
      <c r="I597" s="350" t="s">
        <v>178</v>
      </c>
    </row>
    <row r="598" spans="2:9" ht="14">
      <c r="B598" s="349" t="s">
        <v>804</v>
      </c>
      <c r="C598" s="253" t="s">
        <v>212</v>
      </c>
      <c r="D598" s="253" t="s">
        <v>177</v>
      </c>
      <c r="E598" s="253">
        <v>75</v>
      </c>
      <c r="F598" s="253">
        <v>64</v>
      </c>
      <c r="G598" s="253">
        <v>79</v>
      </c>
      <c r="H598" s="253">
        <v>74</v>
      </c>
      <c r="I598" s="350" t="s">
        <v>250</v>
      </c>
    </row>
    <row r="599" spans="2:9" ht="14">
      <c r="B599" s="349" t="s">
        <v>805</v>
      </c>
      <c r="C599" s="253" t="s">
        <v>182</v>
      </c>
      <c r="D599" s="253" t="s">
        <v>177</v>
      </c>
      <c r="E599" s="253">
        <v>64</v>
      </c>
      <c r="F599" s="253">
        <v>66</v>
      </c>
      <c r="G599" s="253">
        <v>59</v>
      </c>
      <c r="H599" s="253">
        <v>62</v>
      </c>
      <c r="I599" s="350" t="s">
        <v>184</v>
      </c>
    </row>
    <row r="600" spans="2:9" ht="14">
      <c r="B600" s="349" t="s">
        <v>806</v>
      </c>
      <c r="C600" s="253" t="s">
        <v>342</v>
      </c>
      <c r="D600" s="253" t="s">
        <v>177</v>
      </c>
      <c r="E600" s="253">
        <v>43</v>
      </c>
      <c r="F600" s="253">
        <v>50</v>
      </c>
      <c r="G600" s="253">
        <v>55</v>
      </c>
      <c r="H600" s="253">
        <v>50</v>
      </c>
      <c r="I600" s="350" t="s">
        <v>178</v>
      </c>
    </row>
    <row r="601" spans="2:9" ht="14">
      <c r="B601" s="349" t="s">
        <v>807</v>
      </c>
      <c r="C601" s="253" t="s">
        <v>212</v>
      </c>
      <c r="D601" s="253" t="s">
        <v>177</v>
      </c>
      <c r="E601" s="253">
        <v>76</v>
      </c>
      <c r="F601" s="253">
        <v>53</v>
      </c>
      <c r="G601" s="253">
        <v>73</v>
      </c>
      <c r="H601" s="253">
        <v>69</v>
      </c>
      <c r="I601" s="350" t="s">
        <v>184</v>
      </c>
    </row>
    <row r="602" spans="2:9" ht="14">
      <c r="B602" s="349" t="s">
        <v>808</v>
      </c>
      <c r="C602" s="253" t="s">
        <v>276</v>
      </c>
      <c r="D602" s="253" t="s">
        <v>177</v>
      </c>
      <c r="E602" s="253">
        <v>45</v>
      </c>
      <c r="F602" s="253">
        <v>57</v>
      </c>
      <c r="G602" s="253">
        <v>64</v>
      </c>
      <c r="H602" s="253">
        <v>56</v>
      </c>
      <c r="I602" s="350" t="s">
        <v>178</v>
      </c>
    </row>
    <row r="603" spans="2:9" ht="14">
      <c r="B603" s="349" t="s">
        <v>809</v>
      </c>
      <c r="C603" s="253" t="s">
        <v>303</v>
      </c>
      <c r="D603" s="253" t="s">
        <v>177</v>
      </c>
      <c r="E603" s="253">
        <v>46</v>
      </c>
      <c r="F603" s="253">
        <v>41</v>
      </c>
      <c r="G603" s="253">
        <v>57</v>
      </c>
      <c r="H603" s="253">
        <v>49</v>
      </c>
      <c r="I603" s="350" t="s">
        <v>178</v>
      </c>
    </row>
    <row r="604" spans="2:9" ht="14">
      <c r="B604" s="349" t="s">
        <v>810</v>
      </c>
      <c r="C604" s="253" t="s">
        <v>53</v>
      </c>
      <c r="D604" s="253" t="s">
        <v>177</v>
      </c>
      <c r="E604" s="253">
        <v>33</v>
      </c>
      <c r="F604" s="253">
        <v>60</v>
      </c>
      <c r="G604" s="253">
        <v>69</v>
      </c>
      <c r="H604" s="253">
        <v>54</v>
      </c>
      <c r="I604" s="350" t="s">
        <v>178</v>
      </c>
    </row>
    <row r="605" spans="2:9" ht="14.5" thickBot="1">
      <c r="B605" s="351" t="s">
        <v>811</v>
      </c>
      <c r="C605" s="352" t="s">
        <v>17</v>
      </c>
      <c r="D605" s="352" t="s">
        <v>177</v>
      </c>
      <c r="E605" s="352">
        <v>39</v>
      </c>
      <c r="F605" s="352">
        <v>40</v>
      </c>
      <c r="G605" s="352">
        <v>73</v>
      </c>
      <c r="H605" s="352">
        <v>53</v>
      </c>
      <c r="I605" s="353" t="s">
        <v>178</v>
      </c>
    </row>
  </sheetData>
  <autoFilter ref="B4:I605" xr:uid="{00000000-0009-0000-0000-00000300000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outlinePr summaryBelow="0" summaryRight="0"/>
  </sheetPr>
  <dimension ref="B1:I24"/>
  <sheetViews>
    <sheetView showGridLines="0" zoomScale="50" zoomScaleNormal="50" workbookViewId="0">
      <selection activeCell="B2" sqref="B2"/>
    </sheetView>
  </sheetViews>
  <sheetFormatPr defaultColWidth="12.54296875" defaultRowHeight="15.75" customHeight="1"/>
  <cols>
    <col min="1" max="1" width="1.54296875" customWidth="1"/>
    <col min="2" max="2" width="14.7265625" bestFit="1" customWidth="1"/>
    <col min="3" max="3" width="19.453125" bestFit="1" customWidth="1"/>
    <col min="4" max="4" width="17.7265625" bestFit="1" customWidth="1"/>
    <col min="7" max="7" width="6.453125" bestFit="1" customWidth="1"/>
    <col min="8" max="8" width="19.453125" bestFit="1" customWidth="1"/>
    <col min="9" max="9" width="17.81640625" bestFit="1" customWidth="1"/>
  </cols>
  <sheetData>
    <row r="1" spans="2:9" ht="10.15" customHeight="1"/>
    <row r="2" spans="2:9" ht="15.75" customHeight="1">
      <c r="B2" s="254" t="s">
        <v>988</v>
      </c>
    </row>
    <row r="3" spans="2:9" ht="15.75" customHeight="1" thickBot="1"/>
    <row r="4" spans="2:9" ht="13">
      <c r="B4" s="255" t="s">
        <v>812</v>
      </c>
      <c r="C4" s="256" t="s">
        <v>813</v>
      </c>
      <c r="D4" s="257" t="s">
        <v>814</v>
      </c>
      <c r="G4" s="264" t="s">
        <v>815</v>
      </c>
      <c r="H4" s="265" t="s">
        <v>816</v>
      </c>
      <c r="I4" s="266" t="s">
        <v>817</v>
      </c>
    </row>
    <row r="5" spans="2:9" ht="15.75" customHeight="1">
      <c r="B5" s="258" t="s">
        <v>818</v>
      </c>
      <c r="C5" s="259" t="s">
        <v>819</v>
      </c>
      <c r="D5" s="258">
        <v>20</v>
      </c>
      <c r="G5" s="267" t="s">
        <v>818</v>
      </c>
      <c r="H5" s="268" t="s">
        <v>819</v>
      </c>
      <c r="I5" s="269" t="s">
        <v>819</v>
      </c>
    </row>
    <row r="6" spans="2:9" ht="15.75" customHeight="1">
      <c r="B6" s="260" t="s">
        <v>820</v>
      </c>
      <c r="C6" s="261"/>
      <c r="D6" s="260">
        <v>19</v>
      </c>
      <c r="G6" s="267" t="s">
        <v>821</v>
      </c>
      <c r="H6" s="268" t="s">
        <v>822</v>
      </c>
      <c r="I6" s="269" t="s">
        <v>823</v>
      </c>
    </row>
    <row r="7" spans="2:9" ht="15.75" customHeight="1">
      <c r="B7" s="260" t="s">
        <v>821</v>
      </c>
      <c r="C7" s="261" t="s">
        <v>822</v>
      </c>
      <c r="D7" s="260">
        <v>18</v>
      </c>
      <c r="G7" s="267" t="s">
        <v>824</v>
      </c>
      <c r="H7" s="268" t="s">
        <v>825</v>
      </c>
      <c r="I7" s="269" t="s">
        <v>826</v>
      </c>
    </row>
    <row r="8" spans="2:9" ht="15.75" customHeight="1">
      <c r="B8" s="260" t="s">
        <v>827</v>
      </c>
      <c r="C8" s="261"/>
      <c r="D8" s="260">
        <v>17</v>
      </c>
      <c r="G8" s="267" t="s">
        <v>828</v>
      </c>
      <c r="H8" s="268" t="s">
        <v>829</v>
      </c>
      <c r="I8" s="269" t="s">
        <v>830</v>
      </c>
    </row>
    <row r="9" spans="2:9" ht="15.75" customHeight="1">
      <c r="B9" s="260" t="s">
        <v>831</v>
      </c>
      <c r="C9" s="261"/>
      <c r="D9" s="260">
        <v>16</v>
      </c>
      <c r="G9" s="267" t="s">
        <v>832</v>
      </c>
      <c r="H9" s="268" t="s">
        <v>833</v>
      </c>
      <c r="I9" s="269" t="s">
        <v>834</v>
      </c>
    </row>
    <row r="10" spans="2:9" ht="15.75" customHeight="1">
      <c r="B10" s="260" t="s">
        <v>824</v>
      </c>
      <c r="C10" s="261" t="s">
        <v>825</v>
      </c>
      <c r="D10" s="260">
        <v>15</v>
      </c>
      <c r="G10" s="267" t="s">
        <v>835</v>
      </c>
      <c r="H10" s="268" t="s">
        <v>836</v>
      </c>
      <c r="I10" s="269" t="s">
        <v>837</v>
      </c>
    </row>
    <row r="11" spans="2:9" ht="15.75" customHeight="1">
      <c r="B11" s="260" t="s">
        <v>838</v>
      </c>
      <c r="C11" s="261"/>
      <c r="D11" s="260">
        <v>14</v>
      </c>
      <c r="G11" s="267" t="s">
        <v>839</v>
      </c>
      <c r="H11" s="268" t="s">
        <v>840</v>
      </c>
      <c r="I11" s="269" t="s">
        <v>841</v>
      </c>
    </row>
    <row r="12" spans="2:9" ht="15.75" customHeight="1" thickBot="1">
      <c r="B12" s="260" t="s">
        <v>842</v>
      </c>
      <c r="C12" s="261"/>
      <c r="D12" s="260">
        <v>13</v>
      </c>
      <c r="G12" s="270" t="s">
        <v>843</v>
      </c>
      <c r="H12" s="271" t="s">
        <v>844</v>
      </c>
      <c r="I12" s="272" t="s">
        <v>843</v>
      </c>
    </row>
    <row r="13" spans="2:9" ht="15.75" customHeight="1">
      <c r="B13" s="260" t="s">
        <v>828</v>
      </c>
      <c r="C13" s="261" t="s">
        <v>829</v>
      </c>
      <c r="D13" s="260">
        <v>12</v>
      </c>
    </row>
    <row r="14" spans="2:9" ht="15.75" customHeight="1">
      <c r="B14" s="260" t="s">
        <v>845</v>
      </c>
      <c r="C14" s="261"/>
      <c r="D14" s="260">
        <v>11</v>
      </c>
    </row>
    <row r="15" spans="2:9" ht="15.75" customHeight="1">
      <c r="B15" s="260" t="s">
        <v>846</v>
      </c>
      <c r="C15" s="261"/>
      <c r="D15" s="260">
        <v>10</v>
      </c>
    </row>
    <row r="16" spans="2:9" ht="15.75" customHeight="1">
      <c r="B16" s="260" t="s">
        <v>832</v>
      </c>
      <c r="C16" s="261" t="s">
        <v>833</v>
      </c>
      <c r="D16" s="260">
        <v>9</v>
      </c>
    </row>
    <row r="17" spans="2:4" ht="15.75" customHeight="1">
      <c r="B17" s="260" t="s">
        <v>847</v>
      </c>
      <c r="C17" s="261"/>
      <c r="D17" s="260">
        <v>8</v>
      </c>
    </row>
    <row r="18" spans="2:4" ht="15.75" customHeight="1">
      <c r="B18" s="260" t="s">
        <v>848</v>
      </c>
      <c r="C18" s="261"/>
      <c r="D18" s="260">
        <v>7</v>
      </c>
    </row>
    <row r="19" spans="2:4" ht="15.75" customHeight="1">
      <c r="B19" s="260" t="s">
        <v>835</v>
      </c>
      <c r="C19" s="261" t="s">
        <v>836</v>
      </c>
      <c r="D19" s="260">
        <v>6</v>
      </c>
    </row>
    <row r="20" spans="2:4" ht="15.75" customHeight="1">
      <c r="B20" s="260" t="s">
        <v>849</v>
      </c>
      <c r="C20" s="261"/>
      <c r="D20" s="260">
        <v>5</v>
      </c>
    </row>
    <row r="21" spans="2:4" ht="15.75" customHeight="1">
      <c r="B21" s="260" t="s">
        <v>850</v>
      </c>
      <c r="C21" s="261"/>
      <c r="D21" s="260">
        <v>4</v>
      </c>
    </row>
    <row r="22" spans="2:4" ht="12.5">
      <c r="B22" s="260" t="s">
        <v>839</v>
      </c>
      <c r="C22" s="261" t="s">
        <v>840</v>
      </c>
      <c r="D22" s="260">
        <v>3</v>
      </c>
    </row>
    <row r="23" spans="2:4" ht="12.5">
      <c r="B23" s="260" t="s">
        <v>851</v>
      </c>
      <c r="C23" s="261"/>
      <c r="D23" s="260">
        <v>2</v>
      </c>
    </row>
    <row r="24" spans="2:4" ht="12.5">
      <c r="B24" s="262" t="s">
        <v>843</v>
      </c>
      <c r="C24" s="263" t="s">
        <v>844</v>
      </c>
      <c r="D24" s="262">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90B6D-FAC3-433A-90DF-5A6EA48360DC}">
  <sheetPr codeName="Sheet19"/>
  <dimension ref="B1:R47"/>
  <sheetViews>
    <sheetView showGridLines="0" zoomScale="50" zoomScaleNormal="50" workbookViewId="0">
      <selection activeCell="G44" sqref="G44"/>
    </sheetView>
  </sheetViews>
  <sheetFormatPr defaultColWidth="12.54296875" defaultRowHeight="12.5"/>
  <cols>
    <col min="1" max="1" width="2.54296875" customWidth="1"/>
    <col min="2" max="2" width="34" bestFit="1" customWidth="1"/>
    <col min="3" max="3" width="28.81640625" bestFit="1" customWidth="1"/>
    <col min="4" max="4" width="18.26953125" bestFit="1" customWidth="1"/>
    <col min="5" max="5" width="12.26953125" bestFit="1" customWidth="1"/>
    <col min="6" max="6" width="28.81640625" bestFit="1" customWidth="1"/>
    <col min="7" max="7" width="30.1796875" bestFit="1" customWidth="1"/>
    <col min="8" max="8" width="15.453125" bestFit="1" customWidth="1"/>
    <col min="9" max="9" width="13.26953125" bestFit="1" customWidth="1"/>
    <col min="10" max="10" width="14" bestFit="1" customWidth="1"/>
    <col min="11" max="11" width="16.453125" bestFit="1" customWidth="1"/>
    <col min="12" max="12" width="14.81640625" bestFit="1" customWidth="1"/>
    <col min="13" max="13" width="13.26953125" bestFit="1" customWidth="1"/>
    <col min="14" max="14" width="15.54296875" bestFit="1" customWidth="1"/>
    <col min="15" max="15" width="17.7265625" bestFit="1" customWidth="1"/>
    <col min="16" max="16" width="15" bestFit="1" customWidth="1"/>
    <col min="17" max="17" width="14.81640625" bestFit="1" customWidth="1"/>
    <col min="18" max="18" width="18" bestFit="1" customWidth="1"/>
  </cols>
  <sheetData>
    <row r="1" spans="2:17" ht="15" thickBot="1">
      <c r="B1" s="273"/>
      <c r="C1" s="274" t="s">
        <v>852</v>
      </c>
      <c r="D1" s="274" t="s">
        <v>853</v>
      </c>
      <c r="E1" s="274" t="s">
        <v>853</v>
      </c>
      <c r="F1" s="274" t="s">
        <v>853</v>
      </c>
      <c r="G1" s="274" t="s">
        <v>853</v>
      </c>
      <c r="H1" s="274" t="s">
        <v>853</v>
      </c>
      <c r="I1" s="274" t="s">
        <v>853</v>
      </c>
      <c r="J1" s="274" t="s">
        <v>853</v>
      </c>
      <c r="K1" s="274" t="s">
        <v>853</v>
      </c>
      <c r="L1" s="274" t="s">
        <v>853</v>
      </c>
      <c r="M1" s="274" t="s">
        <v>853</v>
      </c>
      <c r="N1" s="274" t="s">
        <v>852</v>
      </c>
      <c r="O1" s="274" t="s">
        <v>852</v>
      </c>
      <c r="P1" s="274" t="s">
        <v>853</v>
      </c>
      <c r="Q1" s="274" t="s">
        <v>853</v>
      </c>
    </row>
    <row r="2" spans="2:17" ht="15" customHeight="1">
      <c r="B2" s="278" t="s">
        <v>865</v>
      </c>
      <c r="C2" s="279" t="s">
        <v>108</v>
      </c>
      <c r="D2" s="279" t="s">
        <v>109</v>
      </c>
      <c r="E2" s="279" t="s">
        <v>110</v>
      </c>
      <c r="F2" s="279" t="s">
        <v>111</v>
      </c>
      <c r="G2" s="279" t="s">
        <v>112</v>
      </c>
      <c r="H2" s="279" t="s">
        <v>113</v>
      </c>
      <c r="I2" s="279" t="s">
        <v>114</v>
      </c>
      <c r="J2" s="279" t="s">
        <v>115</v>
      </c>
      <c r="K2" s="279" t="s">
        <v>116</v>
      </c>
      <c r="L2" s="279" t="s">
        <v>117</v>
      </c>
      <c r="M2" s="279" t="s">
        <v>118</v>
      </c>
      <c r="N2" s="279" t="s">
        <v>119</v>
      </c>
      <c r="O2" s="279" t="s">
        <v>120</v>
      </c>
      <c r="P2" s="279" t="s">
        <v>121</v>
      </c>
      <c r="Q2" s="280" t="s">
        <v>122</v>
      </c>
    </row>
    <row r="3" spans="2:17" ht="14">
      <c r="B3" s="281" t="s">
        <v>923</v>
      </c>
      <c r="C3" s="275">
        <f>INDEX('Company data'!$C$5:$V$64,MATCH(TOPSIS_FMCG!$B3,'Company data'!$B$5:$B$64,0),MATCH(TOPSIS_FMCG!C$2,'Company data'!$C$4:$V$4,0))</f>
        <v>2554.75</v>
      </c>
      <c r="D3" s="275">
        <f>INDEX('Company data'!$C$5:$V$64,MATCH(TOPSIS_FMCG!$B3,'Company data'!$B$5:$B$64,0),MATCH(TOPSIS_FMCG!D$2,'Company data'!$C$4:$V$4,0))</f>
        <v>64</v>
      </c>
      <c r="E3" s="275">
        <f>INDEX('Company data'!$C$5:$V$64,MATCH(TOPSIS_FMCG!$B3,'Company data'!$B$5:$B$64,0),MATCH(TOPSIS_FMCG!E$2,'Company data'!$C$4:$V$4,0))</f>
        <v>55</v>
      </c>
      <c r="F3" s="275">
        <f>INDEX('Company data'!$C$5:$V$64,MATCH(TOPSIS_FMCG!$B3,'Company data'!$B$5:$B$64,0),MATCH(TOPSIS_FMCG!F$2,'Company data'!$C$4:$V$4,0))</f>
        <v>78</v>
      </c>
      <c r="G3" s="276">
        <f>INDEX('Company data'!$C$5:$V$64,MATCH(TOPSIS_FMCG!$B3,'Company data'!$B$5:$B$64,0),MATCH(TOPSIS_FMCG!G$2,'Company data'!$C$4:$V$4,0))</f>
        <v>0.11</v>
      </c>
      <c r="H3" s="275">
        <f>INDEX('Company data'!$C$5:$V$64,MATCH(TOPSIS_FMCG!$B3,'Company data'!$B$5:$B$64,0),MATCH(TOPSIS_FMCG!H$2,'Company data'!$C$4:$V$4,0))</f>
        <v>600261.82999999996</v>
      </c>
      <c r="I3" s="276">
        <f>INDEX('Company data'!$C$5:$V$64,MATCH(TOPSIS_FMCG!$B3,'Company data'!$B$5:$B$64,0),MATCH(TOPSIS_FMCG!I$2,'Company data'!$C$4:$V$4,0))</f>
        <v>0.252</v>
      </c>
      <c r="J3" s="277">
        <f>INDEX('Company data'!$C$5:$V$64,MATCH(TOPSIS_FMCG!$B3,'Company data'!$B$5:$B$64,0),MATCH(TOPSIS_FMCG!J$2,'Company data'!$C$4:$V$4,0))</f>
        <v>0.10780000000000001</v>
      </c>
      <c r="K3" s="275">
        <f>INDEX('Company data'!$C$5:$V$64,MATCH(TOPSIS_FMCG!$B3,'Company data'!$B$5:$B$64,0),MATCH(TOPSIS_FMCG!K$2,'Company data'!$C$4:$V$4,0))</f>
        <v>1511794</v>
      </c>
      <c r="L3" s="277">
        <f>INDEX('Company data'!$C$5:$V$64,MATCH(TOPSIS_FMCG!$B3,'Company data'!$B$5:$B$64,0),MATCH(TOPSIS_FMCG!L$2,'Company data'!$C$4:$V$4,0))</f>
        <v>0.1198</v>
      </c>
      <c r="M3" s="275">
        <f>INDEX('Company data'!$C$5:$V$64,MATCH(TOPSIS_FMCG!$B3,'Company data'!$B$5:$B$64,0),MATCH(TOPSIS_FMCG!M$2,'Company data'!$C$4:$V$4,0))</f>
        <v>20</v>
      </c>
      <c r="N3" s="275">
        <f>INDEX('Company data'!$C$5:$V$64,MATCH(TOPSIS_FMCG!$B3,'Company data'!$B$5:$B$64,0),MATCH(TOPSIS_FMCG!N$2,'Company data'!$C$4:$V$4,0))</f>
        <v>1219</v>
      </c>
      <c r="O3" s="275">
        <f>INDEX('Company data'!$C$5:$V$64,MATCH(TOPSIS_FMCG!$B3,'Company data'!$B$5:$B$64,0),MATCH(TOPSIS_FMCG!O$2,'Company data'!$C$4:$V$4,0))</f>
        <v>0.02</v>
      </c>
      <c r="P3" s="277">
        <f>INDEX('Company data'!$C$5:$V$64,MATCH(TOPSIS_FMCG!$B3,'Company data'!$B$5:$B$64,0),MATCH(TOPSIS_FMCG!P$2,'Company data'!$C$4:$V$4,0))</f>
        <v>0.20469999999999999</v>
      </c>
      <c r="Q3" s="282">
        <f>INDEX('Company data'!$C$5:$V$64,MATCH(TOPSIS_FMCG!$B3,'Company data'!$B$5:$B$64,0),MATCH(TOPSIS_FMCG!Q$2,'Company data'!$C$4:$V$4,0))</f>
        <v>39.86</v>
      </c>
    </row>
    <row r="4" spans="2:17" ht="14">
      <c r="B4" s="281" t="s">
        <v>924</v>
      </c>
      <c r="C4" s="275">
        <f>INDEX('Company data'!$C$5:$V$64,MATCH(TOPSIS_FMCG!$B4,'Company data'!$B$5:$B$64,0),MATCH(TOPSIS_FMCG!C$2,'Company data'!$C$4:$V$4,0))</f>
        <v>21830</v>
      </c>
      <c r="D4" s="275">
        <f>INDEX('Company data'!$C$5:$V$64,MATCH(TOPSIS_FMCG!$B4,'Company data'!$B$5:$B$64,0),MATCH(TOPSIS_FMCG!D$2,'Company data'!$C$4:$V$4,0))</f>
        <v>48</v>
      </c>
      <c r="E4" s="275">
        <f>INDEX('Company data'!$C$5:$V$64,MATCH(TOPSIS_FMCG!$B4,'Company data'!$B$5:$B$64,0),MATCH(TOPSIS_FMCG!E$2,'Company data'!$C$4:$V$4,0))</f>
        <v>56</v>
      </c>
      <c r="F4" s="275">
        <f>INDEX('Company data'!$C$5:$V$64,MATCH(TOPSIS_FMCG!$B4,'Company data'!$B$5:$B$64,0),MATCH(TOPSIS_FMCG!F$2,'Company data'!$C$4:$V$4,0))</f>
        <v>75</v>
      </c>
      <c r="G4" s="276">
        <f>INDEX('Company data'!$C$5:$V$64,MATCH(TOPSIS_FMCG!$B4,'Company data'!$B$5:$B$64,0),MATCH(TOPSIS_FMCG!G$2,'Company data'!$C$4:$V$4,0))</f>
        <v>0.1</v>
      </c>
      <c r="H4" s="275">
        <f>INDEX('Company data'!$C$5:$V$64,MATCH(TOPSIS_FMCG!$B4,'Company data'!$B$5:$B$64,0),MATCH(TOPSIS_FMCG!H$2,'Company data'!$C$4:$V$4,0))</f>
        <v>210475.51</v>
      </c>
      <c r="I4" s="276">
        <f>INDEX('Company data'!$C$5:$V$64,MATCH(TOPSIS_FMCG!$B4,'Company data'!$B$5:$B$64,0),MATCH(TOPSIS_FMCG!I$2,'Company data'!$C$4:$V$4,0))</f>
        <v>0.151</v>
      </c>
      <c r="J4" s="277">
        <f>INDEX('Company data'!$C$5:$V$64,MATCH(TOPSIS_FMCG!$B4,'Company data'!$B$5:$B$64,0),MATCH(TOPSIS_FMCG!J$2,'Company data'!$C$4:$V$4,0))</f>
        <v>6.6199999999999995E-2</v>
      </c>
      <c r="K4" s="275">
        <f>INDEX('Company data'!$C$5:$V$64,MATCH(TOPSIS_FMCG!$B4,'Company data'!$B$5:$B$64,0),MATCH(TOPSIS_FMCG!K$2,'Company data'!$C$4:$V$4,0))</f>
        <v>63848</v>
      </c>
      <c r="L4" s="277">
        <f>INDEX('Company data'!$C$5:$V$64,MATCH(TOPSIS_FMCG!$B4,'Company data'!$B$5:$B$64,0),MATCH(TOPSIS_FMCG!L$2,'Company data'!$C$4:$V$4,0))</f>
        <v>0.17100000000000001</v>
      </c>
      <c r="M4" s="275">
        <f>INDEX('Company data'!$C$5:$V$64,MATCH(TOPSIS_FMCG!$B4,'Company data'!$B$5:$B$64,0),MATCH(TOPSIS_FMCG!M$2,'Company data'!$C$4:$V$4,0))</f>
        <v>20</v>
      </c>
      <c r="N4" s="275">
        <f>INDEX('Company data'!$C$5:$V$64,MATCH(TOPSIS_FMCG!$B4,'Company data'!$B$5:$B$64,0),MATCH(TOPSIS_FMCG!N$2,'Company data'!$C$4:$V$4,0))</f>
        <v>288.49</v>
      </c>
      <c r="O4" s="275">
        <f>INDEX('Company data'!$C$5:$V$64,MATCH(TOPSIS_FMCG!$B4,'Company data'!$B$5:$B$64,0),MATCH(TOPSIS_FMCG!O$2,'Company data'!$C$4:$V$4,0))</f>
        <v>0.1</v>
      </c>
      <c r="P4" s="277">
        <f>INDEX('Company data'!$C$5:$V$64,MATCH(TOPSIS_FMCG!$B4,'Company data'!$B$5:$B$64,0),MATCH(TOPSIS_FMCG!P$2,'Company data'!$C$4:$V$4,0))</f>
        <v>1.0831</v>
      </c>
      <c r="Q4" s="282">
        <f>INDEX('Company data'!$C$5:$V$64,MATCH(TOPSIS_FMCG!$B4,'Company data'!$B$5:$B$64,0),MATCH(TOPSIS_FMCG!Q$2,'Company data'!$C$4:$V$4,0))</f>
        <v>49.48</v>
      </c>
    </row>
    <row r="5" spans="2:17" ht="14">
      <c r="B5" s="281" t="s">
        <v>925</v>
      </c>
      <c r="C5" s="275">
        <f>INDEX('Company data'!$C$5:$V$64,MATCH(TOPSIS_FMCG!$B5,'Company data'!$B$5:$B$64,0),MATCH(TOPSIS_FMCG!C$2,'Company data'!$C$4:$V$4,0))</f>
        <v>899.25</v>
      </c>
      <c r="D5" s="275">
        <f>INDEX('Company data'!$C$5:$V$64,MATCH(TOPSIS_FMCG!$B5,'Company data'!$B$5:$B$64,0),MATCH(TOPSIS_FMCG!D$2,'Company data'!$C$4:$V$4,0))</f>
        <v>42</v>
      </c>
      <c r="E5" s="275">
        <f>INDEX('Company data'!$C$5:$V$64,MATCH(TOPSIS_FMCG!$B5,'Company data'!$B$5:$B$64,0),MATCH(TOPSIS_FMCG!E$2,'Company data'!$C$4:$V$4,0))</f>
        <v>39</v>
      </c>
      <c r="F5" s="275">
        <f>INDEX('Company data'!$C$5:$V$64,MATCH(TOPSIS_FMCG!$B5,'Company data'!$B$5:$B$64,0),MATCH(TOPSIS_FMCG!F$2,'Company data'!$C$4:$V$4,0))</f>
        <v>65</v>
      </c>
      <c r="G5" s="276">
        <f>INDEX('Company data'!$C$5:$V$64,MATCH(TOPSIS_FMCG!$B5,'Company data'!$B$5:$B$64,0),MATCH(TOPSIS_FMCG!G$2,'Company data'!$C$4:$V$4,0))</f>
        <v>0.13</v>
      </c>
      <c r="H5" s="275">
        <f>INDEX('Company data'!$C$5:$V$64,MATCH(TOPSIS_FMCG!$B5,'Company data'!$B$5:$B$64,0),MATCH(TOPSIS_FMCG!H$2,'Company data'!$C$4:$V$4,0))</f>
        <v>116823.01</v>
      </c>
      <c r="I5" s="276">
        <f>INDEX('Company data'!$C$5:$V$64,MATCH(TOPSIS_FMCG!$B5,'Company data'!$B$5:$B$64,0),MATCH(TOPSIS_FMCG!I$2,'Company data'!$C$4:$V$4,0))</f>
        <v>0.22259999999999999</v>
      </c>
      <c r="J5" s="277">
        <f>INDEX('Company data'!$C$5:$V$64,MATCH(TOPSIS_FMCG!$B5,'Company data'!$B$5:$B$64,0),MATCH(TOPSIS_FMCG!J$2,'Company data'!$C$4:$V$4,0))</f>
        <v>0.48759999999999998</v>
      </c>
      <c r="K5" s="275">
        <f>INDEX('Company data'!$C$5:$V$64,MATCH(TOPSIS_FMCG!$B5,'Company data'!$B$5:$B$64,0),MATCH(TOPSIS_FMCG!K$2,'Company data'!$C$4:$V$4,0))</f>
        <v>2027406</v>
      </c>
      <c r="L5" s="277">
        <f>INDEX('Company data'!$C$5:$V$64,MATCH(TOPSIS_FMCG!$B5,'Company data'!$B$5:$B$64,0),MATCH(TOPSIS_FMCG!L$2,'Company data'!$C$4:$V$4,0))</f>
        <v>0.25009999999999999</v>
      </c>
      <c r="M5" s="275">
        <f>INDEX('Company data'!$C$5:$V$64,MATCH(TOPSIS_FMCG!$B5,'Company data'!$B$5:$B$64,0),MATCH(TOPSIS_FMCG!M$2,'Company data'!$C$4:$V$4,0))</f>
        <v>19</v>
      </c>
      <c r="N5" s="275">
        <f>INDEX('Company data'!$C$5:$V$64,MATCH(TOPSIS_FMCG!$B5,'Company data'!$B$5:$B$64,0),MATCH(TOPSIS_FMCG!N$2,'Company data'!$C$4:$V$4,0))</f>
        <v>3726.41</v>
      </c>
      <c r="O5" s="275">
        <f>INDEX('Company data'!$C$5:$V$64,MATCH(TOPSIS_FMCG!$B5,'Company data'!$B$5:$B$64,0),MATCH(TOPSIS_FMCG!O$2,'Company data'!$C$4:$V$4,0))</f>
        <v>0.56999999999999995</v>
      </c>
      <c r="P5" s="277">
        <f>INDEX('Company data'!$C$5:$V$64,MATCH(TOPSIS_FMCG!$B5,'Company data'!$B$5:$B$64,0),MATCH(TOPSIS_FMCG!P$2,'Company data'!$C$4:$V$4,0))</f>
        <v>0.33539999999999998</v>
      </c>
      <c r="Q5" s="282">
        <f>INDEX('Company data'!$C$5:$V$64,MATCH(TOPSIS_FMCG!$B5,'Company data'!$B$5:$B$64,0),MATCH(TOPSIS_FMCG!Q$2,'Company data'!$C$4:$V$4,0))</f>
        <v>35.5</v>
      </c>
    </row>
    <row r="6" spans="2:17" ht="14">
      <c r="B6" s="281" t="s">
        <v>926</v>
      </c>
      <c r="C6" s="275">
        <f>INDEX('Company data'!$C$5:$V$64,MATCH(TOPSIS_FMCG!$B6,'Company data'!$B$5:$B$64,0),MATCH(TOPSIS_FMCG!C$2,'Company data'!$C$4:$V$4,0))</f>
        <v>1074.95</v>
      </c>
      <c r="D6" s="275">
        <f>INDEX('Company data'!$C$5:$V$64,MATCH(TOPSIS_FMCG!$B6,'Company data'!$B$5:$B$64,0),MATCH(TOPSIS_FMCG!D$2,'Company data'!$C$4:$V$4,0))</f>
        <v>38</v>
      </c>
      <c r="E6" s="275">
        <f>INDEX('Company data'!$C$5:$V$64,MATCH(TOPSIS_FMCG!$B6,'Company data'!$B$5:$B$64,0),MATCH(TOPSIS_FMCG!E$2,'Company data'!$C$4:$V$4,0))</f>
        <v>48</v>
      </c>
      <c r="F6" s="275">
        <f>INDEX('Company data'!$C$5:$V$64,MATCH(TOPSIS_FMCG!$B6,'Company data'!$B$5:$B$64,0),MATCH(TOPSIS_FMCG!F$2,'Company data'!$C$4:$V$4,0))</f>
        <v>74</v>
      </c>
      <c r="G6" s="276">
        <f>INDEX('Company data'!$C$5:$V$64,MATCH(TOPSIS_FMCG!$B6,'Company data'!$B$5:$B$64,0),MATCH(TOPSIS_FMCG!G$2,'Company data'!$C$4:$V$4,0))</f>
        <v>0.09</v>
      </c>
      <c r="H6" s="275">
        <f>INDEX('Company data'!$C$5:$V$64,MATCH(TOPSIS_FMCG!$B6,'Company data'!$B$5:$B$64,0),MATCH(TOPSIS_FMCG!H$2,'Company data'!$C$4:$V$4,0))</f>
        <v>6322.58</v>
      </c>
      <c r="I6" s="276">
        <f>INDEX('Company data'!$C$5:$V$64,MATCH(TOPSIS_FMCG!$B6,'Company data'!$B$5:$B$64,0),MATCH(TOPSIS_FMCG!I$2,'Company data'!$C$4:$V$4,0))</f>
        <v>4.4999999999999998E-2</v>
      </c>
      <c r="J6" s="277">
        <f>INDEX('Company data'!$C$5:$V$64,MATCH(TOPSIS_FMCG!$B6,'Company data'!$B$5:$B$64,0),MATCH(TOPSIS_FMCG!J$2,'Company data'!$C$4:$V$4,0))</f>
        <v>0.42559999999999998</v>
      </c>
      <c r="K6" s="275">
        <f>INDEX('Company data'!$C$5:$V$64,MATCH(TOPSIS_FMCG!$B6,'Company data'!$B$5:$B$64,0),MATCH(TOPSIS_FMCG!K$2,'Company data'!$C$4:$V$4,0))</f>
        <v>274329</v>
      </c>
      <c r="L6" s="277">
        <f>INDEX('Company data'!$C$5:$V$64,MATCH(TOPSIS_FMCG!$B6,'Company data'!$B$5:$B$64,0),MATCH(TOPSIS_FMCG!L$2,'Company data'!$C$4:$V$4,0))</f>
        <v>0.35099999999999998</v>
      </c>
      <c r="M6" s="275">
        <f>INDEX('Company data'!$C$5:$V$64,MATCH(TOPSIS_FMCG!$B6,'Company data'!$B$5:$B$64,0),MATCH(TOPSIS_FMCG!M$2,'Company data'!$C$4:$V$4,0))</f>
        <v>17</v>
      </c>
      <c r="N6" s="275">
        <f>INDEX('Company data'!$C$5:$V$64,MATCH(TOPSIS_FMCG!$B6,'Company data'!$B$5:$B$64,0),MATCH(TOPSIS_FMCG!N$2,'Company data'!$C$4:$V$4,0))</f>
        <v>127</v>
      </c>
      <c r="O6" s="275">
        <f>INDEX('Company data'!$C$5:$V$64,MATCH(TOPSIS_FMCG!$B6,'Company data'!$B$5:$B$64,0),MATCH(TOPSIS_FMCG!O$2,'Company data'!$C$4:$V$4,0))</f>
        <v>0.23</v>
      </c>
      <c r="P6" s="277">
        <f>INDEX('Company data'!$C$5:$V$64,MATCH(TOPSIS_FMCG!$B6,'Company data'!$B$5:$B$64,0),MATCH(TOPSIS_FMCG!P$2,'Company data'!$C$4:$V$4,0))</f>
        <v>0.17780000000000001</v>
      </c>
      <c r="Q6" s="282">
        <f>INDEX('Company data'!$C$5:$V$64,MATCH(TOPSIS_FMCG!$B6,'Company data'!$B$5:$B$64,0),MATCH(TOPSIS_FMCG!Q$2,'Company data'!$C$4:$V$4,0))</f>
        <v>29.46</v>
      </c>
    </row>
    <row r="7" spans="2:17" ht="14.5" thickBot="1">
      <c r="B7" s="283" t="s">
        <v>927</v>
      </c>
      <c r="C7" s="284">
        <f>INDEX('Company data'!$C$5:$V$64,MATCH(TOPSIS_FMCG!$B7,'Company data'!$B$5:$B$64,0),MATCH(TOPSIS_FMCG!C$2,'Company data'!$C$4:$V$4,0))</f>
        <v>244.05</v>
      </c>
      <c r="D7" s="284">
        <f>INDEX('Company data'!$C$5:$V$64,MATCH(TOPSIS_FMCG!$B7,'Company data'!$B$5:$B$64,0),MATCH(TOPSIS_FMCG!D$2,'Company data'!$C$4:$V$4,0))</f>
        <v>40</v>
      </c>
      <c r="E7" s="284">
        <f>INDEX('Company data'!$C$5:$V$64,MATCH(TOPSIS_FMCG!$B7,'Company data'!$B$5:$B$64,0),MATCH(TOPSIS_FMCG!E$2,'Company data'!$C$4:$V$4,0))</f>
        <v>51</v>
      </c>
      <c r="F7" s="284">
        <f>INDEX('Company data'!$C$5:$V$64,MATCH(TOPSIS_FMCG!$B7,'Company data'!$B$5:$B$64,0),MATCH(TOPSIS_FMCG!F$2,'Company data'!$C$4:$V$4,0))</f>
        <v>71</v>
      </c>
      <c r="G7" s="285">
        <f>INDEX('Company data'!$C$5:$V$64,MATCH(TOPSIS_FMCG!$B7,'Company data'!$B$5:$B$64,0),MATCH(TOPSIS_FMCG!G$2,'Company data'!$C$4:$V$4,0))</f>
        <v>0.08</v>
      </c>
      <c r="H7" s="284">
        <f>INDEX('Company data'!$C$5:$V$64,MATCH(TOPSIS_FMCG!$B7,'Company data'!$B$5:$B$64,0),MATCH(TOPSIS_FMCG!H$2,'Company data'!$C$4:$V$4,0))</f>
        <v>3529.09</v>
      </c>
      <c r="I7" s="285">
        <f>INDEX('Company data'!$C$5:$V$64,MATCH(TOPSIS_FMCG!$B7,'Company data'!$B$5:$B$64,0),MATCH(TOPSIS_FMCG!I$2,'Company data'!$C$4:$V$4,0))</f>
        <v>3.3000000000000002E-2</v>
      </c>
      <c r="J7" s="286">
        <f>INDEX('Company data'!$C$5:$V$64,MATCH(TOPSIS_FMCG!$B7,'Company data'!$B$5:$B$64,0),MATCH(TOPSIS_FMCG!J$2,'Company data'!$C$4:$V$4,0))</f>
        <v>-8.3400000000000002E-2</v>
      </c>
      <c r="K7" s="284">
        <f>INDEX('Company data'!$C$5:$V$64,MATCH(TOPSIS_FMCG!$B7,'Company data'!$B$5:$B$64,0),MATCH(TOPSIS_FMCG!K$2,'Company data'!$C$4:$V$4,0))</f>
        <v>562932</v>
      </c>
      <c r="L7" s="286">
        <f>INDEX('Company data'!$C$5:$V$64,MATCH(TOPSIS_FMCG!$B7,'Company data'!$B$5:$B$64,0),MATCH(TOPSIS_FMCG!L$2,'Company data'!$C$4:$V$4,0))</f>
        <v>7.5499999999999998E-2</v>
      </c>
      <c r="M7" s="284">
        <f>INDEX('Company data'!$C$5:$V$64,MATCH(TOPSIS_FMCG!$B7,'Company data'!$B$5:$B$64,0),MATCH(TOPSIS_FMCG!M$2,'Company data'!$C$4:$V$4,0))</f>
        <v>18</v>
      </c>
      <c r="N7" s="284">
        <f>INDEX('Company data'!$C$5:$V$64,MATCH(TOPSIS_FMCG!$B7,'Company data'!$B$5:$B$64,0),MATCH(TOPSIS_FMCG!N$2,'Company data'!$C$4:$V$4,0))</f>
        <v>9.2799999999999994</v>
      </c>
      <c r="O7" s="284">
        <f>INDEX('Company data'!$C$5:$V$64,MATCH(TOPSIS_FMCG!$B7,'Company data'!$B$5:$B$64,0),MATCH(TOPSIS_FMCG!O$2,'Company data'!$C$4:$V$4,0))</f>
        <v>0.01</v>
      </c>
      <c r="P7" s="286">
        <f>INDEX('Company data'!$C$5:$V$64,MATCH(TOPSIS_FMCG!$B7,'Company data'!$B$5:$B$64,0),MATCH(TOPSIS_FMCG!P$2,'Company data'!$C$4:$V$4,0))</f>
        <v>0.1731</v>
      </c>
      <c r="Q7" s="287">
        <f>INDEX('Company data'!$C$5:$V$64,MATCH(TOPSIS_FMCG!$B7,'Company data'!$B$5:$B$64,0),MATCH(TOPSIS_FMCG!Q$2,'Company data'!$C$4:$V$4,0))</f>
        <v>18.18</v>
      </c>
    </row>
    <row r="8" spans="2:17" ht="15" customHeight="1" thickBot="1"/>
    <row r="9" spans="2:17" ht="15" customHeight="1" thickBot="1">
      <c r="B9" s="288" t="s">
        <v>855</v>
      </c>
      <c r="C9" s="289">
        <f>Dashboard!C18</f>
        <v>8</v>
      </c>
      <c r="D9" s="289">
        <f>Dashboard!C19</f>
        <v>9</v>
      </c>
      <c r="E9" s="289">
        <f>Dashboard!C20</f>
        <v>9</v>
      </c>
      <c r="F9" s="289">
        <f>Dashboard!C21</f>
        <v>9</v>
      </c>
      <c r="G9" s="289">
        <f>Dashboard!C22</f>
        <v>6</v>
      </c>
      <c r="H9" s="289">
        <f>Dashboard!C23</f>
        <v>7</v>
      </c>
      <c r="I9" s="289">
        <f>Dashboard!C24</f>
        <v>4</v>
      </c>
      <c r="J9" s="289">
        <f>Dashboard!C25</f>
        <v>8</v>
      </c>
      <c r="K9" s="289">
        <f>Dashboard!C26</f>
        <v>3</v>
      </c>
      <c r="L9" s="289">
        <f>Dashboard!C27</f>
        <v>5</v>
      </c>
      <c r="M9" s="289">
        <f>Dashboard!C28</f>
        <v>8</v>
      </c>
      <c r="N9" s="289">
        <f>Dashboard!C29</f>
        <v>7</v>
      </c>
      <c r="O9" s="289">
        <f>Dashboard!C30</f>
        <v>4</v>
      </c>
      <c r="P9" s="289">
        <f>Dashboard!C31</f>
        <v>6</v>
      </c>
      <c r="Q9" s="290">
        <f>Dashboard!C32</f>
        <v>5</v>
      </c>
    </row>
    <row r="10" spans="2:17" ht="15" customHeight="1" thickBot="1">
      <c r="B10" s="293" t="s">
        <v>856</v>
      </c>
      <c r="C10" s="291">
        <f t="shared" ref="C10:Q10" si="0">C9/SUM($C$9:$Q$9)</f>
        <v>8.1632653061224483E-2</v>
      </c>
      <c r="D10" s="291">
        <f t="shared" si="0"/>
        <v>9.1836734693877556E-2</v>
      </c>
      <c r="E10" s="291">
        <f t="shared" si="0"/>
        <v>9.1836734693877556E-2</v>
      </c>
      <c r="F10" s="291">
        <f t="shared" si="0"/>
        <v>9.1836734693877556E-2</v>
      </c>
      <c r="G10" s="291">
        <f t="shared" si="0"/>
        <v>6.1224489795918366E-2</v>
      </c>
      <c r="H10" s="291">
        <f t="shared" si="0"/>
        <v>7.1428571428571425E-2</v>
      </c>
      <c r="I10" s="291">
        <f t="shared" si="0"/>
        <v>4.0816326530612242E-2</v>
      </c>
      <c r="J10" s="291">
        <f t="shared" si="0"/>
        <v>8.1632653061224483E-2</v>
      </c>
      <c r="K10" s="291">
        <f t="shared" si="0"/>
        <v>3.0612244897959183E-2</v>
      </c>
      <c r="L10" s="291">
        <f t="shared" si="0"/>
        <v>5.1020408163265307E-2</v>
      </c>
      <c r="M10" s="291">
        <f t="shared" si="0"/>
        <v>8.1632653061224483E-2</v>
      </c>
      <c r="N10" s="291">
        <f t="shared" si="0"/>
        <v>7.1428571428571425E-2</v>
      </c>
      <c r="O10" s="291">
        <f t="shared" si="0"/>
        <v>4.0816326530612242E-2</v>
      </c>
      <c r="P10" s="291">
        <f t="shared" si="0"/>
        <v>6.1224489795918366E-2</v>
      </c>
      <c r="Q10" s="292">
        <f t="shared" si="0"/>
        <v>5.1020408163265307E-2</v>
      </c>
    </row>
    <row r="11" spans="2:17" ht="15" customHeight="1" thickBot="1"/>
    <row r="12" spans="2:17" ht="15" customHeight="1" thickBot="1">
      <c r="B12" s="296" t="s">
        <v>857</v>
      </c>
      <c r="C12" s="294">
        <f t="shared" ref="C12:Q12" si="1">SQRT(SUMSQ(C3:C7))</f>
        <v>22024.971646519774</v>
      </c>
      <c r="D12" s="294">
        <f t="shared" si="1"/>
        <v>105.86784214292837</v>
      </c>
      <c r="E12" s="294">
        <f t="shared" si="1"/>
        <v>112.1918000568669</v>
      </c>
      <c r="F12" s="294">
        <f t="shared" si="1"/>
        <v>162.6376340211576</v>
      </c>
      <c r="G12" s="294">
        <f t="shared" si="1"/>
        <v>0.23130067012440755</v>
      </c>
      <c r="H12" s="294">
        <f t="shared" si="1"/>
        <v>646772.1778371837</v>
      </c>
      <c r="I12" s="294">
        <f t="shared" si="1"/>
        <v>0.37278648044155249</v>
      </c>
      <c r="J12" s="294">
        <f t="shared" si="1"/>
        <v>0.66471645082696729</v>
      </c>
      <c r="K12" s="294">
        <f t="shared" si="1"/>
        <v>2606169.9083599672</v>
      </c>
      <c r="L12" s="294">
        <f t="shared" si="1"/>
        <v>0.48481367554968985</v>
      </c>
      <c r="M12" s="294">
        <f t="shared" si="1"/>
        <v>42.118879377305376</v>
      </c>
      <c r="N12" s="294">
        <f t="shared" si="1"/>
        <v>3933.3871010364592</v>
      </c>
      <c r="O12" s="294">
        <f t="shared" si="1"/>
        <v>0.62313722405261585</v>
      </c>
      <c r="P12" s="294">
        <f t="shared" si="1"/>
        <v>1.1785912395737548</v>
      </c>
      <c r="Q12" s="295">
        <f t="shared" si="1"/>
        <v>80.596178569458246</v>
      </c>
    </row>
    <row r="13" spans="2:17" ht="15" customHeight="1" thickBot="1"/>
    <row r="14" spans="2:17" ht="15" customHeight="1" thickBot="1">
      <c r="B14" s="296" t="s">
        <v>858</v>
      </c>
      <c r="C14" s="311">
        <f t="shared" ref="C14:Q18" si="2">C3/C$12</f>
        <v>0.11599333887922089</v>
      </c>
      <c r="D14" s="312">
        <f t="shared" si="2"/>
        <v>0.60452729275048322</v>
      </c>
      <c r="E14" s="312">
        <f t="shared" si="2"/>
        <v>0.49023190618317947</v>
      </c>
      <c r="F14" s="312">
        <f t="shared" si="2"/>
        <v>0.4795937943234771</v>
      </c>
      <c r="G14" s="312">
        <f t="shared" si="2"/>
        <v>0.4755714712838286</v>
      </c>
      <c r="H14" s="312">
        <f t="shared" si="2"/>
        <v>0.92808851488832578</v>
      </c>
      <c r="I14" s="312">
        <f t="shared" si="2"/>
        <v>0.67599017995908772</v>
      </c>
      <c r="J14" s="312">
        <f t="shared" si="2"/>
        <v>0.1621744126625527</v>
      </c>
      <c r="K14" s="312">
        <f t="shared" si="2"/>
        <v>0.58008267041627948</v>
      </c>
      <c r="L14" s="312">
        <f t="shared" si="2"/>
        <v>0.2471052407178258</v>
      </c>
      <c r="M14" s="312">
        <f t="shared" si="2"/>
        <v>0.4748464416832624</v>
      </c>
      <c r="N14" s="312">
        <f t="shared" si="2"/>
        <v>0.30991101782959268</v>
      </c>
      <c r="O14" s="312">
        <f t="shared" si="2"/>
        <v>3.2095659235262218E-2</v>
      </c>
      <c r="P14" s="312">
        <f t="shared" si="2"/>
        <v>0.17368192900706703</v>
      </c>
      <c r="Q14" s="313">
        <f t="shared" si="2"/>
        <v>0.49456439135818858</v>
      </c>
    </row>
    <row r="15" spans="2:17" ht="15" customHeight="1">
      <c r="C15" s="314">
        <f t="shared" si="2"/>
        <v>0.99114770045342682</v>
      </c>
      <c r="D15" s="315">
        <f t="shared" si="2"/>
        <v>0.45339546956286242</v>
      </c>
      <c r="E15" s="315">
        <f t="shared" si="2"/>
        <v>0.49914521356832819</v>
      </c>
      <c r="F15" s="315">
        <f t="shared" si="2"/>
        <v>0.46114787915718952</v>
      </c>
      <c r="G15" s="315">
        <f t="shared" si="2"/>
        <v>0.43233770116711695</v>
      </c>
      <c r="H15" s="315">
        <f t="shared" si="2"/>
        <v>0.32542449600079182</v>
      </c>
      <c r="I15" s="315">
        <f t="shared" si="2"/>
        <v>0.40505760783262795</v>
      </c>
      <c r="J15" s="315">
        <f t="shared" si="2"/>
        <v>9.9591336904090791E-2</v>
      </c>
      <c r="K15" s="315">
        <f t="shared" si="2"/>
        <v>2.4498786435677485E-2</v>
      </c>
      <c r="L15" s="315">
        <f t="shared" si="2"/>
        <v>0.35271282272744753</v>
      </c>
      <c r="M15" s="315">
        <f t="shared" si="2"/>
        <v>0.4748464416832624</v>
      </c>
      <c r="N15" s="315">
        <f t="shared" si="2"/>
        <v>7.3343912660918123E-2</v>
      </c>
      <c r="O15" s="315">
        <f t="shared" si="2"/>
        <v>0.1604782961763111</v>
      </c>
      <c r="P15" s="315">
        <f t="shared" si="2"/>
        <v>0.91897849197632775</v>
      </c>
      <c r="Q15" s="316">
        <f t="shared" si="2"/>
        <v>0.61392488922235755</v>
      </c>
    </row>
    <row r="16" spans="2:17" ht="15" customHeight="1">
      <c r="C16" s="314">
        <f t="shared" si="2"/>
        <v>4.0828656419273662E-2</v>
      </c>
      <c r="D16" s="315">
        <f t="shared" si="2"/>
        <v>0.39672103586750462</v>
      </c>
      <c r="E16" s="315">
        <f t="shared" si="2"/>
        <v>0.34761898802079999</v>
      </c>
      <c r="F16" s="315">
        <f t="shared" si="2"/>
        <v>0.39966149526956424</v>
      </c>
      <c r="G16" s="315">
        <f t="shared" si="2"/>
        <v>0.562039011517252</v>
      </c>
      <c r="H16" s="315">
        <f t="shared" si="2"/>
        <v>0.18062466816469747</v>
      </c>
      <c r="I16" s="315">
        <f t="shared" si="2"/>
        <v>0.5971246589638608</v>
      </c>
      <c r="J16" s="315">
        <f t="shared" si="2"/>
        <v>0.73354585913043302</v>
      </c>
      <c r="K16" s="315">
        <f t="shared" si="2"/>
        <v>0.77792548885495472</v>
      </c>
      <c r="L16" s="315">
        <f t="shared" si="2"/>
        <v>0.51586828633996851</v>
      </c>
      <c r="M16" s="315">
        <f t="shared" si="2"/>
        <v>0.45110411959909924</v>
      </c>
      <c r="N16" s="315">
        <f t="shared" si="2"/>
        <v>0.94737942243672879</v>
      </c>
      <c r="O16" s="315">
        <f t="shared" si="2"/>
        <v>0.91472628820497304</v>
      </c>
      <c r="P16" s="315">
        <f t="shared" si="2"/>
        <v>0.28457703463102235</v>
      </c>
      <c r="Q16" s="316">
        <f t="shared" si="2"/>
        <v>0.44046753369833652</v>
      </c>
    </row>
    <row r="17" spans="2:18" ht="15" customHeight="1">
      <c r="C17" s="314">
        <f t="shared" si="2"/>
        <v>4.880596521312007E-2</v>
      </c>
      <c r="D17" s="315">
        <f t="shared" si="2"/>
        <v>0.35893808007059941</v>
      </c>
      <c r="E17" s="315">
        <f t="shared" si="2"/>
        <v>0.42783875448713843</v>
      </c>
      <c r="F17" s="315">
        <f t="shared" si="2"/>
        <v>0.45499924076842702</v>
      </c>
      <c r="G17" s="315">
        <f t="shared" si="2"/>
        <v>0.38910393105040519</v>
      </c>
      <c r="H17" s="315">
        <f t="shared" si="2"/>
        <v>9.77559056597457E-3</v>
      </c>
      <c r="I17" s="315">
        <f t="shared" si="2"/>
        <v>0.12071253213555137</v>
      </c>
      <c r="J17" s="315">
        <f t="shared" si="2"/>
        <v>0.64027300583657154</v>
      </c>
      <c r="K17" s="315">
        <f t="shared" si="2"/>
        <v>0.1052613642418395</v>
      </c>
      <c r="L17" s="315">
        <f t="shared" si="2"/>
        <v>0.7239894782300238</v>
      </c>
      <c r="M17" s="315">
        <f t="shared" si="2"/>
        <v>0.40361947543077303</v>
      </c>
      <c r="N17" s="315">
        <f t="shared" si="2"/>
        <v>3.2287694228349692E-2</v>
      </c>
      <c r="O17" s="315">
        <f t="shared" si="2"/>
        <v>0.36910008120551552</v>
      </c>
      <c r="P17" s="315">
        <f t="shared" si="2"/>
        <v>0.15085807023671968</v>
      </c>
      <c r="Q17" s="316">
        <f t="shared" si="2"/>
        <v>0.36552601528881679</v>
      </c>
    </row>
    <row r="18" spans="2:18" ht="15" customHeight="1" thickBot="1">
      <c r="C18" s="317">
        <f t="shared" si="2"/>
        <v>1.1080604502778691E-2</v>
      </c>
      <c r="D18" s="318">
        <f t="shared" si="2"/>
        <v>0.37782955796905199</v>
      </c>
      <c r="E18" s="318">
        <f t="shared" si="2"/>
        <v>0.45457867664258461</v>
      </c>
      <c r="F18" s="318">
        <f t="shared" si="2"/>
        <v>0.43655332560213944</v>
      </c>
      <c r="G18" s="318">
        <f t="shared" si="2"/>
        <v>0.34587016093369355</v>
      </c>
      <c r="H18" s="318">
        <f t="shared" si="2"/>
        <v>5.4564653844593816E-3</v>
      </c>
      <c r="I18" s="318">
        <f t="shared" si="2"/>
        <v>8.8522523566071015E-2</v>
      </c>
      <c r="J18" s="318">
        <f t="shared" si="2"/>
        <v>-0.12546703168883946</v>
      </c>
      <c r="K18" s="318">
        <f t="shared" si="2"/>
        <v>0.21599973132766567</v>
      </c>
      <c r="L18" s="318">
        <f t="shared" si="2"/>
        <v>0.1557299305024695</v>
      </c>
      <c r="M18" s="318">
        <f t="shared" si="2"/>
        <v>0.42736179751493614</v>
      </c>
      <c r="N18" s="318">
        <f t="shared" si="2"/>
        <v>2.3592897829849222E-3</v>
      </c>
      <c r="O18" s="318">
        <f t="shared" si="2"/>
        <v>1.6047829617631109E-2</v>
      </c>
      <c r="P18" s="318">
        <f t="shared" si="2"/>
        <v>0.14687025848130583</v>
      </c>
      <c r="Q18" s="319">
        <f t="shared" si="2"/>
        <v>0.22556900739819039</v>
      </c>
    </row>
    <row r="19" spans="2:18" ht="15" customHeight="1" thickBot="1"/>
    <row r="20" spans="2:18" ht="15" customHeight="1" thickBot="1">
      <c r="B20" s="320" t="s">
        <v>859</v>
      </c>
      <c r="C20" s="297">
        <f t="shared" ref="C20:Q24" si="3">C$10*C14</f>
        <v>9.4688439901404794E-3</v>
      </c>
      <c r="D20" s="298">
        <f t="shared" si="3"/>
        <v>5.5517812599534179E-2</v>
      </c>
      <c r="E20" s="298">
        <f t="shared" si="3"/>
        <v>4.5021297506618527E-2</v>
      </c>
      <c r="F20" s="298">
        <f t="shared" si="3"/>
        <v>4.4044328050115246E-2</v>
      </c>
      <c r="G20" s="298">
        <f t="shared" si="3"/>
        <v>2.9116620690846647E-2</v>
      </c>
      <c r="H20" s="298">
        <f t="shared" si="3"/>
        <v>6.6292036777737554E-2</v>
      </c>
      <c r="I20" s="298">
        <f t="shared" si="3"/>
        <v>2.7591435916697455E-2</v>
      </c>
      <c r="J20" s="298">
        <f t="shared" si="3"/>
        <v>1.3238727564290015E-2</v>
      </c>
      <c r="K20" s="298">
        <f t="shared" si="3"/>
        <v>1.775763276784529E-2</v>
      </c>
      <c r="L20" s="298">
        <f t="shared" si="3"/>
        <v>1.2607410240705398E-2</v>
      </c>
      <c r="M20" s="298">
        <f t="shared" si="3"/>
        <v>3.8762974831286726E-2</v>
      </c>
      <c r="N20" s="298">
        <f t="shared" si="3"/>
        <v>2.2136501273542334E-2</v>
      </c>
      <c r="O20" s="298">
        <f t="shared" si="3"/>
        <v>1.310026907561723E-3</v>
      </c>
      <c r="P20" s="298">
        <f t="shared" si="3"/>
        <v>1.0633587490228594E-2</v>
      </c>
      <c r="Q20" s="299">
        <f t="shared" si="3"/>
        <v>2.5232877110111664E-2</v>
      </c>
    </row>
    <row r="21" spans="2:18">
      <c r="C21" s="300">
        <f t="shared" si="3"/>
        <v>8.0910016363545043E-2</v>
      </c>
      <c r="D21" s="301">
        <f t="shared" si="3"/>
        <v>4.1638359449650629E-2</v>
      </c>
      <c r="E21" s="301">
        <f t="shared" si="3"/>
        <v>4.5839866552193409E-2</v>
      </c>
      <c r="F21" s="301">
        <f t="shared" si="3"/>
        <v>4.2350315432803119E-2</v>
      </c>
      <c r="G21" s="301">
        <f t="shared" si="3"/>
        <v>2.6469655173496955E-2</v>
      </c>
      <c r="H21" s="301">
        <f t="shared" si="3"/>
        <v>2.3244606857199413E-2</v>
      </c>
      <c r="I21" s="301">
        <f t="shared" si="3"/>
        <v>1.6532963585005223E-2</v>
      </c>
      <c r="J21" s="301">
        <f t="shared" si="3"/>
        <v>8.1299050533951665E-3</v>
      </c>
      <c r="K21" s="301">
        <f t="shared" si="3"/>
        <v>7.4996285007175969E-4</v>
      </c>
      <c r="L21" s="301">
        <f t="shared" si="3"/>
        <v>1.7995552179971813E-2</v>
      </c>
      <c r="M21" s="301">
        <f t="shared" si="3"/>
        <v>3.8762974831286726E-2</v>
      </c>
      <c r="N21" s="301">
        <f t="shared" si="3"/>
        <v>5.2388509043512941E-3</v>
      </c>
      <c r="O21" s="301">
        <f t="shared" si="3"/>
        <v>6.5501345378086153E-3</v>
      </c>
      <c r="P21" s="301">
        <f t="shared" si="3"/>
        <v>5.6263989304673127E-2</v>
      </c>
      <c r="Q21" s="302">
        <f t="shared" si="3"/>
        <v>3.1322698429712123E-2</v>
      </c>
    </row>
    <row r="22" spans="2:18">
      <c r="C22" s="300">
        <f t="shared" si="3"/>
        <v>3.3329515444305026E-3</v>
      </c>
      <c r="D22" s="301">
        <f t="shared" si="3"/>
        <v>3.6433564518444303E-2</v>
      </c>
      <c r="E22" s="301">
        <f t="shared" si="3"/>
        <v>3.192419277742041E-2</v>
      </c>
      <c r="F22" s="301">
        <f t="shared" si="3"/>
        <v>3.670360670842937E-2</v>
      </c>
      <c r="G22" s="301">
        <f t="shared" si="3"/>
        <v>3.4410551725546037E-2</v>
      </c>
      <c r="H22" s="301">
        <f t="shared" si="3"/>
        <v>1.2901762011764104E-2</v>
      </c>
      <c r="I22" s="301">
        <f t="shared" si="3"/>
        <v>2.4372435059749419E-2</v>
      </c>
      <c r="J22" s="301">
        <f t="shared" si="3"/>
        <v>5.9881294622892489E-2</v>
      </c>
      <c r="K22" s="301">
        <f t="shared" si="3"/>
        <v>2.3814045577192491E-2</v>
      </c>
      <c r="L22" s="301">
        <f t="shared" si="3"/>
        <v>2.6319810527549413E-2</v>
      </c>
      <c r="M22" s="301">
        <f t="shared" si="3"/>
        <v>3.6824826089722387E-2</v>
      </c>
      <c r="N22" s="301">
        <f t="shared" si="3"/>
        <v>6.7669958745480624E-2</v>
      </c>
      <c r="O22" s="301">
        <f t="shared" si="3"/>
        <v>3.7335766865509101E-2</v>
      </c>
      <c r="P22" s="301">
        <f t="shared" si="3"/>
        <v>1.7423083752919736E-2</v>
      </c>
      <c r="Q22" s="302">
        <f t="shared" si="3"/>
        <v>2.2472833351955945E-2</v>
      </c>
    </row>
    <row r="23" spans="2:18">
      <c r="C23" s="300">
        <f t="shared" si="3"/>
        <v>3.9841604255608214E-3</v>
      </c>
      <c r="D23" s="301">
        <f t="shared" si="3"/>
        <v>3.2963701230973419E-2</v>
      </c>
      <c r="E23" s="301">
        <f t="shared" si="3"/>
        <v>3.9291314187594351E-2</v>
      </c>
      <c r="F23" s="301">
        <f t="shared" si="3"/>
        <v>4.1785644560365751E-2</v>
      </c>
      <c r="G23" s="301">
        <f t="shared" si="3"/>
        <v>2.3822689656147256E-2</v>
      </c>
      <c r="H23" s="301">
        <f t="shared" si="3"/>
        <v>6.9825646899818357E-4</v>
      </c>
      <c r="I23" s="301">
        <f t="shared" si="3"/>
        <v>4.9270421279816881E-3</v>
      </c>
      <c r="J23" s="301">
        <f t="shared" si="3"/>
        <v>5.2267184149924206E-2</v>
      </c>
      <c r="K23" s="301">
        <f t="shared" si="3"/>
        <v>3.2222866604644743E-3</v>
      </c>
      <c r="L23" s="301">
        <f t="shared" si="3"/>
        <v>3.6938238685205294E-2</v>
      </c>
      <c r="M23" s="301">
        <f t="shared" si="3"/>
        <v>3.2948528606593717E-2</v>
      </c>
      <c r="N23" s="301">
        <f t="shared" si="3"/>
        <v>2.3062638734535493E-3</v>
      </c>
      <c r="O23" s="301">
        <f t="shared" si="3"/>
        <v>1.5065309436959816E-2</v>
      </c>
      <c r="P23" s="301">
        <f t="shared" si="3"/>
        <v>9.2362083818399807E-3</v>
      </c>
      <c r="Q23" s="302">
        <f t="shared" si="3"/>
        <v>1.8649286494327389E-2</v>
      </c>
    </row>
    <row r="24" spans="2:18" ht="13" thickBot="1">
      <c r="C24" s="303">
        <f t="shared" si="3"/>
        <v>9.0453914308397468E-4</v>
      </c>
      <c r="D24" s="304">
        <f t="shared" si="3"/>
        <v>3.4698632874708861E-2</v>
      </c>
      <c r="E24" s="304">
        <f t="shared" si="3"/>
        <v>4.1747021324318997E-2</v>
      </c>
      <c r="F24" s="304">
        <f t="shared" si="3"/>
        <v>4.0091631943053624E-2</v>
      </c>
      <c r="G24" s="304">
        <f t="shared" si="3"/>
        <v>2.1175724138797564E-2</v>
      </c>
      <c r="H24" s="304">
        <f t="shared" si="3"/>
        <v>3.8974752746138438E-4</v>
      </c>
      <c r="I24" s="304">
        <f t="shared" si="3"/>
        <v>3.6131642271865719E-3</v>
      </c>
      <c r="J24" s="304">
        <f t="shared" si="3"/>
        <v>-1.0242206668476691E-2</v>
      </c>
      <c r="K24" s="304">
        <f t="shared" si="3"/>
        <v>6.6122366732958874E-3</v>
      </c>
      <c r="L24" s="304">
        <f t="shared" si="3"/>
        <v>7.9454046174729336E-3</v>
      </c>
      <c r="M24" s="304">
        <f t="shared" si="3"/>
        <v>3.4886677348158049E-2</v>
      </c>
      <c r="N24" s="304">
        <f t="shared" si="3"/>
        <v>1.685206987846373E-4</v>
      </c>
      <c r="O24" s="304">
        <f t="shared" si="3"/>
        <v>6.5501345378086149E-4</v>
      </c>
      <c r="P24" s="304">
        <f t="shared" si="3"/>
        <v>8.9920566417126015E-3</v>
      </c>
      <c r="Q24" s="305">
        <f t="shared" si="3"/>
        <v>1.1508622826438285E-2</v>
      </c>
    </row>
    <row r="25" spans="2:18" ht="15" customHeight="1"/>
    <row r="26" spans="2:18" ht="13" thickBot="1">
      <c r="R26" s="307" t="s">
        <v>860</v>
      </c>
    </row>
    <row r="27" spans="2:18" ht="13.5" thickBot="1">
      <c r="B27" s="293" t="s">
        <v>861</v>
      </c>
      <c r="C27" s="311">
        <f t="shared" ref="C27:C31" si="4">C20-MAX($C$20:$C$24)</f>
        <v>-7.1441172373404568E-2</v>
      </c>
      <c r="D27" s="312">
        <f t="shared" ref="D27:M31" si="5">D20-MIN(D$20:D$24)</f>
        <v>2.255411136856076E-2</v>
      </c>
      <c r="E27" s="312">
        <f t="shared" si="5"/>
        <v>1.3097104729198117E-2</v>
      </c>
      <c r="F27" s="312">
        <f t="shared" si="5"/>
        <v>7.3407213416858755E-3</v>
      </c>
      <c r="G27" s="312">
        <f t="shared" si="5"/>
        <v>7.9408965520490829E-3</v>
      </c>
      <c r="H27" s="312">
        <f t="shared" si="5"/>
        <v>6.5902289250276164E-2</v>
      </c>
      <c r="I27" s="312">
        <f t="shared" si="5"/>
        <v>2.3978271689510881E-2</v>
      </c>
      <c r="J27" s="312">
        <f t="shared" si="5"/>
        <v>2.3480934232766704E-2</v>
      </c>
      <c r="K27" s="312">
        <f t="shared" si="5"/>
        <v>1.700766991777353E-2</v>
      </c>
      <c r="L27" s="312">
        <f t="shared" si="5"/>
        <v>4.6620056232324642E-3</v>
      </c>
      <c r="M27" s="312">
        <f t="shared" si="5"/>
        <v>5.8144462246930081E-3</v>
      </c>
      <c r="N27" s="312">
        <f t="shared" ref="N27:O31" si="6">N20-MAX(N$20:N$24)</f>
        <v>-4.5533457471938293E-2</v>
      </c>
      <c r="O27" s="312">
        <f t="shared" si="6"/>
        <v>-3.6025739957947375E-2</v>
      </c>
      <c r="P27" s="312">
        <f t="shared" ref="P27:Q31" si="7">P20-MIN(P$20:P$24)</f>
        <v>1.6415308485159923E-3</v>
      </c>
      <c r="Q27" s="313">
        <f t="shared" si="7"/>
        <v>1.3724254283673378E-2</v>
      </c>
      <c r="R27" s="308">
        <f t="shared" ref="R27:R31" si="8">SQRT(SUMSQ(C27:Q27))</f>
        <v>0.12360191393886905</v>
      </c>
    </row>
    <row r="28" spans="2:18">
      <c r="C28" s="314">
        <f t="shared" si="4"/>
        <v>0</v>
      </c>
      <c r="D28" s="315">
        <f t="shared" si="5"/>
        <v>8.67465821867721E-3</v>
      </c>
      <c r="E28" s="315">
        <f t="shared" si="5"/>
        <v>1.3915673774772999E-2</v>
      </c>
      <c r="F28" s="315">
        <f t="shared" si="5"/>
        <v>5.6467087243737488E-3</v>
      </c>
      <c r="G28" s="315">
        <f t="shared" si="5"/>
        <v>5.2939310346993909E-3</v>
      </c>
      <c r="H28" s="315">
        <f t="shared" si="5"/>
        <v>2.285485932973803E-2</v>
      </c>
      <c r="I28" s="315">
        <f t="shared" si="5"/>
        <v>1.2919799357818651E-2</v>
      </c>
      <c r="J28" s="315">
        <f t="shared" si="5"/>
        <v>1.8372111721871857E-2</v>
      </c>
      <c r="K28" s="315">
        <f t="shared" si="5"/>
        <v>0</v>
      </c>
      <c r="L28" s="315">
        <f t="shared" si="5"/>
        <v>1.005014756249888E-2</v>
      </c>
      <c r="M28" s="315">
        <f t="shared" si="5"/>
        <v>5.8144462246930081E-3</v>
      </c>
      <c r="N28" s="315">
        <f t="shared" si="6"/>
        <v>-6.2431107841129332E-2</v>
      </c>
      <c r="O28" s="315">
        <f t="shared" si="6"/>
        <v>-3.0785632327700485E-2</v>
      </c>
      <c r="P28" s="315">
        <f t="shared" si="7"/>
        <v>4.7271932662960522E-2</v>
      </c>
      <c r="Q28" s="316">
        <f t="shared" si="7"/>
        <v>1.9814075603273838E-2</v>
      </c>
      <c r="R28" s="309">
        <f t="shared" si="8"/>
        <v>9.467339563627597E-2</v>
      </c>
    </row>
    <row r="29" spans="2:18">
      <c r="C29" s="314">
        <f t="shared" si="4"/>
        <v>-7.7577064819114541E-2</v>
      </c>
      <c r="D29" s="315">
        <f t="shared" si="5"/>
        <v>3.469863287470884E-3</v>
      </c>
      <c r="E29" s="315">
        <f t="shared" si="5"/>
        <v>0</v>
      </c>
      <c r="F29" s="315">
        <f t="shared" si="5"/>
        <v>0</v>
      </c>
      <c r="G29" s="315">
        <f t="shared" si="5"/>
        <v>1.3234827586748474E-2</v>
      </c>
      <c r="H29" s="315">
        <f t="shared" si="5"/>
        <v>1.251201448430272E-2</v>
      </c>
      <c r="I29" s="315">
        <f t="shared" si="5"/>
        <v>2.0759270832562848E-2</v>
      </c>
      <c r="J29" s="315">
        <f t="shared" si="5"/>
        <v>7.0123501291369184E-2</v>
      </c>
      <c r="K29" s="315">
        <f t="shared" si="5"/>
        <v>2.3064082727120731E-2</v>
      </c>
      <c r="L29" s="315">
        <f t="shared" si="5"/>
        <v>1.8374405910076479E-2</v>
      </c>
      <c r="M29" s="315">
        <f t="shared" si="5"/>
        <v>3.8762974831286698E-3</v>
      </c>
      <c r="N29" s="315">
        <f t="shared" si="6"/>
        <v>0</v>
      </c>
      <c r="O29" s="315">
        <f t="shared" si="6"/>
        <v>0</v>
      </c>
      <c r="P29" s="315">
        <f t="shared" si="7"/>
        <v>8.4310271112071344E-3</v>
      </c>
      <c r="Q29" s="316">
        <f t="shared" si="7"/>
        <v>1.0964210525517659E-2</v>
      </c>
      <c r="R29" s="309">
        <f t="shared" si="8"/>
        <v>0.11307562682168409</v>
      </c>
    </row>
    <row r="30" spans="2:18">
      <c r="C30" s="314">
        <f t="shared" si="4"/>
        <v>-7.6925855937984219E-2</v>
      </c>
      <c r="D30" s="315">
        <f t="shared" si="5"/>
        <v>0</v>
      </c>
      <c r="E30" s="315">
        <f t="shared" si="5"/>
        <v>7.3671214101739407E-3</v>
      </c>
      <c r="F30" s="315">
        <f t="shared" si="5"/>
        <v>5.0820378519363801E-3</v>
      </c>
      <c r="G30" s="315">
        <f t="shared" si="5"/>
        <v>2.646965517349692E-3</v>
      </c>
      <c r="H30" s="315">
        <f t="shared" si="5"/>
        <v>3.0850894153679919E-4</v>
      </c>
      <c r="I30" s="315">
        <f t="shared" si="5"/>
        <v>1.3138779007951162E-3</v>
      </c>
      <c r="J30" s="315">
        <f t="shared" si="5"/>
        <v>6.2509390818400901E-2</v>
      </c>
      <c r="K30" s="315">
        <f t="shared" si="5"/>
        <v>2.4723238103927145E-3</v>
      </c>
      <c r="L30" s="315">
        <f t="shared" si="5"/>
        <v>2.899283406773236E-2</v>
      </c>
      <c r="M30" s="315">
        <f t="shared" si="5"/>
        <v>0</v>
      </c>
      <c r="N30" s="315">
        <f t="shared" si="6"/>
        <v>-6.5363694872027076E-2</v>
      </c>
      <c r="O30" s="315">
        <f t="shared" si="6"/>
        <v>-2.2270457428549287E-2</v>
      </c>
      <c r="P30" s="315">
        <f t="shared" si="7"/>
        <v>2.4415174012737927E-4</v>
      </c>
      <c r="Q30" s="316">
        <f t="shared" si="7"/>
        <v>7.1406636678891036E-3</v>
      </c>
      <c r="R30" s="309">
        <f t="shared" si="8"/>
        <v>0.12482015902741025</v>
      </c>
    </row>
    <row r="31" spans="2:18" ht="13" thickBot="1">
      <c r="C31" s="317">
        <f t="shared" si="4"/>
        <v>-8.0005477220461071E-2</v>
      </c>
      <c r="D31" s="318">
        <f t="shared" si="5"/>
        <v>1.734931643735442E-3</v>
      </c>
      <c r="E31" s="318">
        <f t="shared" si="5"/>
        <v>9.8228285468985876E-3</v>
      </c>
      <c r="F31" s="318">
        <f t="shared" si="5"/>
        <v>3.3880252346242534E-3</v>
      </c>
      <c r="G31" s="318">
        <f t="shared" si="5"/>
        <v>0</v>
      </c>
      <c r="H31" s="318">
        <f t="shared" si="5"/>
        <v>0</v>
      </c>
      <c r="I31" s="318">
        <f t="shared" si="5"/>
        <v>0</v>
      </c>
      <c r="J31" s="318">
        <f t="shared" si="5"/>
        <v>0</v>
      </c>
      <c r="K31" s="318">
        <f t="shared" si="5"/>
        <v>5.8622738232241281E-3</v>
      </c>
      <c r="L31" s="318">
        <f t="shared" si="5"/>
        <v>0</v>
      </c>
      <c r="M31" s="318">
        <f t="shared" si="5"/>
        <v>1.9381487415643314E-3</v>
      </c>
      <c r="N31" s="318">
        <f t="shared" si="6"/>
        <v>-6.7501438046695991E-2</v>
      </c>
      <c r="O31" s="318">
        <f t="shared" si="6"/>
        <v>-3.6680753411728238E-2</v>
      </c>
      <c r="P31" s="318">
        <f t="shared" si="7"/>
        <v>0</v>
      </c>
      <c r="Q31" s="319">
        <f t="shared" si="7"/>
        <v>0</v>
      </c>
      <c r="R31" s="310">
        <f t="shared" si="8"/>
        <v>0.11158807074629977</v>
      </c>
    </row>
    <row r="32" spans="2:18" ht="15" customHeight="1"/>
    <row r="33" spans="2:18" ht="13" thickBot="1">
      <c r="R33" s="307" t="s">
        <v>862</v>
      </c>
    </row>
    <row r="34" spans="2:18" ht="13.5" thickBot="1">
      <c r="B34" s="306" t="s">
        <v>863</v>
      </c>
      <c r="C34" s="335">
        <f t="shared" ref="C34:C38" si="9">C20-MIN(C$20:C$24)</f>
        <v>8.5643048470565048E-3</v>
      </c>
      <c r="D34" s="336">
        <f t="shared" ref="D34:M38" si="10">D20-MAX(D$20:D$24)</f>
        <v>0</v>
      </c>
      <c r="E34" s="336">
        <f t="shared" si="10"/>
        <v>-8.185690455748823E-4</v>
      </c>
      <c r="F34" s="336">
        <f t="shared" si="10"/>
        <v>0</v>
      </c>
      <c r="G34" s="336">
        <f t="shared" si="10"/>
        <v>-5.2939310346993909E-3</v>
      </c>
      <c r="H34" s="336">
        <f t="shared" si="10"/>
        <v>0</v>
      </c>
      <c r="I34" s="336">
        <f t="shared" si="10"/>
        <v>0</v>
      </c>
      <c r="J34" s="336">
        <f t="shared" si="10"/>
        <v>-4.6642567058602473E-2</v>
      </c>
      <c r="K34" s="336">
        <f t="shared" si="10"/>
        <v>-6.056412809347201E-3</v>
      </c>
      <c r="L34" s="336">
        <f t="shared" si="10"/>
        <v>-2.4330828444499894E-2</v>
      </c>
      <c r="M34" s="336">
        <f t="shared" si="10"/>
        <v>0</v>
      </c>
      <c r="N34" s="336">
        <f t="shared" ref="N34:O38" si="11">N20-MIN(N$20:N$24)</f>
        <v>2.1967980574757698E-2</v>
      </c>
      <c r="O34" s="336">
        <f t="shared" si="11"/>
        <v>6.5501345378086149E-4</v>
      </c>
      <c r="P34" s="336">
        <f t="shared" ref="P34:Q38" si="12">P20-MAX(P$20:P$24)</f>
        <v>-4.5630401814444534E-2</v>
      </c>
      <c r="Q34" s="337">
        <f t="shared" si="12"/>
        <v>-6.0898213196004594E-3</v>
      </c>
      <c r="R34" s="308">
        <f t="shared" ref="R34:R38" si="13">SQRT(SUMSQ(C34:Q34))</f>
        <v>7.4219149792589714E-2</v>
      </c>
    </row>
    <row r="35" spans="2:18">
      <c r="C35" s="338">
        <f t="shared" si="9"/>
        <v>8.0005477220461071E-2</v>
      </c>
      <c r="D35" s="339">
        <f t="shared" si="10"/>
        <v>-1.387945314988355E-2</v>
      </c>
      <c r="E35" s="339">
        <f t="shared" si="10"/>
        <v>0</v>
      </c>
      <c r="F35" s="339">
        <f t="shared" si="10"/>
        <v>-1.6940126173121267E-3</v>
      </c>
      <c r="G35" s="339">
        <f t="shared" si="10"/>
        <v>-7.9408965520490829E-3</v>
      </c>
      <c r="H35" s="339">
        <f t="shared" si="10"/>
        <v>-4.3047429920538144E-2</v>
      </c>
      <c r="I35" s="339">
        <f t="shared" si="10"/>
        <v>-1.1058472331692232E-2</v>
      </c>
      <c r="J35" s="339">
        <f t="shared" si="10"/>
        <v>-5.1751389569497319E-2</v>
      </c>
      <c r="K35" s="339">
        <f t="shared" si="10"/>
        <v>-2.3064082727120731E-2</v>
      </c>
      <c r="L35" s="339">
        <f t="shared" si="10"/>
        <v>-1.894268650523348E-2</v>
      </c>
      <c r="M35" s="339">
        <f t="shared" si="10"/>
        <v>0</v>
      </c>
      <c r="N35" s="339">
        <f t="shared" si="11"/>
        <v>5.0703302055666571E-3</v>
      </c>
      <c r="O35" s="339">
        <f t="shared" si="11"/>
        <v>5.8951210840277541E-3</v>
      </c>
      <c r="P35" s="339">
        <f t="shared" si="12"/>
        <v>0</v>
      </c>
      <c r="Q35" s="340">
        <f t="shared" si="12"/>
        <v>0</v>
      </c>
      <c r="R35" s="309">
        <f t="shared" si="13"/>
        <v>0.11074411254025049</v>
      </c>
    </row>
    <row r="36" spans="2:18">
      <c r="C36" s="338">
        <f t="shared" si="9"/>
        <v>2.4284124013465281E-3</v>
      </c>
      <c r="D36" s="339">
        <f t="shared" si="10"/>
        <v>-1.9084248081089876E-2</v>
      </c>
      <c r="E36" s="339">
        <f t="shared" si="10"/>
        <v>-1.3915673774772999E-2</v>
      </c>
      <c r="F36" s="339">
        <f t="shared" si="10"/>
        <v>-7.3407213416858755E-3</v>
      </c>
      <c r="G36" s="339">
        <f t="shared" si="10"/>
        <v>0</v>
      </c>
      <c r="H36" s="339">
        <f t="shared" si="10"/>
        <v>-5.3390274765973453E-2</v>
      </c>
      <c r="I36" s="339">
        <f t="shared" si="10"/>
        <v>-3.2190008569480365E-3</v>
      </c>
      <c r="J36" s="339">
        <f t="shared" si="10"/>
        <v>0</v>
      </c>
      <c r="K36" s="339">
        <f t="shared" si="10"/>
        <v>0</v>
      </c>
      <c r="L36" s="339">
        <f t="shared" si="10"/>
        <v>-1.0618428157655881E-2</v>
      </c>
      <c r="M36" s="339">
        <f t="shared" si="10"/>
        <v>-1.9381487415643384E-3</v>
      </c>
      <c r="N36" s="339">
        <f t="shared" si="11"/>
        <v>6.7501438046695991E-2</v>
      </c>
      <c r="O36" s="339">
        <f t="shared" si="11"/>
        <v>3.6680753411728238E-2</v>
      </c>
      <c r="P36" s="339">
        <f t="shared" si="12"/>
        <v>-3.8840905551753388E-2</v>
      </c>
      <c r="Q36" s="340">
        <f t="shared" si="12"/>
        <v>-8.8498650777561784E-3</v>
      </c>
      <c r="R36" s="309">
        <f t="shared" si="13"/>
        <v>0.10528003887926404</v>
      </c>
    </row>
    <row r="37" spans="2:18">
      <c r="C37" s="338">
        <f t="shared" si="9"/>
        <v>3.0796212824768469E-3</v>
      </c>
      <c r="D37" s="339">
        <f t="shared" si="10"/>
        <v>-2.255411136856076E-2</v>
      </c>
      <c r="E37" s="339">
        <f t="shared" si="10"/>
        <v>-6.5485523645990584E-3</v>
      </c>
      <c r="F37" s="339">
        <f t="shared" si="10"/>
        <v>-2.2586834897494953E-3</v>
      </c>
      <c r="G37" s="339">
        <f t="shared" si="10"/>
        <v>-1.0587862069398782E-2</v>
      </c>
      <c r="H37" s="339">
        <f t="shared" si="10"/>
        <v>-6.5593780308739372E-2</v>
      </c>
      <c r="I37" s="339">
        <f t="shared" si="10"/>
        <v>-2.2664393788715768E-2</v>
      </c>
      <c r="J37" s="339">
        <f t="shared" si="10"/>
        <v>-7.6141104729682829E-3</v>
      </c>
      <c r="K37" s="339">
        <f t="shared" si="10"/>
        <v>-2.0591758916728015E-2</v>
      </c>
      <c r="L37" s="339">
        <f t="shared" si="10"/>
        <v>0</v>
      </c>
      <c r="M37" s="339">
        <f t="shared" si="10"/>
        <v>-5.8144462246930081E-3</v>
      </c>
      <c r="N37" s="339">
        <f t="shared" si="11"/>
        <v>2.1377431746689118E-3</v>
      </c>
      <c r="O37" s="339">
        <f t="shared" si="11"/>
        <v>1.4410295983178955E-2</v>
      </c>
      <c r="P37" s="339">
        <f t="shared" si="12"/>
        <v>-4.7027780922833148E-2</v>
      </c>
      <c r="Q37" s="340">
        <f t="shared" si="12"/>
        <v>-1.2673411935384734E-2</v>
      </c>
      <c r="R37" s="309">
        <f t="shared" si="13"/>
        <v>9.2707798504452224E-2</v>
      </c>
    </row>
    <row r="38" spans="2:18" ht="13" thickBot="1">
      <c r="C38" s="341">
        <f t="shared" si="9"/>
        <v>0</v>
      </c>
      <c r="D38" s="342">
        <f t="shared" si="10"/>
        <v>-2.0819179724825318E-2</v>
      </c>
      <c r="E38" s="342">
        <f t="shared" si="10"/>
        <v>-4.0928452278744115E-3</v>
      </c>
      <c r="F38" s="342">
        <f t="shared" si="10"/>
        <v>-3.9526961070616221E-3</v>
      </c>
      <c r="G38" s="342">
        <f t="shared" si="10"/>
        <v>-1.3234827586748474E-2</v>
      </c>
      <c r="H38" s="342">
        <f t="shared" si="10"/>
        <v>-6.5902289250276164E-2</v>
      </c>
      <c r="I38" s="342">
        <f t="shared" si="10"/>
        <v>-2.3978271689510881E-2</v>
      </c>
      <c r="J38" s="342">
        <f t="shared" si="10"/>
        <v>-7.0123501291369184E-2</v>
      </c>
      <c r="K38" s="342">
        <f t="shared" si="10"/>
        <v>-1.7201808903896602E-2</v>
      </c>
      <c r="L38" s="342">
        <f t="shared" si="10"/>
        <v>-2.899283406773236E-2</v>
      </c>
      <c r="M38" s="342">
        <f t="shared" si="10"/>
        <v>-3.8762974831286767E-3</v>
      </c>
      <c r="N38" s="342">
        <f t="shared" si="11"/>
        <v>0</v>
      </c>
      <c r="O38" s="342">
        <f t="shared" si="11"/>
        <v>0</v>
      </c>
      <c r="P38" s="342">
        <f t="shared" si="12"/>
        <v>-4.7271932662960522E-2</v>
      </c>
      <c r="Q38" s="343">
        <f t="shared" si="12"/>
        <v>-1.9814075603273838E-2</v>
      </c>
      <c r="R38" s="310">
        <f t="shared" si="13"/>
        <v>0.1193946997063523</v>
      </c>
    </row>
    <row r="39" spans="2:18" ht="15" customHeight="1"/>
    <row r="40" spans="2:18" ht="15" customHeight="1" thickBot="1"/>
    <row r="41" spans="2:18" ht="15" customHeight="1" thickBot="1">
      <c r="E41" s="344"/>
      <c r="F41" s="345" t="s">
        <v>889</v>
      </c>
    </row>
    <row r="42" spans="2:18" ht="13">
      <c r="B42" s="326" t="s">
        <v>888</v>
      </c>
      <c r="C42" s="321" t="s">
        <v>854</v>
      </c>
      <c r="D42" s="329" t="s">
        <v>864</v>
      </c>
      <c r="E42" s="331">
        <v>1</v>
      </c>
      <c r="F42" s="332" t="str">
        <f>VLOOKUP(E42,B43:D47,2,0)</f>
        <v>Hindustan Unilever Ltd</v>
      </c>
    </row>
    <row r="43" spans="2:18">
      <c r="B43" s="322">
        <f>_xlfn.RANK.AVG(D43,$D$43:$D$47)</f>
        <v>1</v>
      </c>
      <c r="C43" s="327" t="s">
        <v>923</v>
      </c>
      <c r="D43" s="330">
        <f t="shared" ref="D43:D47" si="14">R27/(R27+R34)</f>
        <v>0.62481674907308216</v>
      </c>
      <c r="E43" s="331">
        <v>2</v>
      </c>
      <c r="F43" s="332" t="str">
        <f>VLOOKUP(E43,B43:D47,2,0)</f>
        <v>Mrs. Bectors Food Specialities Ltd</v>
      </c>
    </row>
    <row r="44" spans="2:18" ht="13" thickBot="1">
      <c r="B44" s="322">
        <f t="shared" ref="B44:B47" si="15">_xlfn.RANK.AVG(D44,$D$43:$D$47)</f>
        <v>5</v>
      </c>
      <c r="C44" s="327" t="s">
        <v>924</v>
      </c>
      <c r="D44" s="330">
        <f t="shared" si="14"/>
        <v>0.46088279658673476</v>
      </c>
      <c r="E44" s="333">
        <v>3</v>
      </c>
      <c r="F44" s="334" t="str">
        <f>VLOOKUP(E44,B43:D47,2,0)</f>
        <v>Varun Beverages Ltd</v>
      </c>
    </row>
    <row r="45" spans="2:18">
      <c r="B45" s="322">
        <f t="shared" si="15"/>
        <v>3</v>
      </c>
      <c r="C45" s="327" t="s">
        <v>925</v>
      </c>
      <c r="D45" s="324">
        <f t="shared" si="14"/>
        <v>0.51785066560419957</v>
      </c>
    </row>
    <row r="46" spans="2:18">
      <c r="B46" s="322">
        <f t="shared" si="15"/>
        <v>2</v>
      </c>
      <c r="C46" s="327" t="s">
        <v>926</v>
      </c>
      <c r="D46" s="324">
        <f t="shared" si="14"/>
        <v>0.57381203061738473</v>
      </c>
    </row>
    <row r="47" spans="2:18" ht="13" thickBot="1">
      <c r="B47" s="323">
        <f t="shared" si="15"/>
        <v>4</v>
      </c>
      <c r="C47" s="328" t="s">
        <v>927</v>
      </c>
      <c r="D47" s="325">
        <f t="shared" si="14"/>
        <v>0.48310127429687927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8BD0E-E4A9-44C9-A3F8-DDE02AB9FA1C}">
  <sheetPr codeName="Sheet20"/>
  <dimension ref="B1:R47"/>
  <sheetViews>
    <sheetView showGridLines="0" zoomScale="50" zoomScaleNormal="50" workbookViewId="0">
      <selection activeCell="G44" sqref="G44"/>
    </sheetView>
  </sheetViews>
  <sheetFormatPr defaultColWidth="12.54296875" defaultRowHeight="12.5"/>
  <cols>
    <col min="1" max="1" width="1.54296875" customWidth="1"/>
    <col min="2" max="2" width="26.453125" bestFit="1" customWidth="1"/>
    <col min="3" max="3" width="24.1796875" bestFit="1" customWidth="1"/>
    <col min="4" max="4" width="18.26953125" bestFit="1" customWidth="1"/>
    <col min="5" max="5" width="10.7265625" bestFit="1" customWidth="1"/>
    <col min="6" max="6" width="20.7265625" bestFit="1" customWidth="1"/>
    <col min="7" max="7" width="30.7265625" bestFit="1" customWidth="1"/>
    <col min="8" max="8" width="13.81640625" bestFit="1" customWidth="1"/>
    <col min="9" max="9" width="12.26953125" bestFit="1" customWidth="1"/>
    <col min="10" max="10" width="10.7265625" bestFit="1" customWidth="1"/>
    <col min="11" max="11" width="14.81640625" bestFit="1" customWidth="1"/>
    <col min="12" max="12" width="15.26953125" bestFit="1" customWidth="1"/>
    <col min="13" max="13" width="11.81640625" bestFit="1" customWidth="1"/>
    <col min="14" max="14" width="15.81640625" bestFit="1" customWidth="1"/>
    <col min="15" max="15" width="18" bestFit="1" customWidth="1"/>
    <col min="16" max="17" width="15" bestFit="1" customWidth="1"/>
  </cols>
  <sheetData>
    <row r="1" spans="2:17" ht="15" thickBot="1">
      <c r="B1" s="273"/>
      <c r="C1" s="274" t="s">
        <v>852</v>
      </c>
      <c r="D1" s="274" t="s">
        <v>853</v>
      </c>
      <c r="E1" s="274" t="s">
        <v>853</v>
      </c>
      <c r="F1" s="274" t="s">
        <v>853</v>
      </c>
      <c r="G1" s="274" t="s">
        <v>853</v>
      </c>
      <c r="H1" s="274" t="s">
        <v>853</v>
      </c>
      <c r="I1" s="274" t="s">
        <v>853</v>
      </c>
      <c r="J1" s="274" t="s">
        <v>853</v>
      </c>
      <c r="K1" s="274" t="s">
        <v>853</v>
      </c>
      <c r="L1" s="274" t="s">
        <v>853</v>
      </c>
      <c r="M1" s="274" t="s">
        <v>853</v>
      </c>
      <c r="N1" s="274" t="s">
        <v>852</v>
      </c>
      <c r="O1" s="274" t="s">
        <v>852</v>
      </c>
      <c r="P1" s="274" t="s">
        <v>853</v>
      </c>
      <c r="Q1" s="274" t="s">
        <v>853</v>
      </c>
    </row>
    <row r="2" spans="2:17" ht="15" customHeight="1">
      <c r="B2" s="278" t="s">
        <v>865</v>
      </c>
      <c r="C2" s="279" t="s">
        <v>108</v>
      </c>
      <c r="D2" s="279" t="s">
        <v>109</v>
      </c>
      <c r="E2" s="279" t="s">
        <v>110</v>
      </c>
      <c r="F2" s="279" t="s">
        <v>111</v>
      </c>
      <c r="G2" s="279" t="s">
        <v>112</v>
      </c>
      <c r="H2" s="279" t="s">
        <v>113</v>
      </c>
      <c r="I2" s="279" t="s">
        <v>114</v>
      </c>
      <c r="J2" s="279" t="s">
        <v>115</v>
      </c>
      <c r="K2" s="279" t="s">
        <v>116</v>
      </c>
      <c r="L2" s="279" t="s">
        <v>117</v>
      </c>
      <c r="M2" s="279" t="s">
        <v>118</v>
      </c>
      <c r="N2" s="279" t="s">
        <v>119</v>
      </c>
      <c r="O2" s="279" t="s">
        <v>120</v>
      </c>
      <c r="P2" s="279" t="s">
        <v>121</v>
      </c>
      <c r="Q2" s="280" t="s">
        <v>122</v>
      </c>
    </row>
    <row r="3" spans="2:17" ht="14">
      <c r="B3" s="281" t="s">
        <v>928</v>
      </c>
      <c r="C3" s="275">
        <f>INDEX('Company data'!$C$5:$V$64,MATCH($B3,'Company data'!$B$5:$B$64,0),MATCH(C$2,'Company data'!$C$4:$V$4,0))</f>
        <v>127.15</v>
      </c>
      <c r="D3" s="275">
        <f>INDEX('Company data'!$C$5:$V$64,MATCH($B3,'Company data'!$B$5:$B$64,0),MATCH(D$2,'Company data'!$C$4:$V$4,0))</f>
        <v>31</v>
      </c>
      <c r="E3" s="275">
        <f>INDEX('Company data'!$C$5:$V$64,MATCH($B3,'Company data'!$B$5:$B$64,0),MATCH(E$2,'Company data'!$C$4:$V$4,0))</f>
        <v>50</v>
      </c>
      <c r="F3" s="275">
        <f>INDEX('Company data'!$C$5:$V$64,MATCH($B3,'Company data'!$B$5:$B$64,0),MATCH(F$2,'Company data'!$C$4:$V$4,0))</f>
        <v>31.2</v>
      </c>
      <c r="G3" s="276">
        <f>INDEX('Company data'!$C$5:$V$64,MATCH($B3,'Company data'!$B$5:$B$64,0),MATCH(G$2,'Company data'!$C$4:$V$4,0))</f>
        <v>7.0000000000000007E-2</v>
      </c>
      <c r="H3" s="275">
        <f>INDEX('Company data'!$C$5:$V$64,MATCH($B3,'Company data'!$B$5:$B$64,0),MATCH(H$2,'Company data'!$C$4:$V$4,0))</f>
        <v>92943.84</v>
      </c>
      <c r="I3" s="276">
        <f>INDEX('Company data'!$C$5:$V$64,MATCH($B3,'Company data'!$B$5:$B$64,0),MATCH(I$2,'Company data'!$C$4:$V$4,0))</f>
        <v>0.45</v>
      </c>
      <c r="J3" s="277">
        <f>INDEX('Company data'!$C$5:$V$64,MATCH($B3,'Company data'!$B$5:$B$64,0),MATCH(J$2,'Company data'!$C$4:$V$4,0))</f>
        <v>0.1777</v>
      </c>
      <c r="K3" s="275">
        <f>INDEX('Company data'!$C$5:$V$64,MATCH($B3,'Company data'!$B$5:$B$64,0),MATCH(K$2,'Company data'!$C$4:$V$4,0))</f>
        <v>16002953</v>
      </c>
      <c r="L3" s="277">
        <f>INDEX('Company data'!$C$5:$V$64,MATCH($B3,'Company data'!$B$5:$B$64,0),MATCH(L$2,'Company data'!$C$4:$V$4,0))</f>
        <v>7.51E-2</v>
      </c>
      <c r="M3" s="275">
        <f>INDEX('Company data'!$C$5:$V$64,MATCH($B3,'Company data'!$B$5:$B$64,0),MATCH(M$2,'Company data'!$C$4:$V$4,0))</f>
        <v>20</v>
      </c>
      <c r="N3" s="275">
        <f>INDEX('Company data'!$C$5:$V$64,MATCH($B3,'Company data'!$B$5:$B$64,0),MATCH(N$2,'Company data'!$C$4:$V$4,0))</f>
        <v>61.34</v>
      </c>
      <c r="O3" s="275">
        <f>INDEX('Company data'!$C$5:$V$64,MATCH($B3,'Company data'!$B$5:$B$64,0),MATCH(O$2,'Company data'!$C$4:$V$4,0))</f>
        <v>0</v>
      </c>
      <c r="P3" s="277">
        <f>INDEX('Company data'!$C$5:$V$64,MATCH($B3,'Company data'!$B$5:$B$64,0),MATCH(P$2,'Company data'!$C$4:$V$4,0))</f>
        <v>0.22789999999999999</v>
      </c>
      <c r="Q3" s="282">
        <f>INDEX('Company data'!$C$5:$V$64,MATCH($B3,'Company data'!$B$5:$B$64,0),MATCH(Q$2,'Company data'!$C$4:$V$4,0))</f>
        <v>18.559999999999999</v>
      </c>
    </row>
    <row r="4" spans="2:17" ht="14">
      <c r="B4" s="281" t="s">
        <v>929</v>
      </c>
      <c r="C4" s="275">
        <f>INDEX('Company data'!$C$5:$V$64,MATCH($B4,'Company data'!$B$5:$B$64,0),MATCH(C$2,'Company data'!$C$4:$V$4,0))</f>
        <v>40183.85</v>
      </c>
      <c r="D4" s="275">
        <f>INDEX('Company data'!$C$5:$V$64,MATCH($B4,'Company data'!$B$5:$B$64,0),MATCH(D$2,'Company data'!$C$4:$V$4,0))</f>
        <v>24.5</v>
      </c>
      <c r="E4" s="275">
        <f>INDEX('Company data'!$C$5:$V$64,MATCH($B4,'Company data'!$B$5:$B$64,0),MATCH(E$2,'Company data'!$C$4:$V$4,0))</f>
        <v>58</v>
      </c>
      <c r="F4" s="275">
        <f>INDEX('Company data'!$C$5:$V$64,MATCH($B4,'Company data'!$B$5:$B$64,0),MATCH(F$2,'Company data'!$C$4:$V$4,0))</f>
        <v>24.5</v>
      </c>
      <c r="G4" s="276">
        <f>INDEX('Company data'!$C$5:$V$64,MATCH($B4,'Company data'!$B$5:$B$64,0),MATCH(G$2,'Company data'!$C$4:$V$4,0))</f>
        <v>0.11</v>
      </c>
      <c r="H4" s="275">
        <f>INDEX('Company data'!$C$5:$V$64,MATCH($B4,'Company data'!$B$5:$B$64,0),MATCH(H$2,'Company data'!$C$4:$V$4,0))</f>
        <v>35522.519999999997</v>
      </c>
      <c r="I4" s="276">
        <f>INDEX('Company data'!$C$5:$V$64,MATCH($B4,'Company data'!$B$5:$B$64,0),MATCH(I$2,'Company data'!$C$4:$V$4,0))</f>
        <v>0.16</v>
      </c>
      <c r="J4" s="277">
        <f>INDEX('Company data'!$C$5:$V$64,MATCH($B4,'Company data'!$B$5:$B$64,0),MATCH(J$2,'Company data'!$C$4:$V$4,0))</f>
        <v>-3.7900000000000003E-2</v>
      </c>
      <c r="K4" s="275">
        <f>INDEX('Company data'!$C$5:$V$64,MATCH($B4,'Company data'!$B$5:$B$64,0),MATCH(K$2,'Company data'!$C$4:$V$4,0))</f>
        <v>5523</v>
      </c>
      <c r="L4" s="277">
        <f>INDEX('Company data'!$C$5:$V$64,MATCH($B4,'Company data'!$B$5:$B$64,0),MATCH(L$2,'Company data'!$C$4:$V$4,0))</f>
        <v>0.17780000000000001</v>
      </c>
      <c r="M4" s="275">
        <f>INDEX('Company data'!$C$5:$V$64,MATCH($B4,'Company data'!$B$5:$B$64,0),MATCH(M$2,'Company data'!$C$4:$V$4,0))</f>
        <v>17</v>
      </c>
      <c r="N4" s="275">
        <f>INDEX('Company data'!$C$5:$V$64,MATCH($B4,'Company data'!$B$5:$B$64,0),MATCH(N$2,'Company data'!$C$4:$V$4,0))</f>
        <v>36.340000000000003</v>
      </c>
      <c r="O4" s="275">
        <f>INDEX('Company data'!$C$5:$V$64,MATCH($B4,'Company data'!$B$5:$B$64,0),MATCH(O$2,'Company data'!$C$4:$V$4,0))</f>
        <v>0.01</v>
      </c>
      <c r="P4" s="277">
        <f>INDEX('Company data'!$C$5:$V$64,MATCH($B4,'Company data'!$B$5:$B$64,0),MATCH(P$2,'Company data'!$C$4:$V$4,0))</f>
        <v>0.1454</v>
      </c>
      <c r="Q4" s="282">
        <f>INDEX('Company data'!$C$5:$V$64,MATCH($B4,'Company data'!$B$5:$B$64,0),MATCH(Q$2,'Company data'!$C$4:$V$4,0))</f>
        <v>51.08</v>
      </c>
    </row>
    <row r="5" spans="2:17" ht="14">
      <c r="B5" s="281" t="s">
        <v>930</v>
      </c>
      <c r="C5" s="275">
        <f>INDEX('Company data'!$C$5:$V$64,MATCH($B5,'Company data'!$B$5:$B$64,0),MATCH(C$2,'Company data'!$C$4:$V$4,0))</f>
        <v>2158.5500000000002</v>
      </c>
      <c r="D5" s="275">
        <f>INDEX('Company data'!$C$5:$V$64,MATCH($B5,'Company data'!$B$5:$B$64,0),MATCH(D$2,'Company data'!$C$4:$V$4,0))</f>
        <v>29.7</v>
      </c>
      <c r="E5" s="275">
        <f>INDEX('Company data'!$C$5:$V$64,MATCH($B5,'Company data'!$B$5:$B$64,0),MATCH(E$2,'Company data'!$C$4:$V$4,0))</f>
        <v>56</v>
      </c>
      <c r="F5" s="275">
        <f>INDEX('Company data'!$C$5:$V$64,MATCH($B5,'Company data'!$B$5:$B$64,0),MATCH(F$2,'Company data'!$C$4:$V$4,0))</f>
        <v>45.2</v>
      </c>
      <c r="G5" s="276">
        <f>INDEX('Company data'!$C$5:$V$64,MATCH($B5,'Company data'!$B$5:$B$64,0),MATCH(G$2,'Company data'!$C$4:$V$4,0))</f>
        <v>0.13</v>
      </c>
      <c r="H5" s="275">
        <f>INDEX('Company data'!$C$5:$V$64,MATCH($B5,'Company data'!$B$5:$B$64,0),MATCH(H$2,'Company data'!$C$4:$V$4,0))</f>
        <v>12084.42</v>
      </c>
      <c r="I5" s="276">
        <f>INDEX('Company data'!$C$5:$V$64,MATCH($B5,'Company data'!$B$5:$B$64,0),MATCH(I$2,'Company data'!$C$4:$V$4,0))</f>
        <v>0.12</v>
      </c>
      <c r="J5" s="277">
        <f>INDEX('Company data'!$C$5:$V$64,MATCH($B5,'Company data'!$B$5:$B$64,0),MATCH(J$2,'Company data'!$C$4:$V$4,0))</f>
        <v>-0.43630000000000002</v>
      </c>
      <c r="K5" s="275">
        <f>INDEX('Company data'!$C$5:$V$64,MATCH($B5,'Company data'!$B$5:$B$64,0),MATCH(K$2,'Company data'!$C$4:$V$4,0))</f>
        <v>271553</v>
      </c>
      <c r="L5" s="277">
        <f>INDEX('Company data'!$C$5:$V$64,MATCH($B5,'Company data'!$B$5:$B$64,0),MATCH(L$2,'Company data'!$C$4:$V$4,0))</f>
        <v>0.38829999999999998</v>
      </c>
      <c r="M5" s="275">
        <f>INDEX('Company data'!$C$5:$V$64,MATCH($B5,'Company data'!$B$5:$B$64,0),MATCH(M$2,'Company data'!$C$4:$V$4,0))</f>
        <v>11</v>
      </c>
      <c r="N5" s="275">
        <f>INDEX('Company data'!$C$5:$V$64,MATCH($B5,'Company data'!$B$5:$B$64,0),MATCH(N$2,'Company data'!$C$4:$V$4,0))</f>
        <v>2.4900000000000002</v>
      </c>
      <c r="O5" s="275">
        <f>INDEX('Company data'!$C$5:$V$64,MATCH($B5,'Company data'!$B$5:$B$64,0),MATCH(O$2,'Company data'!$C$4:$V$4,0))</f>
        <v>0</v>
      </c>
      <c r="P5" s="277">
        <f>INDEX('Company data'!$C$5:$V$64,MATCH($B5,'Company data'!$B$5:$B$64,0),MATCH(P$2,'Company data'!$C$4:$V$4,0))</f>
        <v>0.14169999999999999</v>
      </c>
      <c r="Q5" s="282">
        <f>INDEX('Company data'!$C$5:$V$64,MATCH($B5,'Company data'!$B$5:$B$64,0),MATCH(Q$2,'Company data'!$C$4:$V$4,0))</f>
        <v>58.44</v>
      </c>
    </row>
    <row r="6" spans="2:17" ht="14">
      <c r="B6" s="281" t="s">
        <v>931</v>
      </c>
      <c r="C6" s="275">
        <f>INDEX('Company data'!$C$5:$V$64,MATCH($B6,'Company data'!$B$5:$B$64,0),MATCH(C$2,'Company data'!$C$4:$V$4,0))</f>
        <v>470.15</v>
      </c>
      <c r="D6" s="275">
        <f>INDEX('Company data'!$C$5:$V$64,MATCH($B6,'Company data'!$B$5:$B$64,0),MATCH(D$2,'Company data'!$C$4:$V$4,0))</f>
        <v>25.2</v>
      </c>
      <c r="E6" s="275">
        <f>INDEX('Company data'!$C$5:$V$64,MATCH($B6,'Company data'!$B$5:$B$64,0),MATCH(E$2,'Company data'!$C$4:$V$4,0))</f>
        <v>46</v>
      </c>
      <c r="F6" s="275">
        <f>INDEX('Company data'!$C$5:$V$64,MATCH($B6,'Company data'!$B$5:$B$64,0),MATCH(F$2,'Company data'!$C$4:$V$4,0))</f>
        <v>38.6</v>
      </c>
      <c r="G6" s="276">
        <f>INDEX('Company data'!$C$5:$V$64,MATCH($B6,'Company data'!$B$5:$B$64,0),MATCH(G$2,'Company data'!$C$4:$V$4,0))</f>
        <v>0.11</v>
      </c>
      <c r="H6" s="275">
        <f>INDEX('Company data'!$C$5:$V$64,MATCH($B6,'Company data'!$B$5:$B$64,0),MATCH(H$2,'Company data'!$C$4:$V$4,0))</f>
        <v>8311.2099999999991</v>
      </c>
      <c r="I6" s="276">
        <f>INDEX('Company data'!$C$5:$V$64,MATCH($B6,'Company data'!$B$5:$B$64,0),MATCH(I$2,'Company data'!$C$4:$V$4,0))</f>
        <v>0.05</v>
      </c>
      <c r="J6" s="277">
        <f>INDEX('Company data'!$C$5:$V$64,MATCH($B6,'Company data'!$B$5:$B$64,0),MATCH(J$2,'Company data'!$C$4:$V$4,0))</f>
        <v>-0.82530000000000003</v>
      </c>
      <c r="K6" s="275">
        <f>INDEX('Company data'!$C$5:$V$64,MATCH($B6,'Company data'!$B$5:$B$64,0),MATCH(K$2,'Company data'!$C$4:$V$4,0))</f>
        <v>1289290</v>
      </c>
      <c r="L6" s="277">
        <f>INDEX('Company data'!$C$5:$V$64,MATCH($B6,'Company data'!$B$5:$B$64,0),MATCH(L$2,'Company data'!$C$4:$V$4,0))</f>
        <v>0.77159999999999995</v>
      </c>
      <c r="M6" s="275">
        <f>INDEX('Company data'!$C$5:$V$64,MATCH($B6,'Company data'!$B$5:$B$64,0),MATCH(M$2,'Company data'!$C$4:$V$4,0))</f>
        <v>11</v>
      </c>
      <c r="N6" s="275">
        <f>INDEX('Company data'!$C$5:$V$64,MATCH($B6,'Company data'!$B$5:$B$64,0),MATCH(N$2,'Company data'!$C$4:$V$4,0))</f>
        <v>374.73</v>
      </c>
      <c r="O6" s="275">
        <f>INDEX('Company data'!$C$5:$V$64,MATCH($B6,'Company data'!$B$5:$B$64,0),MATCH(O$2,'Company data'!$C$4:$V$4,0))</f>
        <v>0.24</v>
      </c>
      <c r="P6" s="277">
        <f>INDEX('Company data'!$C$5:$V$64,MATCH($B6,'Company data'!$B$5:$B$64,0),MATCH(P$2,'Company data'!$C$4:$V$4,0))</f>
        <v>0.1115</v>
      </c>
      <c r="Q6" s="282">
        <f>INDEX('Company data'!$C$5:$V$64,MATCH($B6,'Company data'!$B$5:$B$64,0),MATCH(Q$2,'Company data'!$C$4:$V$4,0))</f>
        <v>33.909999999999997</v>
      </c>
    </row>
    <row r="7" spans="2:17" ht="14.5" thickBot="1">
      <c r="B7" s="283" t="s">
        <v>932</v>
      </c>
      <c r="C7" s="284">
        <f>INDEX('Company data'!$C$5:$V$64,MATCH($B7,'Company data'!$B$5:$B$64,0),MATCH(C$2,'Company data'!$C$4:$V$4,0))</f>
        <v>515.4</v>
      </c>
      <c r="D7" s="284">
        <f>INDEX('Company data'!$C$5:$V$64,MATCH($B7,'Company data'!$B$5:$B$64,0),MATCH(D$2,'Company data'!$C$4:$V$4,0))</f>
        <v>27.4</v>
      </c>
      <c r="E7" s="284">
        <f>INDEX('Company data'!$C$5:$V$64,MATCH($B7,'Company data'!$B$5:$B$64,0),MATCH(E$2,'Company data'!$C$4:$V$4,0))</f>
        <v>49</v>
      </c>
      <c r="F7" s="284">
        <f>INDEX('Company data'!$C$5:$V$64,MATCH($B7,'Company data'!$B$5:$B$64,0),MATCH(F$2,'Company data'!$C$4:$V$4,0))</f>
        <v>42.8</v>
      </c>
      <c r="G7" s="285">
        <f>INDEX('Company data'!$C$5:$V$64,MATCH($B7,'Company data'!$B$5:$B$64,0),MATCH(G$2,'Company data'!$C$4:$V$4,0))</f>
        <v>0.11</v>
      </c>
      <c r="H7" s="284">
        <f>INDEX('Company data'!$C$5:$V$64,MATCH($B7,'Company data'!$B$5:$B$64,0),MATCH(H$2,'Company data'!$C$4:$V$4,0))</f>
        <v>4087.44</v>
      </c>
      <c r="I7" s="285">
        <f>INDEX('Company data'!$C$5:$V$64,MATCH($B7,'Company data'!$B$5:$B$64,0),MATCH(I$2,'Company data'!$C$4:$V$4,0))</f>
        <v>0.04</v>
      </c>
      <c r="J7" s="286">
        <f>INDEX('Company data'!$C$5:$V$64,MATCH($B7,'Company data'!$B$5:$B$64,0),MATCH(J$2,'Company data'!$C$4:$V$4,0))</f>
        <v>0.28539999999999999</v>
      </c>
      <c r="K7" s="284">
        <f>INDEX('Company data'!$C$5:$V$64,MATCH($B7,'Company data'!$B$5:$B$64,0),MATCH(K$2,'Company data'!$C$4:$V$4,0))</f>
        <v>2347496</v>
      </c>
      <c r="L7" s="286">
        <f>INDEX('Company data'!$C$5:$V$64,MATCH($B7,'Company data'!$B$5:$B$64,0),MATCH(L$2,'Company data'!$C$4:$V$4,0))</f>
        <v>0.1547</v>
      </c>
      <c r="M7" s="284">
        <f>INDEX('Company data'!$C$5:$V$64,MATCH($B7,'Company data'!$B$5:$B$64,0),MATCH(M$2,'Company data'!$C$4:$V$4,0))</f>
        <v>13</v>
      </c>
      <c r="N7" s="284">
        <f>INDEX('Company data'!$C$5:$V$64,MATCH($B7,'Company data'!$B$5:$B$64,0),MATCH(N$2,'Company data'!$C$4:$V$4,0))</f>
        <v>356.05</v>
      </c>
      <c r="O7" s="284">
        <f>INDEX('Company data'!$C$5:$V$64,MATCH($B7,'Company data'!$B$5:$B$64,0),MATCH(O$2,'Company data'!$C$4:$V$4,0))</f>
        <v>1.8</v>
      </c>
      <c r="P7" s="286">
        <f>INDEX('Company data'!$C$5:$V$64,MATCH($B7,'Company data'!$B$5:$B$64,0),MATCH(P$2,'Company data'!$C$4:$V$4,0))</f>
        <v>0.2336</v>
      </c>
      <c r="Q7" s="287">
        <f>INDEX('Company data'!$C$5:$V$64,MATCH($B7,'Company data'!$B$5:$B$64,0),MATCH(Q$2,'Company data'!$C$4:$V$4,0))</f>
        <v>45.17</v>
      </c>
    </row>
    <row r="8" spans="2:17" ht="13" thickBot="1"/>
    <row r="9" spans="2:17" ht="15" customHeight="1" thickBot="1">
      <c r="B9" s="288" t="s">
        <v>855</v>
      </c>
      <c r="C9" s="289">
        <f>Dashboard!C18</f>
        <v>8</v>
      </c>
      <c r="D9" s="289">
        <f>Dashboard!C19</f>
        <v>9</v>
      </c>
      <c r="E9" s="289">
        <f>Dashboard!C20</f>
        <v>9</v>
      </c>
      <c r="F9" s="289">
        <f>Dashboard!C21</f>
        <v>9</v>
      </c>
      <c r="G9" s="289">
        <f>Dashboard!C22</f>
        <v>6</v>
      </c>
      <c r="H9" s="289">
        <f>Dashboard!C23</f>
        <v>7</v>
      </c>
      <c r="I9" s="289">
        <f>Dashboard!C24</f>
        <v>4</v>
      </c>
      <c r="J9" s="289">
        <f>Dashboard!C25</f>
        <v>8</v>
      </c>
      <c r="K9" s="289">
        <f>Dashboard!C26</f>
        <v>3</v>
      </c>
      <c r="L9" s="289">
        <f>Dashboard!C27</f>
        <v>5</v>
      </c>
      <c r="M9" s="289">
        <f>Dashboard!C28</f>
        <v>8</v>
      </c>
      <c r="N9" s="289">
        <f>Dashboard!C29</f>
        <v>7</v>
      </c>
      <c r="O9" s="289">
        <f>Dashboard!C30</f>
        <v>4</v>
      </c>
      <c r="P9" s="289">
        <f>Dashboard!C31</f>
        <v>6</v>
      </c>
      <c r="Q9" s="290">
        <f>Dashboard!C32</f>
        <v>5</v>
      </c>
    </row>
    <row r="10" spans="2:17" ht="15" customHeight="1" thickBot="1">
      <c r="B10" s="293" t="s">
        <v>856</v>
      </c>
      <c r="C10" s="291">
        <f>C9/SUM($C$9:$Q$9)</f>
        <v>8.1632653061224483E-2</v>
      </c>
      <c r="D10" s="291">
        <f t="shared" ref="D10:Q10" si="0">D9/SUM($C$9:$Q$9)</f>
        <v>9.1836734693877556E-2</v>
      </c>
      <c r="E10" s="291">
        <f t="shared" si="0"/>
        <v>9.1836734693877556E-2</v>
      </c>
      <c r="F10" s="291">
        <f t="shared" si="0"/>
        <v>9.1836734693877556E-2</v>
      </c>
      <c r="G10" s="291">
        <f t="shared" si="0"/>
        <v>6.1224489795918366E-2</v>
      </c>
      <c r="H10" s="291">
        <f t="shared" si="0"/>
        <v>7.1428571428571425E-2</v>
      </c>
      <c r="I10" s="291">
        <f t="shared" si="0"/>
        <v>4.0816326530612242E-2</v>
      </c>
      <c r="J10" s="291">
        <f t="shared" si="0"/>
        <v>8.1632653061224483E-2</v>
      </c>
      <c r="K10" s="291">
        <f t="shared" si="0"/>
        <v>3.0612244897959183E-2</v>
      </c>
      <c r="L10" s="291">
        <f t="shared" si="0"/>
        <v>5.1020408163265307E-2</v>
      </c>
      <c r="M10" s="291">
        <f t="shared" si="0"/>
        <v>8.1632653061224483E-2</v>
      </c>
      <c r="N10" s="291">
        <f t="shared" si="0"/>
        <v>7.1428571428571425E-2</v>
      </c>
      <c r="O10" s="291">
        <f t="shared" si="0"/>
        <v>4.0816326530612242E-2</v>
      </c>
      <c r="P10" s="291">
        <f t="shared" si="0"/>
        <v>6.1224489795918366E-2</v>
      </c>
      <c r="Q10" s="292">
        <f t="shared" si="0"/>
        <v>5.1020408163265307E-2</v>
      </c>
    </row>
    <row r="11" spans="2:17" ht="13" thickBot="1"/>
    <row r="12" spans="2:17" ht="15" customHeight="1" thickBot="1">
      <c r="B12" s="296" t="s">
        <v>857</v>
      </c>
      <c r="C12" s="294">
        <f t="shared" ref="C12:Q12" si="1">SQRT(SUMSQ(C3:C7))</f>
        <v>40248.030811829791</v>
      </c>
      <c r="D12" s="294">
        <f t="shared" si="1"/>
        <v>61.880045248852234</v>
      </c>
      <c r="E12" s="294">
        <f t="shared" si="1"/>
        <v>116.26263372210352</v>
      </c>
      <c r="F12" s="294">
        <f t="shared" si="1"/>
        <v>83.297839107626316</v>
      </c>
      <c r="G12" s="294">
        <f t="shared" si="1"/>
        <v>0.241039415863879</v>
      </c>
      <c r="H12" s="294">
        <f t="shared" si="1"/>
        <v>100658.94597724585</v>
      </c>
      <c r="I12" s="294">
        <f t="shared" si="1"/>
        <v>0.49658836071740547</v>
      </c>
      <c r="J12" s="294">
        <f t="shared" si="1"/>
        <v>0.99294745077471247</v>
      </c>
      <c r="K12" s="294">
        <f t="shared" si="1"/>
        <v>16227793.516977686</v>
      </c>
      <c r="L12" s="294">
        <f t="shared" si="1"/>
        <v>0.89851454634858297</v>
      </c>
      <c r="M12" s="294">
        <f t="shared" si="1"/>
        <v>33.166247903554002</v>
      </c>
      <c r="N12" s="294">
        <f t="shared" si="1"/>
        <v>521.80797876230292</v>
      </c>
      <c r="O12" s="294">
        <f t="shared" si="1"/>
        <v>1.8159570479501987</v>
      </c>
      <c r="P12" s="294">
        <f t="shared" si="1"/>
        <v>0.40019953773086747</v>
      </c>
      <c r="Q12" s="295">
        <f t="shared" si="1"/>
        <v>97.770601921027364</v>
      </c>
    </row>
    <row r="13" spans="2:17" ht="13" thickBot="1"/>
    <row r="14" spans="2:17" ht="15" customHeight="1" thickBot="1">
      <c r="B14" s="296" t="s">
        <v>858</v>
      </c>
      <c r="C14" s="311">
        <f t="shared" ref="C14:Q18" si="2">C3/C$12</f>
        <v>3.1591607697395172E-3</v>
      </c>
      <c r="D14" s="312">
        <f t="shared" si="2"/>
        <v>0.50096925229017986</v>
      </c>
      <c r="E14" s="312">
        <f t="shared" si="2"/>
        <v>0.43006078908819823</v>
      </c>
      <c r="F14" s="312">
        <f t="shared" si="2"/>
        <v>0.37455953640871209</v>
      </c>
      <c r="G14" s="312">
        <f t="shared" si="2"/>
        <v>0.29040893477575785</v>
      </c>
      <c r="H14" s="312">
        <f t="shared" si="2"/>
        <v>0.92335399598770018</v>
      </c>
      <c r="I14" s="312">
        <f t="shared" si="2"/>
        <v>0.90618313999526545</v>
      </c>
      <c r="J14" s="312">
        <f t="shared" si="2"/>
        <v>0.17896213929685381</v>
      </c>
      <c r="K14" s="312">
        <f t="shared" si="2"/>
        <v>0.9861447265309079</v>
      </c>
      <c r="L14" s="312">
        <f t="shared" si="2"/>
        <v>8.358239753067348E-2</v>
      </c>
      <c r="M14" s="312">
        <f t="shared" si="2"/>
        <v>0.60302268915552715</v>
      </c>
      <c r="N14" s="312">
        <f t="shared" si="2"/>
        <v>0.11755282114599855</v>
      </c>
      <c r="O14" s="312">
        <f t="shared" si="2"/>
        <v>0</v>
      </c>
      <c r="P14" s="312">
        <f t="shared" si="2"/>
        <v>0.56946592515372119</v>
      </c>
      <c r="Q14" s="313">
        <f t="shared" si="2"/>
        <v>0.18983211349145157</v>
      </c>
    </row>
    <row r="15" spans="2:17" ht="15" customHeight="1">
      <c r="C15" s="314">
        <f t="shared" si="2"/>
        <v>0.99840536765314425</v>
      </c>
      <c r="D15" s="315">
        <f t="shared" si="2"/>
        <v>0.39592731229385181</v>
      </c>
      <c r="E15" s="315">
        <f t="shared" si="2"/>
        <v>0.49887051534230992</v>
      </c>
      <c r="F15" s="315">
        <f t="shared" si="2"/>
        <v>0.29412527698761043</v>
      </c>
      <c r="G15" s="315">
        <f t="shared" si="2"/>
        <v>0.45635689750476227</v>
      </c>
      <c r="H15" s="315">
        <f t="shared" si="2"/>
        <v>0.35289978108880588</v>
      </c>
      <c r="I15" s="315">
        <f t="shared" si="2"/>
        <v>0.32219844977609435</v>
      </c>
      <c r="J15" s="315">
        <f t="shared" si="2"/>
        <v>-3.8169190092013285E-2</v>
      </c>
      <c r="K15" s="315">
        <f t="shared" si="2"/>
        <v>3.4034201841561391E-4</v>
      </c>
      <c r="L15" s="315">
        <f t="shared" si="2"/>
        <v>0.19788216086489674</v>
      </c>
      <c r="M15" s="315">
        <f t="shared" si="2"/>
        <v>0.51256928578219807</v>
      </c>
      <c r="N15" s="315">
        <f t="shared" si="2"/>
        <v>6.9642476694580818E-2</v>
      </c>
      <c r="O15" s="315">
        <f t="shared" si="2"/>
        <v>5.5067381749407118E-3</v>
      </c>
      <c r="P15" s="315">
        <f t="shared" si="2"/>
        <v>0.36331876049737194</v>
      </c>
      <c r="Q15" s="316">
        <f t="shared" si="2"/>
        <v>0.52244743303574059</v>
      </c>
    </row>
    <row r="16" spans="2:17" ht="15" customHeight="1">
      <c r="C16" s="314">
        <f t="shared" si="2"/>
        <v>5.3631195277398624E-2</v>
      </c>
      <c r="D16" s="315">
        <f t="shared" si="2"/>
        <v>0.47996086429091422</v>
      </c>
      <c r="E16" s="315">
        <f t="shared" si="2"/>
        <v>0.48166808377878201</v>
      </c>
      <c r="F16" s="315">
        <f t="shared" si="2"/>
        <v>0.54263112325877527</v>
      </c>
      <c r="G16" s="315">
        <f t="shared" si="2"/>
        <v>0.53933087886926456</v>
      </c>
      <c r="H16" s="315">
        <f t="shared" si="2"/>
        <v>0.12005311482927415</v>
      </c>
      <c r="I16" s="315">
        <f t="shared" si="2"/>
        <v>0.24164883733207076</v>
      </c>
      <c r="J16" s="315">
        <f t="shared" si="2"/>
        <v>-0.43939888224658036</v>
      </c>
      <c r="K16" s="315">
        <f t="shared" si="2"/>
        <v>1.6733821496797974E-2</v>
      </c>
      <c r="L16" s="315">
        <f t="shared" si="2"/>
        <v>0.43215772251878176</v>
      </c>
      <c r="M16" s="315">
        <f t="shared" si="2"/>
        <v>0.33166247903553997</v>
      </c>
      <c r="N16" s="315">
        <f t="shared" si="2"/>
        <v>4.771870307361206E-3</v>
      </c>
      <c r="O16" s="315">
        <f t="shared" si="2"/>
        <v>0</v>
      </c>
      <c r="P16" s="315">
        <f t="shared" si="2"/>
        <v>0.35407337250672349</v>
      </c>
      <c r="Q16" s="316">
        <f t="shared" si="2"/>
        <v>0.59772568493752321</v>
      </c>
    </row>
    <row r="17" spans="2:18" ht="15" customHeight="1">
      <c r="C17" s="314">
        <f t="shared" si="2"/>
        <v>1.1681316837538607E-2</v>
      </c>
      <c r="D17" s="315">
        <f t="shared" si="2"/>
        <v>0.40723952121653328</v>
      </c>
      <c r="E17" s="315">
        <f t="shared" si="2"/>
        <v>0.39565592596114235</v>
      </c>
      <c r="F17" s="315">
        <f t="shared" si="2"/>
        <v>0.46339737517231688</v>
      </c>
      <c r="G17" s="315">
        <f t="shared" si="2"/>
        <v>0.45635689750476227</v>
      </c>
      <c r="H17" s="315">
        <f t="shared" si="2"/>
        <v>8.2568021344856565E-2</v>
      </c>
      <c r="I17" s="315">
        <f t="shared" si="2"/>
        <v>0.1006870155550295</v>
      </c>
      <c r="J17" s="315">
        <f t="shared" si="2"/>
        <v>-0.83116180957621533</v>
      </c>
      <c r="K17" s="315">
        <f t="shared" si="2"/>
        <v>7.9449495006892426E-2</v>
      </c>
      <c r="L17" s="315">
        <f t="shared" si="2"/>
        <v>0.85875070485576099</v>
      </c>
      <c r="M17" s="315">
        <f t="shared" si="2"/>
        <v>0.33166247903553997</v>
      </c>
      <c r="N17" s="315">
        <f t="shared" si="2"/>
        <v>0.71813773505119061</v>
      </c>
      <c r="O17" s="315">
        <f t="shared" si="2"/>
        <v>0.13216171619857708</v>
      </c>
      <c r="P17" s="315">
        <f t="shared" si="2"/>
        <v>0.27861101647494479</v>
      </c>
      <c r="Q17" s="316">
        <f t="shared" si="2"/>
        <v>0.34683227200943545</v>
      </c>
    </row>
    <row r="18" spans="2:18" ht="15" customHeight="1" thickBot="1">
      <c r="C18" s="317">
        <f t="shared" si="2"/>
        <v>1.2805595444150586E-2</v>
      </c>
      <c r="D18" s="318">
        <f t="shared" si="2"/>
        <v>0.44279217783067509</v>
      </c>
      <c r="E18" s="318">
        <f t="shared" si="2"/>
        <v>0.42145957330643424</v>
      </c>
      <c r="F18" s="318">
        <f t="shared" si="2"/>
        <v>0.51381885122733573</v>
      </c>
      <c r="G18" s="318">
        <f t="shared" si="2"/>
        <v>0.45635689750476227</v>
      </c>
      <c r="H18" s="318">
        <f t="shared" si="2"/>
        <v>4.0606822973528592E-2</v>
      </c>
      <c r="I18" s="318">
        <f t="shared" si="2"/>
        <v>8.0549612444023588E-2</v>
      </c>
      <c r="J18" s="318">
        <f t="shared" si="2"/>
        <v>0.28742709372719233</v>
      </c>
      <c r="K18" s="318">
        <f t="shared" si="2"/>
        <v>0.14465897643718631</v>
      </c>
      <c r="L18" s="318">
        <f t="shared" si="2"/>
        <v>0.1721730612249692</v>
      </c>
      <c r="M18" s="318">
        <f t="shared" si="2"/>
        <v>0.39196474795109265</v>
      </c>
      <c r="N18" s="318">
        <f t="shared" si="2"/>
        <v>0.68233912567709132</v>
      </c>
      <c r="O18" s="318">
        <f t="shared" si="2"/>
        <v>0.99121287148932813</v>
      </c>
      <c r="P18" s="318">
        <f t="shared" si="2"/>
        <v>0.58370882016634174</v>
      </c>
      <c r="Q18" s="319">
        <f t="shared" si="2"/>
        <v>0.46199981500047782</v>
      </c>
    </row>
    <row r="19" spans="2:18" ht="13" thickBot="1"/>
    <row r="20" spans="2:18" ht="15" customHeight="1" thickBot="1">
      <c r="B20" s="320" t="s">
        <v>859</v>
      </c>
      <c r="C20" s="297">
        <f t="shared" ref="C20:Q24" si="3">C$10*C14</f>
        <v>2.5789067508077691E-4</v>
      </c>
      <c r="D20" s="298">
        <f t="shared" si="3"/>
        <v>4.6007380312363462E-2</v>
      </c>
      <c r="E20" s="298">
        <f t="shared" si="3"/>
        <v>3.949537858973249E-2</v>
      </c>
      <c r="F20" s="298">
        <f t="shared" si="3"/>
        <v>3.4398324772228664E-2</v>
      </c>
      <c r="G20" s="298">
        <f t="shared" si="3"/>
        <v>1.7780138863821911E-2</v>
      </c>
      <c r="H20" s="298">
        <f t="shared" si="3"/>
        <v>6.5953856856264301E-2</v>
      </c>
      <c r="I20" s="298">
        <f t="shared" si="3"/>
        <v>3.698706693858226E-2</v>
      </c>
      <c r="J20" s="298">
        <f t="shared" si="3"/>
        <v>1.4609154228314596E-2</v>
      </c>
      <c r="K20" s="298">
        <f t="shared" si="3"/>
        <v>3.0188103873395138E-2</v>
      </c>
      <c r="L20" s="298">
        <f t="shared" si="3"/>
        <v>4.2644080372792595E-3</v>
      </c>
      <c r="M20" s="298">
        <f t="shared" si="3"/>
        <v>4.9226341971879764E-2</v>
      </c>
      <c r="N20" s="298">
        <f t="shared" si="3"/>
        <v>8.3966300818570389E-3</v>
      </c>
      <c r="O20" s="298">
        <f t="shared" si="3"/>
        <v>0</v>
      </c>
      <c r="P20" s="298">
        <f t="shared" si="3"/>
        <v>3.4865260723697215E-2</v>
      </c>
      <c r="Q20" s="299">
        <f t="shared" si="3"/>
        <v>9.6853119128291615E-3</v>
      </c>
    </row>
    <row r="21" spans="2:18">
      <c r="C21" s="300">
        <f t="shared" si="3"/>
        <v>8.1502478992093397E-2</v>
      </c>
      <c r="D21" s="301">
        <f t="shared" si="3"/>
        <v>3.6360671537190477E-2</v>
      </c>
      <c r="E21" s="301">
        <f t="shared" si="3"/>
        <v>4.5814639164089691E-2</v>
      </c>
      <c r="F21" s="301">
        <f t="shared" si="3"/>
        <v>2.7011505029474428E-2</v>
      </c>
      <c r="G21" s="301">
        <f t="shared" si="3"/>
        <v>2.7940218214577282E-2</v>
      </c>
      <c r="H21" s="301">
        <f t="shared" si="3"/>
        <v>2.520712722062899E-2</v>
      </c>
      <c r="I21" s="301">
        <f t="shared" si="3"/>
        <v>1.3150957133718135E-2</v>
      </c>
      <c r="J21" s="301">
        <f t="shared" si="3"/>
        <v>-3.1158522524092473E-3</v>
      </c>
      <c r="K21" s="301">
        <f t="shared" si="3"/>
        <v>1.0418633216804508E-5</v>
      </c>
      <c r="L21" s="301">
        <f t="shared" si="3"/>
        <v>1.0096028615555957E-2</v>
      </c>
      <c r="M21" s="301">
        <f t="shared" si="3"/>
        <v>4.1842390676097796E-2</v>
      </c>
      <c r="N21" s="301">
        <f t="shared" si="3"/>
        <v>4.9744626210414871E-3</v>
      </c>
      <c r="O21" s="301">
        <f t="shared" si="3"/>
        <v>2.2476482346696781E-4</v>
      </c>
      <c r="P21" s="301">
        <f t="shared" si="3"/>
        <v>2.2244005744737057E-2</v>
      </c>
      <c r="Q21" s="302">
        <f t="shared" si="3"/>
        <v>2.6655481277333703E-2</v>
      </c>
    </row>
    <row r="22" spans="2:18">
      <c r="C22" s="300">
        <f t="shared" si="3"/>
        <v>4.3780567573386631E-3</v>
      </c>
      <c r="D22" s="301">
        <f t="shared" si="3"/>
        <v>4.4078038557328857E-2</v>
      </c>
      <c r="E22" s="301">
        <f t="shared" si="3"/>
        <v>4.4234824020500392E-2</v>
      </c>
      <c r="F22" s="301">
        <f t="shared" si="3"/>
        <v>4.9833470503356916E-2</v>
      </c>
      <c r="G22" s="301">
        <f t="shared" si="3"/>
        <v>3.3020257889954975E-2</v>
      </c>
      <c r="H22" s="301">
        <f t="shared" si="3"/>
        <v>8.5752224878052966E-3</v>
      </c>
      <c r="I22" s="301">
        <f t="shared" si="3"/>
        <v>9.8632178502886022E-3</v>
      </c>
      <c r="J22" s="301">
        <f t="shared" si="3"/>
        <v>-3.5869296509924924E-2</v>
      </c>
      <c r="K22" s="301">
        <f t="shared" si="3"/>
        <v>5.122598417387135E-4</v>
      </c>
      <c r="L22" s="301">
        <f t="shared" si="3"/>
        <v>2.2048863393815395E-2</v>
      </c>
      <c r="M22" s="301">
        <f t="shared" si="3"/>
        <v>2.7074488084533874E-2</v>
      </c>
      <c r="N22" s="301">
        <f t="shared" si="3"/>
        <v>3.4084787909722901E-4</v>
      </c>
      <c r="O22" s="301">
        <f t="shared" si="3"/>
        <v>0</v>
      </c>
      <c r="P22" s="301">
        <f t="shared" si="3"/>
        <v>2.1677961582044294E-2</v>
      </c>
      <c r="Q22" s="302">
        <f t="shared" si="3"/>
        <v>3.0496208415179756E-2</v>
      </c>
    </row>
    <row r="23" spans="2:18">
      <c r="C23" s="300">
        <f t="shared" si="3"/>
        <v>9.535768846970291E-4</v>
      </c>
      <c r="D23" s="301">
        <f t="shared" si="3"/>
        <v>3.7399547866824485E-2</v>
      </c>
      <c r="E23" s="301">
        <f t="shared" si="3"/>
        <v>3.6335748302553893E-2</v>
      </c>
      <c r="F23" s="301">
        <f t="shared" si="3"/>
        <v>4.2556901801539308E-2</v>
      </c>
      <c r="G23" s="301">
        <f t="shared" si="3"/>
        <v>2.7940218214577282E-2</v>
      </c>
      <c r="H23" s="301">
        <f t="shared" si="3"/>
        <v>5.8977158103468968E-3</v>
      </c>
      <c r="I23" s="301">
        <f t="shared" si="3"/>
        <v>4.1096741042869183E-3</v>
      </c>
      <c r="J23" s="301">
        <f t="shared" si="3"/>
        <v>-6.7849943638874713E-2</v>
      </c>
      <c r="K23" s="301">
        <f t="shared" si="3"/>
        <v>2.4321273981701762E-3</v>
      </c>
      <c r="L23" s="301">
        <f t="shared" si="3"/>
        <v>4.3813811472232705E-2</v>
      </c>
      <c r="M23" s="301">
        <f t="shared" si="3"/>
        <v>2.7074488084533874E-2</v>
      </c>
      <c r="N23" s="301">
        <f t="shared" si="3"/>
        <v>5.1295552503656472E-2</v>
      </c>
      <c r="O23" s="301">
        <f t="shared" si="3"/>
        <v>5.3943557632072274E-3</v>
      </c>
      <c r="P23" s="301">
        <f t="shared" si="3"/>
        <v>1.70578173352007E-2</v>
      </c>
      <c r="Q23" s="302">
        <f t="shared" si="3"/>
        <v>1.7695524082114052E-2</v>
      </c>
    </row>
    <row r="24" spans="2:18" ht="13" thickBot="1">
      <c r="C24" s="303">
        <f t="shared" si="3"/>
        <v>1.0453547301347416E-3</v>
      </c>
      <c r="D24" s="304">
        <f t="shared" si="3"/>
        <v>4.0664587759959958E-2</v>
      </c>
      <c r="E24" s="304">
        <f t="shared" si="3"/>
        <v>3.8705471017937844E-2</v>
      </c>
      <c r="F24" s="304">
        <f t="shared" si="3"/>
        <v>4.7187445520877773E-2</v>
      </c>
      <c r="G24" s="304">
        <f t="shared" si="3"/>
        <v>2.7940218214577282E-2</v>
      </c>
      <c r="H24" s="304">
        <f t="shared" si="3"/>
        <v>2.900487355252042E-3</v>
      </c>
      <c r="I24" s="304">
        <f t="shared" si="3"/>
        <v>3.2877392834295338E-3</v>
      </c>
      <c r="J24" s="304">
        <f t="shared" si="3"/>
        <v>2.3463436222627945E-2</v>
      </c>
      <c r="K24" s="304">
        <f t="shared" si="3"/>
        <v>4.4283360133832543E-3</v>
      </c>
      <c r="L24" s="304">
        <f t="shared" si="3"/>
        <v>8.7843398584167964E-3</v>
      </c>
      <c r="M24" s="304">
        <f t="shared" si="3"/>
        <v>3.1997122281721843E-2</v>
      </c>
      <c r="N24" s="304">
        <f t="shared" si="3"/>
        <v>4.8738508976935088E-2</v>
      </c>
      <c r="O24" s="304">
        <f t="shared" si="3"/>
        <v>4.0457668224054208E-2</v>
      </c>
      <c r="P24" s="304">
        <f t="shared" si="3"/>
        <v>3.5737274704061739E-2</v>
      </c>
      <c r="Q24" s="305">
        <f t="shared" si="3"/>
        <v>2.3571419132677442E-2</v>
      </c>
    </row>
    <row r="26" spans="2:18" ht="13" thickBot="1">
      <c r="R26" s="307" t="s">
        <v>860</v>
      </c>
    </row>
    <row r="27" spans="2:18" ht="13.5" thickBot="1">
      <c r="B27" s="293" t="s">
        <v>861</v>
      </c>
      <c r="C27" s="311">
        <f t="shared" ref="C27:C31" si="4">C20-MAX($C$20:$C$24)</f>
        <v>-8.1244588317012617E-2</v>
      </c>
      <c r="D27" s="312">
        <f t="shared" ref="D27:M31" si="5">D20-MIN(D$20:D$24)</f>
        <v>9.6467087751729852E-3</v>
      </c>
      <c r="E27" s="312">
        <f t="shared" si="5"/>
        <v>3.159630287178597E-3</v>
      </c>
      <c r="F27" s="312">
        <f t="shared" si="5"/>
        <v>7.3868197427542359E-3</v>
      </c>
      <c r="G27" s="312">
        <f t="shared" si="5"/>
        <v>0</v>
      </c>
      <c r="H27" s="312">
        <f t="shared" si="5"/>
        <v>6.3053369501012257E-2</v>
      </c>
      <c r="I27" s="312">
        <f t="shared" si="5"/>
        <v>3.3699327655152725E-2</v>
      </c>
      <c r="J27" s="312">
        <f t="shared" si="5"/>
        <v>8.2459097867189302E-2</v>
      </c>
      <c r="K27" s="312">
        <f t="shared" si="5"/>
        <v>3.0177685240178335E-2</v>
      </c>
      <c r="L27" s="312">
        <f t="shared" si="5"/>
        <v>0</v>
      </c>
      <c r="M27" s="312">
        <f t="shared" si="5"/>
        <v>2.215185388734589E-2</v>
      </c>
      <c r="N27" s="312">
        <f t="shared" ref="N27:O31" si="6">N20-MAX(N$20:N$24)</f>
        <v>-4.2898922421799435E-2</v>
      </c>
      <c r="O27" s="312">
        <f t="shared" si="6"/>
        <v>-4.0457668224054208E-2</v>
      </c>
      <c r="P27" s="312">
        <f t="shared" ref="P27:Q31" si="7">P20-MIN(P$20:P$24)</f>
        <v>1.7807443388496515E-2</v>
      </c>
      <c r="Q27" s="313">
        <f t="shared" si="7"/>
        <v>0</v>
      </c>
      <c r="R27" s="308">
        <f t="shared" ref="R27:R31" si="8">SQRT(SUMSQ(C27:Q27))</f>
        <v>0.15448238806279507</v>
      </c>
    </row>
    <row r="28" spans="2:18">
      <c r="C28" s="314">
        <f t="shared" si="4"/>
        <v>0</v>
      </c>
      <c r="D28" s="315">
        <f t="shared" si="5"/>
        <v>0</v>
      </c>
      <c r="E28" s="315">
        <f t="shared" si="5"/>
        <v>9.4788908615357978E-3</v>
      </c>
      <c r="F28" s="315">
        <f t="shared" si="5"/>
        <v>0</v>
      </c>
      <c r="G28" s="315">
        <f t="shared" si="5"/>
        <v>1.0160079350755372E-2</v>
      </c>
      <c r="H28" s="315">
        <f t="shared" si="5"/>
        <v>2.2306639865376947E-2</v>
      </c>
      <c r="I28" s="315">
        <f t="shared" si="5"/>
        <v>9.8632178502886005E-3</v>
      </c>
      <c r="J28" s="315">
        <f t="shared" si="5"/>
        <v>6.4734091386465464E-2</v>
      </c>
      <c r="K28" s="315">
        <f t="shared" si="5"/>
        <v>0</v>
      </c>
      <c r="L28" s="315">
        <f t="shared" si="5"/>
        <v>5.8316205782766974E-3</v>
      </c>
      <c r="M28" s="315">
        <f t="shared" si="5"/>
        <v>1.4767902591563922E-2</v>
      </c>
      <c r="N28" s="315">
        <f t="shared" si="6"/>
        <v>-4.6321089882614984E-2</v>
      </c>
      <c r="O28" s="315">
        <f t="shared" si="6"/>
        <v>-4.0232903400587237E-2</v>
      </c>
      <c r="P28" s="315">
        <f t="shared" si="7"/>
        <v>5.1861884095363575E-3</v>
      </c>
      <c r="Q28" s="316">
        <f t="shared" si="7"/>
        <v>1.6970169364504541E-2</v>
      </c>
      <c r="R28" s="309">
        <f t="shared" si="8"/>
        <v>9.6487098870325916E-2</v>
      </c>
    </row>
    <row r="29" spans="2:18">
      <c r="C29" s="314">
        <f t="shared" si="4"/>
        <v>-7.7124422234754728E-2</v>
      </c>
      <c r="D29" s="315">
        <f t="shared" si="5"/>
        <v>7.7173670201383798E-3</v>
      </c>
      <c r="E29" s="315">
        <f t="shared" si="5"/>
        <v>7.8990757179464993E-3</v>
      </c>
      <c r="F29" s="315">
        <f t="shared" si="5"/>
        <v>2.2821965473882488E-2</v>
      </c>
      <c r="G29" s="315">
        <f t="shared" si="5"/>
        <v>1.5240119026133064E-2</v>
      </c>
      <c r="H29" s="315">
        <f t="shared" si="5"/>
        <v>5.674735132553255E-3</v>
      </c>
      <c r="I29" s="315">
        <f t="shared" si="5"/>
        <v>6.5754785668590684E-3</v>
      </c>
      <c r="J29" s="315">
        <f t="shared" si="5"/>
        <v>3.1980647128949789E-2</v>
      </c>
      <c r="K29" s="315">
        <f t="shared" si="5"/>
        <v>5.0184120852190899E-4</v>
      </c>
      <c r="L29" s="315">
        <f t="shared" si="5"/>
        <v>1.7784455356536135E-2</v>
      </c>
      <c r="M29" s="315">
        <f t="shared" si="5"/>
        <v>0</v>
      </c>
      <c r="N29" s="315">
        <f t="shared" si="6"/>
        <v>-5.0954704624559241E-2</v>
      </c>
      <c r="O29" s="315">
        <f t="shared" si="6"/>
        <v>-4.0457668224054208E-2</v>
      </c>
      <c r="P29" s="315">
        <f t="shared" si="7"/>
        <v>4.6201442468435938E-3</v>
      </c>
      <c r="Q29" s="316">
        <f t="shared" si="7"/>
        <v>2.0810896502350594E-2</v>
      </c>
      <c r="R29" s="309">
        <f t="shared" si="8"/>
        <v>0.11369088355935257</v>
      </c>
    </row>
    <row r="30" spans="2:18">
      <c r="C30" s="314">
        <f t="shared" si="4"/>
        <v>-8.0548902107396361E-2</v>
      </c>
      <c r="D30" s="315">
        <f t="shared" si="5"/>
        <v>1.0388763296340087E-3</v>
      </c>
      <c r="E30" s="315">
        <f t="shared" si="5"/>
        <v>0</v>
      </c>
      <c r="F30" s="315">
        <f t="shared" si="5"/>
        <v>1.554539677206488E-2</v>
      </c>
      <c r="G30" s="315">
        <f t="shared" si="5"/>
        <v>1.0160079350755372E-2</v>
      </c>
      <c r="H30" s="315">
        <f t="shared" si="5"/>
        <v>2.9972284550948548E-3</v>
      </c>
      <c r="I30" s="315">
        <f t="shared" si="5"/>
        <v>8.2193482085738453E-4</v>
      </c>
      <c r="J30" s="315">
        <f t="shared" si="5"/>
        <v>0</v>
      </c>
      <c r="K30" s="315">
        <f t="shared" si="5"/>
        <v>2.4217087649533718E-3</v>
      </c>
      <c r="L30" s="315">
        <f t="shared" si="5"/>
        <v>3.9549403434953445E-2</v>
      </c>
      <c r="M30" s="315">
        <f t="shared" si="5"/>
        <v>0</v>
      </c>
      <c r="N30" s="315">
        <f t="shared" si="6"/>
        <v>0</v>
      </c>
      <c r="O30" s="315">
        <f t="shared" si="6"/>
        <v>-3.5063312460846978E-2</v>
      </c>
      <c r="P30" s="315">
        <f t="shared" si="7"/>
        <v>0</v>
      </c>
      <c r="Q30" s="316">
        <f t="shared" si="7"/>
        <v>8.0102121692848909E-3</v>
      </c>
      <c r="R30" s="309">
        <f t="shared" si="8"/>
        <v>9.8525985345686545E-2</v>
      </c>
    </row>
    <row r="31" spans="2:18" ht="13" thickBot="1">
      <c r="C31" s="317">
        <f t="shared" si="4"/>
        <v>-8.0457124261958654E-2</v>
      </c>
      <c r="D31" s="318">
        <f t="shared" si="5"/>
        <v>4.3039162227694813E-3</v>
      </c>
      <c r="E31" s="318">
        <f t="shared" si="5"/>
        <v>2.3697227153839512E-3</v>
      </c>
      <c r="F31" s="318">
        <f t="shared" si="5"/>
        <v>2.0175940491403345E-2</v>
      </c>
      <c r="G31" s="318">
        <f t="shared" si="5"/>
        <v>1.0160079350755372E-2</v>
      </c>
      <c r="H31" s="318">
        <f t="shared" si="5"/>
        <v>0</v>
      </c>
      <c r="I31" s="318">
        <f t="shared" si="5"/>
        <v>0</v>
      </c>
      <c r="J31" s="318">
        <f t="shared" si="5"/>
        <v>9.1313379861502661E-2</v>
      </c>
      <c r="K31" s="318">
        <f t="shared" si="5"/>
        <v>4.4179173801664499E-3</v>
      </c>
      <c r="L31" s="318">
        <f t="shared" si="5"/>
        <v>4.5199318211375369E-3</v>
      </c>
      <c r="M31" s="318">
        <f t="shared" si="5"/>
        <v>4.9226341971879695E-3</v>
      </c>
      <c r="N31" s="318">
        <f t="shared" si="6"/>
        <v>-2.5570435267213837E-3</v>
      </c>
      <c r="O31" s="318">
        <f t="shared" si="6"/>
        <v>0</v>
      </c>
      <c r="P31" s="318">
        <f t="shared" si="7"/>
        <v>1.8679457368861039E-2</v>
      </c>
      <c r="Q31" s="319">
        <f t="shared" si="7"/>
        <v>1.388610721984828E-2</v>
      </c>
      <c r="R31" s="310">
        <f t="shared" si="8"/>
        <v>0.12632648943100119</v>
      </c>
    </row>
    <row r="33" spans="2:18" ht="13" thickBot="1">
      <c r="R33" s="307" t="s">
        <v>862</v>
      </c>
    </row>
    <row r="34" spans="2:18" ht="13.5" thickBot="1">
      <c r="B34" s="306" t="s">
        <v>863</v>
      </c>
      <c r="C34" s="335">
        <f t="shared" ref="C34:C38" si="9">C20-MIN(C$20:C$24)</f>
        <v>0</v>
      </c>
      <c r="D34" s="336">
        <f t="shared" ref="D34:M38" si="10">D20-MAX(D$20:D$24)</f>
        <v>0</v>
      </c>
      <c r="E34" s="336">
        <f t="shared" si="10"/>
        <v>-6.3192605743572008E-3</v>
      </c>
      <c r="F34" s="336">
        <f t="shared" si="10"/>
        <v>-1.5435145731128252E-2</v>
      </c>
      <c r="G34" s="336">
        <f t="shared" si="10"/>
        <v>-1.5240119026133064E-2</v>
      </c>
      <c r="H34" s="336">
        <f t="shared" si="10"/>
        <v>0</v>
      </c>
      <c r="I34" s="336">
        <f t="shared" si="10"/>
        <v>0</v>
      </c>
      <c r="J34" s="336">
        <f t="shared" si="10"/>
        <v>-8.854281994313349E-3</v>
      </c>
      <c r="K34" s="336">
        <f t="shared" si="10"/>
        <v>0</v>
      </c>
      <c r="L34" s="336">
        <f t="shared" si="10"/>
        <v>-3.9549403434953445E-2</v>
      </c>
      <c r="M34" s="336">
        <f t="shared" si="10"/>
        <v>0</v>
      </c>
      <c r="N34" s="336">
        <f t="shared" ref="N34:O38" si="11">N20-MIN(N$20:N$24)</f>
        <v>8.0557822027598099E-3</v>
      </c>
      <c r="O34" s="336">
        <f t="shared" si="11"/>
        <v>0</v>
      </c>
      <c r="P34" s="336">
        <f t="shared" ref="P34:Q38" si="12">P20-MAX(P$20:P$24)</f>
        <v>-8.7201398036452354E-4</v>
      </c>
      <c r="Q34" s="337">
        <f t="shared" si="12"/>
        <v>-2.0810896502350594E-2</v>
      </c>
      <c r="R34" s="308">
        <f t="shared" ref="R34:R38" si="13">SQRT(SUMSQ(C34:Q34))</f>
        <v>5.1495058754076832E-2</v>
      </c>
    </row>
    <row r="35" spans="2:18">
      <c r="C35" s="338">
        <f t="shared" si="9"/>
        <v>8.1244588317012617E-2</v>
      </c>
      <c r="D35" s="339">
        <f t="shared" si="10"/>
        <v>-9.6467087751729852E-3</v>
      </c>
      <c r="E35" s="339">
        <f t="shared" si="10"/>
        <v>0</v>
      </c>
      <c r="F35" s="339">
        <f t="shared" si="10"/>
        <v>-2.2821965473882488E-2</v>
      </c>
      <c r="G35" s="339">
        <f t="shared" si="10"/>
        <v>-5.0800396753776927E-3</v>
      </c>
      <c r="H35" s="339">
        <f t="shared" si="10"/>
        <v>-4.0746729635635311E-2</v>
      </c>
      <c r="I35" s="339">
        <f t="shared" si="10"/>
        <v>-2.3836109804864124E-2</v>
      </c>
      <c r="J35" s="339">
        <f t="shared" si="10"/>
        <v>-2.6579288475037193E-2</v>
      </c>
      <c r="K35" s="339">
        <f t="shared" si="10"/>
        <v>-3.0177685240178335E-2</v>
      </c>
      <c r="L35" s="339">
        <f t="shared" si="10"/>
        <v>-3.3717782856676745E-2</v>
      </c>
      <c r="M35" s="339">
        <f t="shared" si="10"/>
        <v>-7.3839512957819681E-3</v>
      </c>
      <c r="N35" s="339">
        <f t="shared" si="11"/>
        <v>4.6336147419442581E-3</v>
      </c>
      <c r="O35" s="339">
        <f t="shared" si="11"/>
        <v>2.2476482346696781E-4</v>
      </c>
      <c r="P35" s="339">
        <f t="shared" si="12"/>
        <v>-1.3493268959324681E-2</v>
      </c>
      <c r="Q35" s="340">
        <f t="shared" si="12"/>
        <v>-3.8407271378460527E-3</v>
      </c>
      <c r="R35" s="309">
        <f t="shared" si="13"/>
        <v>0.11178439254018945</v>
      </c>
    </row>
    <row r="36" spans="2:18">
      <c r="C36" s="338">
        <f t="shared" si="9"/>
        <v>4.120166082257886E-3</v>
      </c>
      <c r="D36" s="339">
        <f t="shared" si="10"/>
        <v>-1.9293417550346054E-3</v>
      </c>
      <c r="E36" s="339">
        <f t="shared" si="10"/>
        <v>-1.5798151435892985E-3</v>
      </c>
      <c r="F36" s="339">
        <f t="shared" si="10"/>
        <v>0</v>
      </c>
      <c r="G36" s="339">
        <f t="shared" si="10"/>
        <v>0</v>
      </c>
      <c r="H36" s="339">
        <f t="shared" si="10"/>
        <v>-5.7378634368459004E-2</v>
      </c>
      <c r="I36" s="339">
        <f t="shared" si="10"/>
        <v>-2.7123849088293656E-2</v>
      </c>
      <c r="J36" s="339">
        <f t="shared" si="10"/>
        <v>-5.9332732732552865E-2</v>
      </c>
      <c r="K36" s="339">
        <f t="shared" si="10"/>
        <v>-2.9675844031656424E-2</v>
      </c>
      <c r="L36" s="339">
        <f t="shared" si="10"/>
        <v>-2.176494807841731E-2</v>
      </c>
      <c r="M36" s="339">
        <f t="shared" si="10"/>
        <v>-2.215185388734589E-2</v>
      </c>
      <c r="N36" s="339">
        <f t="shared" si="11"/>
        <v>0</v>
      </c>
      <c r="O36" s="339">
        <f t="shared" si="11"/>
        <v>0</v>
      </c>
      <c r="P36" s="339">
        <f t="shared" si="12"/>
        <v>-1.4059313122017445E-2</v>
      </c>
      <c r="Q36" s="340">
        <f t="shared" si="12"/>
        <v>0</v>
      </c>
      <c r="R36" s="309">
        <f t="shared" si="13"/>
        <v>9.8052616430486225E-2</v>
      </c>
    </row>
    <row r="37" spans="2:18">
      <c r="C37" s="338">
        <f t="shared" si="9"/>
        <v>6.9568620961625214E-4</v>
      </c>
      <c r="D37" s="339">
        <f t="shared" si="10"/>
        <v>-8.6078324455389765E-3</v>
      </c>
      <c r="E37" s="339">
        <f t="shared" si="10"/>
        <v>-9.4788908615357978E-3</v>
      </c>
      <c r="F37" s="339">
        <f t="shared" si="10"/>
        <v>-7.2765687018176081E-3</v>
      </c>
      <c r="G37" s="339">
        <f t="shared" si="10"/>
        <v>-5.0800396753776927E-3</v>
      </c>
      <c r="H37" s="339">
        <f t="shared" si="10"/>
        <v>-6.0056141045917402E-2</v>
      </c>
      <c r="I37" s="339">
        <f t="shared" si="10"/>
        <v>-3.2877392834295339E-2</v>
      </c>
      <c r="J37" s="339">
        <f t="shared" si="10"/>
        <v>-9.1313379861502661E-2</v>
      </c>
      <c r="K37" s="339">
        <f t="shared" si="10"/>
        <v>-2.7755976475224962E-2</v>
      </c>
      <c r="L37" s="339">
        <f t="shared" si="10"/>
        <v>0</v>
      </c>
      <c r="M37" s="339">
        <f t="shared" si="10"/>
        <v>-2.215185388734589E-2</v>
      </c>
      <c r="N37" s="339">
        <f t="shared" si="11"/>
        <v>5.0954704624559241E-2</v>
      </c>
      <c r="O37" s="339">
        <f t="shared" si="11"/>
        <v>5.3943557632072274E-3</v>
      </c>
      <c r="P37" s="339">
        <f t="shared" si="12"/>
        <v>-1.8679457368861039E-2</v>
      </c>
      <c r="Q37" s="340">
        <f t="shared" si="12"/>
        <v>-1.2800684333065703E-2</v>
      </c>
      <c r="R37" s="309">
        <f t="shared" si="13"/>
        <v>0.13292230538813896</v>
      </c>
    </row>
    <row r="38" spans="2:18" ht="13" thickBot="1">
      <c r="C38" s="341">
        <f t="shared" si="9"/>
        <v>7.8746405505396473E-4</v>
      </c>
      <c r="D38" s="342">
        <f t="shared" si="10"/>
        <v>-5.3427925524035039E-3</v>
      </c>
      <c r="E38" s="342">
        <f t="shared" si="10"/>
        <v>-7.1091681461518466E-3</v>
      </c>
      <c r="F38" s="342">
        <f t="shared" si="10"/>
        <v>-2.6460249824791435E-3</v>
      </c>
      <c r="G38" s="342">
        <f t="shared" si="10"/>
        <v>-5.0800396753776927E-3</v>
      </c>
      <c r="H38" s="342">
        <f t="shared" si="10"/>
        <v>-6.3053369501012257E-2</v>
      </c>
      <c r="I38" s="342">
        <f t="shared" si="10"/>
        <v>-3.3699327655152725E-2</v>
      </c>
      <c r="J38" s="342">
        <f t="shared" si="10"/>
        <v>0</v>
      </c>
      <c r="K38" s="342">
        <f t="shared" si="10"/>
        <v>-2.5759767860011884E-2</v>
      </c>
      <c r="L38" s="342">
        <f t="shared" si="10"/>
        <v>-3.5029471613815907E-2</v>
      </c>
      <c r="M38" s="342">
        <f t="shared" si="10"/>
        <v>-1.7229219690157921E-2</v>
      </c>
      <c r="N38" s="342">
        <f t="shared" si="11"/>
        <v>4.8397661097837857E-2</v>
      </c>
      <c r="O38" s="342">
        <f t="shared" si="11"/>
        <v>4.0457668224054208E-2</v>
      </c>
      <c r="P38" s="342">
        <f t="shared" si="12"/>
        <v>0</v>
      </c>
      <c r="Q38" s="343">
        <f t="shared" si="12"/>
        <v>-6.9247892825023138E-3</v>
      </c>
      <c r="R38" s="310">
        <f t="shared" si="13"/>
        <v>0.10695078729084025</v>
      </c>
    </row>
    <row r="40" spans="2:18" ht="13" thickBot="1"/>
    <row r="41" spans="2:18" ht="13.5" thickBot="1">
      <c r="E41" s="344"/>
      <c r="F41" s="345" t="s">
        <v>889</v>
      </c>
    </row>
    <row r="42" spans="2:18" ht="13">
      <c r="B42" s="326" t="s">
        <v>888</v>
      </c>
      <c r="C42" s="321" t="s">
        <v>854</v>
      </c>
      <c r="D42" s="329" t="s">
        <v>864</v>
      </c>
      <c r="E42" s="331">
        <v>1</v>
      </c>
      <c r="F42" s="332" t="str">
        <f>VLOOKUP(E42,B43:D47,2,0)</f>
        <v>Bharat Electronics Ltd</v>
      </c>
    </row>
    <row r="43" spans="2:18">
      <c r="B43" s="322">
        <f>_xlfn.RANK.AVG(D43,$D$43:$D$47)</f>
        <v>1</v>
      </c>
      <c r="C43" s="327" t="s">
        <v>928</v>
      </c>
      <c r="D43" s="330">
        <f t="shared" ref="D43:D47" si="14">R27/(R27+R34)</f>
        <v>0.74999661589232403</v>
      </c>
      <c r="E43" s="331">
        <v>2</v>
      </c>
      <c r="F43" s="332" t="str">
        <f>VLOOKUP(E43,B43:D47,2,0)</f>
        <v>Cyient DLM Ltd</v>
      </c>
    </row>
    <row r="44" spans="2:18" ht="13" thickBot="1">
      <c r="B44" s="322">
        <f t="shared" ref="B44:B47" si="15">_xlfn.RANK.AVG(D44,$D$43:$D$47)</f>
        <v>4</v>
      </c>
      <c r="C44" s="327" t="s">
        <v>929</v>
      </c>
      <c r="D44" s="330">
        <f t="shared" si="14"/>
        <v>0.46327559387445955</v>
      </c>
      <c r="E44" s="333">
        <v>3</v>
      </c>
      <c r="F44" s="334" t="str">
        <f>VLOOKUP(E44,B43:D47,2,0)</f>
        <v>Data Patterns (India) Ltd</v>
      </c>
    </row>
    <row r="45" spans="2:18">
      <c r="B45" s="322">
        <f t="shared" si="15"/>
        <v>3</v>
      </c>
      <c r="C45" s="327" t="s">
        <v>930</v>
      </c>
      <c r="D45" s="324">
        <f t="shared" si="14"/>
        <v>0.5369273841454798</v>
      </c>
    </row>
    <row r="46" spans="2:18">
      <c r="B46" s="322">
        <f t="shared" si="15"/>
        <v>5</v>
      </c>
      <c r="C46" s="327" t="s">
        <v>931</v>
      </c>
      <c r="D46" s="324">
        <f t="shared" si="14"/>
        <v>0.42569329431339481</v>
      </c>
    </row>
    <row r="47" spans="2:18" ht="13" thickBot="1">
      <c r="B47" s="323">
        <f t="shared" si="15"/>
        <v>2</v>
      </c>
      <c r="C47" s="328" t="s">
        <v>932</v>
      </c>
      <c r="D47" s="325">
        <f t="shared" si="14"/>
        <v>0.54152933884611576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8D2A5-4CA7-4F40-9F9E-02A8D7F53F8D}">
  <sheetPr codeName="Sheet21"/>
  <dimension ref="B1:R47"/>
  <sheetViews>
    <sheetView showGridLines="0" topLeftCell="A14" zoomScale="50" zoomScaleNormal="50" workbookViewId="0">
      <selection activeCell="G44" sqref="G44"/>
    </sheetView>
  </sheetViews>
  <sheetFormatPr defaultColWidth="12.54296875" defaultRowHeight="12.5"/>
  <cols>
    <col min="1" max="1" width="1.54296875" customWidth="1"/>
    <col min="2" max="2" width="26.453125" bestFit="1" customWidth="1"/>
    <col min="3" max="3" width="24.1796875" bestFit="1" customWidth="1"/>
    <col min="4" max="4" width="18.26953125" bestFit="1" customWidth="1"/>
    <col min="5" max="5" width="10.7265625" bestFit="1" customWidth="1"/>
    <col min="6" max="6" width="24.54296875" bestFit="1" customWidth="1"/>
    <col min="7" max="7" width="30.7265625" bestFit="1" customWidth="1"/>
    <col min="8" max="8" width="13.81640625" bestFit="1" customWidth="1"/>
    <col min="9" max="9" width="12.26953125" bestFit="1" customWidth="1"/>
    <col min="10" max="10" width="10.7265625" bestFit="1" customWidth="1"/>
    <col min="11" max="11" width="14.81640625" bestFit="1" customWidth="1"/>
    <col min="12" max="12" width="15.26953125" bestFit="1" customWidth="1"/>
    <col min="13" max="13" width="11.81640625" bestFit="1" customWidth="1"/>
    <col min="14" max="14" width="15.81640625" bestFit="1" customWidth="1"/>
    <col min="15" max="15" width="18" bestFit="1" customWidth="1"/>
    <col min="16" max="17" width="15" bestFit="1" customWidth="1"/>
    <col min="18" max="18" width="18" bestFit="1" customWidth="1"/>
  </cols>
  <sheetData>
    <row r="1" spans="2:17" ht="15" thickBot="1">
      <c r="B1" s="273"/>
      <c r="C1" s="274" t="s">
        <v>852</v>
      </c>
      <c r="D1" s="274" t="s">
        <v>853</v>
      </c>
      <c r="E1" s="274" t="s">
        <v>853</v>
      </c>
      <c r="F1" s="274" t="s">
        <v>853</v>
      </c>
      <c r="G1" s="274" t="s">
        <v>853</v>
      </c>
      <c r="H1" s="274" t="s">
        <v>853</v>
      </c>
      <c r="I1" s="274" t="s">
        <v>853</v>
      </c>
      <c r="J1" s="274" t="s">
        <v>853</v>
      </c>
      <c r="K1" s="274" t="s">
        <v>853</v>
      </c>
      <c r="L1" s="274" t="s">
        <v>853</v>
      </c>
      <c r="M1" s="274" t="s">
        <v>853</v>
      </c>
      <c r="N1" s="274" t="s">
        <v>852</v>
      </c>
      <c r="O1" s="274" t="s">
        <v>852</v>
      </c>
      <c r="P1" s="274" t="s">
        <v>853</v>
      </c>
      <c r="Q1" s="274" t="s">
        <v>853</v>
      </c>
    </row>
    <row r="2" spans="2:17" ht="15" customHeight="1">
      <c r="B2" s="278" t="s">
        <v>865</v>
      </c>
      <c r="C2" s="279" t="s">
        <v>108</v>
      </c>
      <c r="D2" s="279" t="s">
        <v>109</v>
      </c>
      <c r="E2" s="279" t="s">
        <v>110</v>
      </c>
      <c r="F2" s="279" t="s">
        <v>111</v>
      </c>
      <c r="G2" s="279" t="s">
        <v>112</v>
      </c>
      <c r="H2" s="279" t="s">
        <v>113</v>
      </c>
      <c r="I2" s="279" t="s">
        <v>114</v>
      </c>
      <c r="J2" s="279" t="s">
        <v>115</v>
      </c>
      <c r="K2" s="279" t="s">
        <v>116</v>
      </c>
      <c r="L2" s="279" t="s">
        <v>117</v>
      </c>
      <c r="M2" s="279" t="s">
        <v>118</v>
      </c>
      <c r="N2" s="279" t="s">
        <v>119</v>
      </c>
      <c r="O2" s="279" t="s">
        <v>120</v>
      </c>
      <c r="P2" s="279" t="s">
        <v>121</v>
      </c>
      <c r="Q2" s="280" t="s">
        <v>122</v>
      </c>
    </row>
    <row r="3" spans="2:17" ht="14">
      <c r="B3" s="281" t="s">
        <v>933</v>
      </c>
      <c r="C3" s="275">
        <f>INDEX('Company data'!$C$5:$V$64,MATCH($B3,'Company data'!$B$5:$B$64,0),MATCH(C$2,'Company data'!$C$4:$V$4,0))</f>
        <v>409.7</v>
      </c>
      <c r="D3" s="275">
        <f>INDEX('Company data'!$C$5:$V$64,MATCH($B3,'Company data'!$B$5:$B$64,0),MATCH(D$2,'Company data'!$C$4:$V$4,0))</f>
        <v>33.200000000000003</v>
      </c>
      <c r="E3" s="275">
        <f>INDEX('Company data'!$C$5:$V$64,MATCH($B3,'Company data'!$B$5:$B$64,0),MATCH(E$2,'Company data'!$C$4:$V$4,0))</f>
        <v>48</v>
      </c>
      <c r="F3" s="275">
        <f>INDEX('Company data'!$C$5:$V$64,MATCH($B3,'Company data'!$B$5:$B$64,0),MATCH(F$2,'Company data'!$C$4:$V$4,0))</f>
        <v>40.700000000000003</v>
      </c>
      <c r="G3" s="276">
        <f>INDEX('Company data'!$C$5:$V$64,MATCH($B3,'Company data'!$B$5:$B$64,0),MATCH(G$2,'Company data'!$C$4:$V$4,0))</f>
        <v>0.11</v>
      </c>
      <c r="H3" s="275">
        <f>INDEX('Company data'!$C$5:$V$64,MATCH($B3,'Company data'!$B$5:$B$64,0),MATCH(H$2,'Company data'!$C$4:$V$4,0))</f>
        <v>20450</v>
      </c>
      <c r="I3" s="276">
        <f>INDEX('Company data'!$C$5:$V$64,MATCH($B3,'Company data'!$B$5:$B$64,0),MATCH(I$2,'Company data'!$C$4:$V$4,0))</f>
        <v>0.1</v>
      </c>
      <c r="J3" s="277">
        <f>INDEX('Company data'!$C$5:$V$64,MATCH($B3,'Company data'!$B$5:$B$64,0),MATCH(J$2,'Company data'!$C$4:$V$4,0))</f>
        <v>0.30549999999999999</v>
      </c>
      <c r="K3" s="275">
        <f>INDEX('Company data'!$C$5:$V$64,MATCH($B3,'Company data'!$B$5:$B$64,0),MATCH(K$2,'Company data'!$C$4:$V$4,0))</f>
        <v>423073</v>
      </c>
      <c r="L3" s="277">
        <f>INDEX('Company data'!$C$5:$V$64,MATCH($B3,'Company data'!$B$5:$B$64,0),MATCH(L$2,'Company data'!$C$4:$V$4,0))</f>
        <v>-0.5</v>
      </c>
      <c r="M3" s="275">
        <f>INDEX('Company data'!$C$5:$V$64,MATCH($B3,'Company data'!$B$5:$B$64,0),MATCH(M$2,'Company data'!$C$4:$V$4,0))</f>
        <v>13</v>
      </c>
      <c r="N3" s="275">
        <f>INDEX('Company data'!$C$5:$V$64,MATCH($B3,'Company data'!$B$5:$B$64,0),MATCH(N$2,'Company data'!$C$4:$V$4,0))</f>
        <v>33.97</v>
      </c>
      <c r="O3" s="275">
        <f>INDEX('Company data'!$C$5:$V$64,MATCH($B3,'Company data'!$B$5:$B$64,0),MATCH(O$2,'Company data'!$C$4:$V$4,0))</f>
        <v>0.01</v>
      </c>
      <c r="P3" s="277">
        <f>INDEX('Company data'!$C$5:$V$64,MATCH($B3,'Company data'!$B$5:$B$64,0),MATCH(P$2,'Company data'!$C$4:$V$4,0))</f>
        <v>23.39</v>
      </c>
      <c r="Q3" s="282">
        <f>INDEX('Company data'!$C$5:$V$64,MATCH($B3,'Company data'!$B$5:$B$64,0),MATCH(Q$2,'Company data'!$C$4:$V$4,0))</f>
        <v>32.630000000000003</v>
      </c>
    </row>
    <row r="4" spans="2:17" ht="14">
      <c r="B4" s="281" t="s">
        <v>934</v>
      </c>
      <c r="C4" s="275">
        <f>INDEX('Company data'!$C$5:$V$64,MATCH($B4,'Company data'!$B$5:$B$64,0),MATCH(C$2,'Company data'!$C$4:$V$4,0))</f>
        <v>578.45000000000005</v>
      </c>
      <c r="D4" s="275">
        <f>INDEX('Company data'!$C$5:$V$64,MATCH($B4,'Company data'!$B$5:$B$64,0),MATCH(D$2,'Company data'!$C$4:$V$4,0))</f>
        <v>28.1</v>
      </c>
      <c r="E4" s="275">
        <f>INDEX('Company data'!$C$5:$V$64,MATCH($B4,'Company data'!$B$5:$B$64,0),MATCH(E$2,'Company data'!$C$4:$V$4,0))</f>
        <v>48</v>
      </c>
      <c r="F4" s="275">
        <f>INDEX('Company data'!$C$5:$V$64,MATCH($B4,'Company data'!$B$5:$B$64,0),MATCH(F$2,'Company data'!$C$4:$V$4,0))</f>
        <v>37.5</v>
      </c>
      <c r="G4" s="276">
        <f>INDEX('Company data'!$C$5:$V$64,MATCH($B4,'Company data'!$B$5:$B$64,0),MATCH(G$2,'Company data'!$C$4:$V$4,0))</f>
        <v>0.14000000000000001</v>
      </c>
      <c r="H4" s="275">
        <f>INDEX('Company data'!$C$5:$V$64,MATCH($B4,'Company data'!$B$5:$B$64,0),MATCH(H$2,'Company data'!$C$4:$V$4,0))</f>
        <v>43418.9</v>
      </c>
      <c r="I4" s="276">
        <f>INDEX('Company data'!$C$5:$V$64,MATCH($B4,'Company data'!$B$5:$B$64,0),MATCH(I$2,'Company data'!$C$4:$V$4,0))</f>
        <v>0.12</v>
      </c>
      <c r="J4" s="277">
        <f>INDEX('Company data'!$C$5:$V$64,MATCH($B4,'Company data'!$B$5:$B$64,0),MATCH(J$2,'Company data'!$C$4:$V$4,0))</f>
        <v>0.2026</v>
      </c>
      <c r="K4" s="275">
        <f>INDEX('Company data'!$C$5:$V$64,MATCH($B4,'Company data'!$B$5:$B$64,0),MATCH(K$2,'Company data'!$C$4:$V$4,0))</f>
        <v>2224790</v>
      </c>
      <c r="L4" s="277">
        <f>INDEX('Company data'!$C$5:$V$64,MATCH($B4,'Company data'!$B$5:$B$64,0),MATCH(L$2,'Company data'!$C$4:$V$4,0))</f>
        <v>6.5299999999999997E-2</v>
      </c>
      <c r="M4" s="275">
        <f>INDEX('Company data'!$C$5:$V$64,MATCH($B4,'Company data'!$B$5:$B$64,0),MATCH(M$2,'Company data'!$C$4:$V$4,0))</f>
        <v>13</v>
      </c>
      <c r="N4" s="275">
        <f>INDEX('Company data'!$C$5:$V$64,MATCH($B4,'Company data'!$B$5:$B$64,0),MATCH(N$2,'Company data'!$C$4:$V$4,0))</f>
        <v>23985</v>
      </c>
      <c r="O4" s="275">
        <f>INDEX('Company data'!$C$5:$V$64,MATCH($B4,'Company data'!$B$5:$B$64,0),MATCH(O$2,'Company data'!$C$4:$V$4,0))</f>
        <v>0.8</v>
      </c>
      <c r="P4" s="277">
        <f>INDEX('Company data'!$C$5:$V$64,MATCH($B4,'Company data'!$B$5:$B$64,0),MATCH(P$2,'Company data'!$C$4:$V$4,0))</f>
        <v>0.1341</v>
      </c>
      <c r="Q4" s="282">
        <f>INDEX('Company data'!$C$5:$V$64,MATCH($B4,'Company data'!$B$5:$B$64,0),MATCH(Q$2,'Company data'!$C$4:$V$4,0))</f>
        <v>6.19</v>
      </c>
    </row>
    <row r="5" spans="2:17" ht="14">
      <c r="B5" s="281" t="s">
        <v>935</v>
      </c>
      <c r="C5" s="275">
        <f>INDEX('Company data'!$C$5:$V$64,MATCH($B5,'Company data'!$B$5:$B$64,0),MATCH(C$2,'Company data'!$C$4:$V$4,0))</f>
        <v>4733.8999999999996</v>
      </c>
      <c r="D5" s="275">
        <f>INDEX('Company data'!$C$5:$V$64,MATCH($B5,'Company data'!$B$5:$B$64,0),MATCH(D$2,'Company data'!$C$4:$V$4,0))</f>
        <v>31.7</v>
      </c>
      <c r="E5" s="275">
        <f>INDEX('Company data'!$C$5:$V$64,MATCH($B5,'Company data'!$B$5:$B$64,0),MATCH(E$2,'Company data'!$C$4:$V$4,0))</f>
        <v>46</v>
      </c>
      <c r="F5" s="275">
        <f>INDEX('Company data'!$C$5:$V$64,MATCH($B5,'Company data'!$B$5:$B$64,0),MATCH(F$2,'Company data'!$C$4:$V$4,0))</f>
        <v>34.9</v>
      </c>
      <c r="G5" s="276">
        <f>INDEX('Company data'!$C$5:$V$64,MATCH($B5,'Company data'!$B$5:$B$64,0),MATCH(G$2,'Company data'!$C$4:$V$4,0))</f>
        <v>0.11</v>
      </c>
      <c r="H5" s="275">
        <f>INDEX('Company data'!$C$5:$V$64,MATCH($B5,'Company data'!$B$5:$B$64,0),MATCH(H$2,'Company data'!$C$4:$V$4,0))</f>
        <v>21275.14</v>
      </c>
      <c r="I5" s="276">
        <f>INDEX('Company data'!$C$5:$V$64,MATCH($B5,'Company data'!$B$5:$B$64,0),MATCH(I$2,'Company data'!$C$4:$V$4,0))</f>
        <v>0.08</v>
      </c>
      <c r="J5" s="277">
        <f>INDEX('Company data'!$C$5:$V$64,MATCH($B5,'Company data'!$B$5:$B$64,0),MATCH(J$2,'Company data'!$C$4:$V$4,0))</f>
        <v>5.9299999999999999E-2</v>
      </c>
      <c r="K5" s="275">
        <f>INDEX('Company data'!$C$5:$V$64,MATCH($B5,'Company data'!$B$5:$B$64,0),MATCH(K$2,'Company data'!$C$4:$V$4,0))</f>
        <v>19153</v>
      </c>
      <c r="L5" s="277">
        <f>INDEX('Company data'!$C$5:$V$64,MATCH($B5,'Company data'!$B$5:$B$64,0),MATCH(L$2,'Company data'!$C$4:$V$4,0))</f>
        <v>4.53E-2</v>
      </c>
      <c r="M5" s="275">
        <f>INDEX('Company data'!$C$5:$V$64,MATCH($B5,'Company data'!$B$5:$B$64,0),MATCH(M$2,'Company data'!$C$4:$V$4,0))</f>
        <v>14</v>
      </c>
      <c r="N5" s="275">
        <f>INDEX('Company data'!$C$5:$V$64,MATCH($B5,'Company data'!$B$5:$B$64,0),MATCH(N$2,'Company data'!$C$4:$V$4,0))</f>
        <v>73.5</v>
      </c>
      <c r="O5" s="275">
        <f>INDEX('Company data'!$C$5:$V$64,MATCH($B5,'Company data'!$B$5:$B$64,0),MATCH(O$2,'Company data'!$C$4:$V$4,0))</f>
        <v>0.03</v>
      </c>
      <c r="P5" s="277">
        <f>INDEX('Company data'!$C$5:$V$64,MATCH($B5,'Company data'!$B$5:$B$64,0),MATCH(P$2,'Company data'!$C$4:$V$4,0))</f>
        <v>0.2591</v>
      </c>
      <c r="Q5" s="282">
        <f>INDEX('Company data'!$C$5:$V$64,MATCH($B5,'Company data'!$B$5:$B$64,0),MATCH(Q$2,'Company data'!$C$4:$V$4,0))</f>
        <v>20</v>
      </c>
    </row>
    <row r="6" spans="2:17" ht="14">
      <c r="B6" s="281" t="s">
        <v>936</v>
      </c>
      <c r="C6" s="275">
        <f>INDEX('Company data'!$C$5:$V$64,MATCH($B6,'Company data'!$B$5:$B$64,0),MATCH(C$2,'Company data'!$C$4:$V$4,0))</f>
        <v>218.15</v>
      </c>
      <c r="D6" s="275">
        <f>INDEX('Company data'!$C$5:$V$64,MATCH($B6,'Company data'!$B$5:$B$64,0),MATCH(D$2,'Company data'!$C$4:$V$4,0))</f>
        <v>28.9</v>
      </c>
      <c r="E6" s="275">
        <f>INDEX('Company data'!$C$5:$V$64,MATCH($B6,'Company data'!$B$5:$B$64,0),MATCH(E$2,'Company data'!$C$4:$V$4,0))</f>
        <v>48</v>
      </c>
      <c r="F6" s="275">
        <f>INDEX('Company data'!$C$5:$V$64,MATCH($B6,'Company data'!$B$5:$B$64,0),MATCH(F$2,'Company data'!$C$4:$V$4,0))</f>
        <v>32.799999999999997</v>
      </c>
      <c r="G6" s="276">
        <f>INDEX('Company data'!$C$5:$V$64,MATCH($B6,'Company data'!$B$5:$B$64,0),MATCH(G$2,'Company data'!$C$4:$V$4,0))</f>
        <v>0.09</v>
      </c>
      <c r="H6" s="275">
        <f>INDEX('Company data'!$C$5:$V$64,MATCH($B6,'Company data'!$B$5:$B$64,0),MATCH(H$2,'Company data'!$C$4:$V$4,0))</f>
        <v>21275.14</v>
      </c>
      <c r="I6" s="276">
        <f>INDEX('Company data'!$C$5:$V$64,MATCH($B6,'Company data'!$B$5:$B$64,0),MATCH(I$2,'Company data'!$C$4:$V$4,0))</f>
        <v>7.0000000000000007E-2</v>
      </c>
      <c r="J6" s="277">
        <f>INDEX('Company data'!$C$5:$V$64,MATCH($B6,'Company data'!$B$5:$B$64,0),MATCH(J$2,'Company data'!$C$4:$V$4,0))</f>
        <v>-0.1963</v>
      </c>
      <c r="K6" s="275">
        <f>INDEX('Company data'!$C$5:$V$64,MATCH($B6,'Company data'!$B$5:$B$64,0),MATCH(K$2,'Company data'!$C$4:$V$4,0))</f>
        <v>576856</v>
      </c>
      <c r="L6" s="277">
        <f>INDEX('Company data'!$C$5:$V$64,MATCH($B6,'Company data'!$B$5:$B$64,0),MATCH(L$2,'Company data'!$C$4:$V$4,0))</f>
        <v>5.8700000000000002E-2</v>
      </c>
      <c r="M6" s="275">
        <f>INDEX('Company data'!$C$5:$V$64,MATCH($B6,'Company data'!$B$5:$B$64,0),MATCH(M$2,'Company data'!$C$4:$V$4,0))</f>
        <v>11</v>
      </c>
      <c r="N6" s="275">
        <f>INDEX('Company data'!$C$5:$V$64,MATCH($B6,'Company data'!$B$5:$B$64,0),MATCH(N$2,'Company data'!$C$4:$V$4,0))</f>
        <v>136.69999999999999</v>
      </c>
      <c r="O6" s="275">
        <f>INDEX('Company data'!$C$5:$V$64,MATCH($B6,'Company data'!$B$5:$B$64,0),MATCH(O$2,'Company data'!$C$4:$V$4,0))</f>
        <v>0.08</v>
      </c>
      <c r="P6" s="277">
        <f>INDEX('Company data'!$C$5:$V$64,MATCH($B6,'Company data'!$B$5:$B$64,0),MATCH(P$2,'Company data'!$C$4:$V$4,0))</f>
        <v>5.3699999999999998E-2</v>
      </c>
      <c r="Q6" s="282">
        <f>INDEX('Company data'!$C$5:$V$64,MATCH($B6,'Company data'!$B$5:$B$64,0),MATCH(Q$2,'Company data'!$C$4:$V$4,0))</f>
        <v>19</v>
      </c>
    </row>
    <row r="7" spans="2:17" ht="14.5" thickBot="1">
      <c r="B7" s="283" t="s">
        <v>937</v>
      </c>
      <c r="C7" s="284">
        <f>INDEX('Company data'!$C$5:$V$64,MATCH($B7,'Company data'!$B$5:$B$64,0),MATCH(C$2,'Company data'!$C$4:$V$4,0))</f>
        <v>419.75</v>
      </c>
      <c r="D7" s="284">
        <f>INDEX('Company data'!$C$5:$V$64,MATCH($B7,'Company data'!$B$5:$B$64,0),MATCH(D$2,'Company data'!$C$4:$V$4,0))</f>
        <v>28.9</v>
      </c>
      <c r="E7" s="284">
        <f>INDEX('Company data'!$C$5:$V$64,MATCH($B7,'Company data'!$B$5:$B$64,0),MATCH(E$2,'Company data'!$C$4:$V$4,0))</f>
        <v>49</v>
      </c>
      <c r="F7" s="284">
        <f>INDEX('Company data'!$C$5:$V$64,MATCH($B7,'Company data'!$B$5:$B$64,0),MATCH(F$2,'Company data'!$C$4:$V$4,0))</f>
        <v>27.9</v>
      </c>
      <c r="G7" s="285">
        <f>INDEX('Company data'!$C$5:$V$64,MATCH($B7,'Company data'!$B$5:$B$64,0),MATCH(G$2,'Company data'!$C$4:$V$4,0))</f>
        <v>7.0000000000000007E-2</v>
      </c>
      <c r="H7" s="284">
        <f>INDEX('Company data'!$C$5:$V$64,MATCH($B7,'Company data'!$B$5:$B$64,0),MATCH(H$2,'Company data'!$C$4:$V$4,0))</f>
        <v>3787.01</v>
      </c>
      <c r="I7" s="285">
        <f>INDEX('Company data'!$C$5:$V$64,MATCH($B7,'Company data'!$B$5:$B$64,0),MATCH(I$2,'Company data'!$C$4:$V$4,0))</f>
        <v>0.04</v>
      </c>
      <c r="J7" s="286">
        <f>INDEX('Company data'!$C$5:$V$64,MATCH($B7,'Company data'!$B$5:$B$64,0),MATCH(J$2,'Company data'!$C$4:$V$4,0))</f>
        <v>0.17860000000000001</v>
      </c>
      <c r="K7" s="284">
        <f>INDEX('Company data'!$C$5:$V$64,MATCH($B7,'Company data'!$B$5:$B$64,0),MATCH(K$2,'Company data'!$C$4:$V$4,0))</f>
        <v>276569</v>
      </c>
      <c r="L7" s="286">
        <f>INDEX('Company data'!$C$5:$V$64,MATCH($B7,'Company data'!$B$5:$B$64,0),MATCH(L$2,'Company data'!$C$4:$V$4,0))</f>
        <v>2.0299999999999999E-2</v>
      </c>
      <c r="M7" s="284">
        <f>INDEX('Company data'!$C$5:$V$64,MATCH($B7,'Company data'!$B$5:$B$64,0),MATCH(M$2,'Company data'!$C$4:$V$4,0))</f>
        <v>11</v>
      </c>
      <c r="N7" s="284">
        <f>INDEX('Company data'!$C$5:$V$64,MATCH($B7,'Company data'!$B$5:$B$64,0),MATCH(N$2,'Company data'!$C$4:$V$4,0))</f>
        <v>2.96</v>
      </c>
      <c r="O7" s="284">
        <f>INDEX('Company data'!$C$5:$V$64,MATCH($B7,'Company data'!$B$5:$B$64,0),MATCH(O$2,'Company data'!$C$4:$V$4,0))</f>
        <v>0</v>
      </c>
      <c r="P7" s="286">
        <f>INDEX('Company data'!$C$5:$V$64,MATCH($B7,'Company data'!$B$5:$B$64,0),MATCH(P$2,'Company data'!$C$4:$V$4,0))</f>
        <v>0.15890000000000001</v>
      </c>
      <c r="Q7" s="287">
        <f>INDEX('Company data'!$C$5:$V$64,MATCH($B7,'Company data'!$B$5:$B$64,0),MATCH(Q$2,'Company data'!$C$4:$V$4,0))</f>
        <v>6.25</v>
      </c>
    </row>
    <row r="8" spans="2:17" ht="13" thickBot="1"/>
    <row r="9" spans="2:17" ht="15" customHeight="1" thickBot="1">
      <c r="B9" s="288" t="s">
        <v>855</v>
      </c>
      <c r="C9" s="289">
        <f>Dashboard!C18</f>
        <v>8</v>
      </c>
      <c r="D9" s="289">
        <f>Dashboard!C19</f>
        <v>9</v>
      </c>
      <c r="E9" s="289">
        <f>Dashboard!C20</f>
        <v>9</v>
      </c>
      <c r="F9" s="289">
        <f>Dashboard!C21</f>
        <v>9</v>
      </c>
      <c r="G9" s="289">
        <f>Dashboard!C22</f>
        <v>6</v>
      </c>
      <c r="H9" s="289">
        <f>Dashboard!C23</f>
        <v>7</v>
      </c>
      <c r="I9" s="289">
        <f>Dashboard!C24</f>
        <v>4</v>
      </c>
      <c r="J9" s="289">
        <f>Dashboard!C25</f>
        <v>8</v>
      </c>
      <c r="K9" s="289">
        <f>Dashboard!C26</f>
        <v>3</v>
      </c>
      <c r="L9" s="289">
        <f>Dashboard!C27</f>
        <v>5</v>
      </c>
      <c r="M9" s="289">
        <f>Dashboard!C28</f>
        <v>8</v>
      </c>
      <c r="N9" s="289">
        <f>Dashboard!C29</f>
        <v>7</v>
      </c>
      <c r="O9" s="289">
        <f>Dashboard!C30</f>
        <v>4</v>
      </c>
      <c r="P9" s="289">
        <f>Dashboard!C31</f>
        <v>6</v>
      </c>
      <c r="Q9" s="290">
        <f>Dashboard!C32</f>
        <v>5</v>
      </c>
    </row>
    <row r="10" spans="2:17" ht="15" customHeight="1" thickBot="1">
      <c r="B10" s="293" t="s">
        <v>856</v>
      </c>
      <c r="C10" s="291">
        <f t="shared" ref="C10:Q10" si="0">C9/SUM($C$9:$Q$9)</f>
        <v>8.1632653061224483E-2</v>
      </c>
      <c r="D10" s="291">
        <f t="shared" si="0"/>
        <v>9.1836734693877556E-2</v>
      </c>
      <c r="E10" s="291">
        <f t="shared" si="0"/>
        <v>9.1836734693877556E-2</v>
      </c>
      <c r="F10" s="291">
        <f t="shared" si="0"/>
        <v>9.1836734693877556E-2</v>
      </c>
      <c r="G10" s="291">
        <f t="shared" si="0"/>
        <v>6.1224489795918366E-2</v>
      </c>
      <c r="H10" s="291">
        <f t="shared" si="0"/>
        <v>7.1428571428571425E-2</v>
      </c>
      <c r="I10" s="291">
        <f t="shared" si="0"/>
        <v>4.0816326530612242E-2</v>
      </c>
      <c r="J10" s="291">
        <f t="shared" si="0"/>
        <v>8.1632653061224483E-2</v>
      </c>
      <c r="K10" s="291">
        <f t="shared" si="0"/>
        <v>3.0612244897959183E-2</v>
      </c>
      <c r="L10" s="291">
        <f t="shared" si="0"/>
        <v>5.1020408163265307E-2</v>
      </c>
      <c r="M10" s="291">
        <f t="shared" si="0"/>
        <v>8.1632653061224483E-2</v>
      </c>
      <c r="N10" s="291">
        <f t="shared" si="0"/>
        <v>7.1428571428571425E-2</v>
      </c>
      <c r="O10" s="291">
        <f t="shared" si="0"/>
        <v>4.0816326530612242E-2</v>
      </c>
      <c r="P10" s="291">
        <f t="shared" si="0"/>
        <v>6.1224489795918366E-2</v>
      </c>
      <c r="Q10" s="292">
        <f t="shared" si="0"/>
        <v>5.1020408163265307E-2</v>
      </c>
    </row>
    <row r="11" spans="2:17" ht="13" thickBot="1"/>
    <row r="12" spans="2:17" ht="15" customHeight="1" thickBot="1">
      <c r="B12" s="296" t="s">
        <v>857</v>
      </c>
      <c r="C12" s="294">
        <f t="shared" ref="C12:Q12" si="1">SQRT(SUMSQ(C3:C7))</f>
        <v>4809.9945101320018</v>
      </c>
      <c r="D12" s="294">
        <f t="shared" si="1"/>
        <v>67.580766494617379</v>
      </c>
      <c r="E12" s="294">
        <f t="shared" si="1"/>
        <v>106.90650120549265</v>
      </c>
      <c r="F12" s="294">
        <f t="shared" si="1"/>
        <v>78.32624081366346</v>
      </c>
      <c r="G12" s="294">
        <f t="shared" si="1"/>
        <v>0.23832750575625972</v>
      </c>
      <c r="H12" s="294">
        <f t="shared" si="1"/>
        <v>56771.542043433168</v>
      </c>
      <c r="I12" s="294">
        <f t="shared" si="1"/>
        <v>0.19313207915827965</v>
      </c>
      <c r="J12" s="294">
        <f t="shared" si="1"/>
        <v>0.45642650010708186</v>
      </c>
      <c r="K12" s="294">
        <f t="shared" si="1"/>
        <v>2353359.5988150644</v>
      </c>
      <c r="L12" s="294">
        <f t="shared" si="1"/>
        <v>0.51007250465007425</v>
      </c>
      <c r="M12" s="294">
        <f t="shared" si="1"/>
        <v>27.856776554368238</v>
      </c>
      <c r="N12" s="294">
        <f t="shared" si="1"/>
        <v>23985.526403698124</v>
      </c>
      <c r="O12" s="294">
        <f t="shared" si="1"/>
        <v>0.8046117075956577</v>
      </c>
      <c r="P12" s="294">
        <f t="shared" si="1"/>
        <v>23.392420749464986</v>
      </c>
      <c r="Q12" s="295">
        <f t="shared" si="1"/>
        <v>43.624482804957125</v>
      </c>
    </row>
    <row r="13" spans="2:17" ht="13" thickBot="1"/>
    <row r="14" spans="2:17" ht="15" customHeight="1" thickBot="1">
      <c r="B14" s="296" t="s">
        <v>858</v>
      </c>
      <c r="C14" s="311">
        <f t="shared" ref="C14:Q18" si="2">C3/C$12</f>
        <v>8.5176812392818407E-2</v>
      </c>
      <c r="D14" s="312">
        <f t="shared" si="2"/>
        <v>0.49126403445933525</v>
      </c>
      <c r="E14" s="312">
        <f t="shared" si="2"/>
        <v>0.44899046792052205</v>
      </c>
      <c r="F14" s="312">
        <f t="shared" si="2"/>
        <v>0.51962151607434448</v>
      </c>
      <c r="G14" s="312">
        <f t="shared" si="2"/>
        <v>0.46154974706317897</v>
      </c>
      <c r="H14" s="312">
        <f t="shared" si="2"/>
        <v>0.360215686661368</v>
      </c>
      <c r="I14" s="312">
        <f t="shared" si="2"/>
        <v>0.51778037307849778</v>
      </c>
      <c r="J14" s="312">
        <f t="shared" si="2"/>
        <v>0.66933011104378659</v>
      </c>
      <c r="K14" s="312">
        <f t="shared" si="2"/>
        <v>0.17977405587017839</v>
      </c>
      <c r="L14" s="312">
        <f t="shared" si="2"/>
        <v>-0.98025279826250522</v>
      </c>
      <c r="M14" s="312">
        <f t="shared" si="2"/>
        <v>0.46667280310152975</v>
      </c>
      <c r="N14" s="312">
        <f t="shared" si="2"/>
        <v>1.4162707721420886E-3</v>
      </c>
      <c r="O14" s="312">
        <f t="shared" si="2"/>
        <v>1.242835507562029E-2</v>
      </c>
      <c r="P14" s="312">
        <f t="shared" si="2"/>
        <v>0.99989651564962378</v>
      </c>
      <c r="Q14" s="313">
        <f t="shared" si="2"/>
        <v>0.74797448363771091</v>
      </c>
    </row>
    <row r="15" spans="2:17" ht="15" customHeight="1">
      <c r="C15" s="314">
        <f t="shared" si="2"/>
        <v>0.12026001251800296</v>
      </c>
      <c r="D15" s="315">
        <f t="shared" si="2"/>
        <v>0.41579877615383498</v>
      </c>
      <c r="E15" s="315">
        <f t="shared" si="2"/>
        <v>0.44899046792052205</v>
      </c>
      <c r="F15" s="315">
        <f t="shared" si="2"/>
        <v>0.47876675313975225</v>
      </c>
      <c r="G15" s="315">
        <f t="shared" si="2"/>
        <v>0.58742695080768237</v>
      </c>
      <c r="H15" s="315">
        <f t="shared" si="2"/>
        <v>0.76480043411155352</v>
      </c>
      <c r="I15" s="315">
        <f t="shared" si="2"/>
        <v>0.62133644769419727</v>
      </c>
      <c r="J15" s="315">
        <f t="shared" si="2"/>
        <v>0.44388307855146047</v>
      </c>
      <c r="K15" s="315">
        <f t="shared" si="2"/>
        <v>0.94536763574941962</v>
      </c>
      <c r="L15" s="315">
        <f t="shared" si="2"/>
        <v>0.12802101545308317</v>
      </c>
      <c r="M15" s="315">
        <f t="shared" si="2"/>
        <v>0.46667280310152975</v>
      </c>
      <c r="N15" s="315">
        <f t="shared" si="2"/>
        <v>0.99997805327724465</v>
      </c>
      <c r="O15" s="315">
        <f t="shared" si="2"/>
        <v>0.99426840604962319</v>
      </c>
      <c r="P15" s="315">
        <f t="shared" si="2"/>
        <v>5.7326260260202886E-3</v>
      </c>
      <c r="Q15" s="316">
        <f t="shared" si="2"/>
        <v>0.14189279968487375</v>
      </c>
    </row>
    <row r="16" spans="2:17" ht="15" customHeight="1">
      <c r="C16" s="314">
        <f t="shared" si="2"/>
        <v>0.98417991746732492</v>
      </c>
      <c r="D16" s="315">
        <f t="shared" si="2"/>
        <v>0.46906837025183512</v>
      </c>
      <c r="E16" s="315">
        <f t="shared" si="2"/>
        <v>0.43028253175716696</v>
      </c>
      <c r="F16" s="315">
        <f t="shared" si="2"/>
        <v>0.44557225825539604</v>
      </c>
      <c r="G16" s="315">
        <f t="shared" si="2"/>
        <v>0.46154974706317897</v>
      </c>
      <c r="H16" s="315">
        <f t="shared" si="2"/>
        <v>0.37475008136512156</v>
      </c>
      <c r="I16" s="315">
        <f t="shared" si="2"/>
        <v>0.41422429846279823</v>
      </c>
      <c r="J16" s="315">
        <f t="shared" si="2"/>
        <v>0.1299223423400869</v>
      </c>
      <c r="K16" s="315">
        <f t="shared" si="2"/>
        <v>8.1385777208224739E-3</v>
      </c>
      <c r="L16" s="315">
        <f t="shared" si="2"/>
        <v>8.8810903522582973E-2</v>
      </c>
      <c r="M16" s="315">
        <f t="shared" si="2"/>
        <v>0.50257071103241668</v>
      </c>
      <c r="N16" s="315">
        <f t="shared" si="2"/>
        <v>3.0643480056651022E-3</v>
      </c>
      <c r="O16" s="315">
        <f t="shared" si="2"/>
        <v>3.7285065226860863E-2</v>
      </c>
      <c r="P16" s="315">
        <f t="shared" si="2"/>
        <v>1.1076237161385956E-2</v>
      </c>
      <c r="Q16" s="316">
        <f t="shared" si="2"/>
        <v>0.4584581573016922</v>
      </c>
    </row>
    <row r="17" spans="2:18" ht="15" customHeight="1">
      <c r="C17" s="314">
        <f t="shared" si="2"/>
        <v>4.5353482117386712E-2</v>
      </c>
      <c r="D17" s="315">
        <f t="shared" si="2"/>
        <v>0.42763646373116831</v>
      </c>
      <c r="E17" s="315">
        <f t="shared" si="2"/>
        <v>0.44899046792052205</v>
      </c>
      <c r="F17" s="315">
        <f t="shared" si="2"/>
        <v>0.4187613200795699</v>
      </c>
      <c r="G17" s="315">
        <f t="shared" si="2"/>
        <v>0.37763161123351002</v>
      </c>
      <c r="H17" s="315">
        <f t="shared" si="2"/>
        <v>0.37475008136512156</v>
      </c>
      <c r="I17" s="315">
        <f t="shared" si="2"/>
        <v>0.36244626115494849</v>
      </c>
      <c r="J17" s="315">
        <f t="shared" si="2"/>
        <v>-0.43008019901111399</v>
      </c>
      <c r="K17" s="315">
        <f t="shared" si="2"/>
        <v>0.24512021039642715</v>
      </c>
      <c r="L17" s="315">
        <f t="shared" si="2"/>
        <v>0.11508167851601812</v>
      </c>
      <c r="M17" s="315">
        <f t="shared" si="2"/>
        <v>0.39487698723975595</v>
      </c>
      <c r="N17" s="315">
        <f t="shared" si="2"/>
        <v>5.6992703724410808E-3</v>
      </c>
      <c r="O17" s="315">
        <f t="shared" si="2"/>
        <v>9.9426840604962319E-2</v>
      </c>
      <c r="P17" s="315">
        <f t="shared" si="2"/>
        <v>2.2956153437530906E-3</v>
      </c>
      <c r="Q17" s="316">
        <f t="shared" si="2"/>
        <v>0.4355352494366076</v>
      </c>
    </row>
    <row r="18" spans="2:18" ht="15" customHeight="1" thickBot="1">
      <c r="C18" s="317">
        <f t="shared" si="2"/>
        <v>8.7266211866940516E-2</v>
      </c>
      <c r="D18" s="318">
        <f t="shared" si="2"/>
        <v>0.42763646373116831</v>
      </c>
      <c r="E18" s="318">
        <f t="shared" si="2"/>
        <v>0.4583444360021996</v>
      </c>
      <c r="F18" s="318">
        <f t="shared" si="2"/>
        <v>0.35620246433597563</v>
      </c>
      <c r="G18" s="318">
        <f t="shared" si="2"/>
        <v>0.29371347540384118</v>
      </c>
      <c r="H18" s="318">
        <f t="shared" si="2"/>
        <v>6.6706132398213561E-2</v>
      </c>
      <c r="I18" s="318">
        <f t="shared" si="2"/>
        <v>0.20711214923139912</v>
      </c>
      <c r="J18" s="318">
        <f t="shared" si="2"/>
        <v>0.39130068030252146</v>
      </c>
      <c r="K18" s="318">
        <f t="shared" si="2"/>
        <v>0.11752092631285704</v>
      </c>
      <c r="L18" s="318">
        <f t="shared" si="2"/>
        <v>3.9798263609457707E-2</v>
      </c>
      <c r="M18" s="318">
        <f t="shared" si="2"/>
        <v>0.39487698723975595</v>
      </c>
      <c r="N18" s="318">
        <f t="shared" si="2"/>
        <v>1.234077564186218E-4</v>
      </c>
      <c r="O18" s="318">
        <f t="shared" si="2"/>
        <v>0</v>
      </c>
      <c r="P18" s="318">
        <f t="shared" si="2"/>
        <v>6.7927984752768379E-3</v>
      </c>
      <c r="Q18" s="319">
        <f t="shared" si="2"/>
        <v>0.14326817415677881</v>
      </c>
    </row>
    <row r="19" spans="2:18" ht="13" thickBot="1"/>
    <row r="20" spans="2:18" ht="15" customHeight="1" thickBot="1">
      <c r="B20" s="320" t="s">
        <v>859</v>
      </c>
      <c r="C20" s="297">
        <f t="shared" ref="C20:Q24" si="3">C$10*C14</f>
        <v>6.9532091749239513E-3</v>
      </c>
      <c r="D20" s="298">
        <f t="shared" si="3"/>
        <v>4.5116084797285891E-2</v>
      </c>
      <c r="E20" s="298">
        <f t="shared" si="3"/>
        <v>4.1233818482496923E-2</v>
      </c>
      <c r="F20" s="298">
        <f t="shared" si="3"/>
        <v>4.7720343312950005E-2</v>
      </c>
      <c r="G20" s="298">
        <f t="shared" si="3"/>
        <v>2.8258147779378302E-2</v>
      </c>
      <c r="H20" s="298">
        <f t="shared" si="3"/>
        <v>2.5729691904383428E-2</v>
      </c>
      <c r="I20" s="298">
        <f t="shared" si="3"/>
        <v>2.1133892778714192E-2</v>
      </c>
      <c r="J20" s="298">
        <f t="shared" si="3"/>
        <v>5.463919273826829E-2</v>
      </c>
      <c r="K20" s="298">
        <f t="shared" si="3"/>
        <v>5.5032874245972974E-3</v>
      </c>
      <c r="L20" s="298">
        <f t="shared" si="3"/>
        <v>-5.0012897870535984E-2</v>
      </c>
      <c r="M20" s="298">
        <f t="shared" si="3"/>
        <v>3.8095739028696306E-2</v>
      </c>
      <c r="N20" s="298">
        <f t="shared" si="3"/>
        <v>1.0116219801014918E-4</v>
      </c>
      <c r="O20" s="298">
        <f t="shared" si="3"/>
        <v>5.0727979900490978E-4</v>
      </c>
      <c r="P20" s="298">
        <f t="shared" si="3"/>
        <v>6.1218154019364722E-2</v>
      </c>
      <c r="Q20" s="299">
        <f t="shared" si="3"/>
        <v>3.816196345090362E-2</v>
      </c>
    </row>
    <row r="21" spans="2:18">
      <c r="C21" s="300">
        <f t="shared" si="3"/>
        <v>9.8171438790206483E-3</v>
      </c>
      <c r="D21" s="301">
        <f t="shared" si="3"/>
        <v>3.8185601891678723E-2</v>
      </c>
      <c r="E21" s="301">
        <f t="shared" si="3"/>
        <v>4.1233818482496923E-2</v>
      </c>
      <c r="F21" s="301">
        <f t="shared" si="3"/>
        <v>4.3968375288344595E-2</v>
      </c>
      <c r="G21" s="301">
        <f t="shared" si="3"/>
        <v>3.5964915355572391E-2</v>
      </c>
      <c r="H21" s="301">
        <f t="shared" si="3"/>
        <v>5.4628602436539532E-2</v>
      </c>
      <c r="I21" s="301">
        <f t="shared" si="3"/>
        <v>2.5360671334457029E-2</v>
      </c>
      <c r="J21" s="301">
        <f t="shared" si="3"/>
        <v>3.6235353351139629E-2</v>
      </c>
      <c r="K21" s="301">
        <f t="shared" si="3"/>
        <v>2.8939825584165906E-2</v>
      </c>
      <c r="L21" s="301">
        <f t="shared" si="3"/>
        <v>6.5316844618919989E-3</v>
      </c>
      <c r="M21" s="301">
        <f t="shared" si="3"/>
        <v>3.8095739028696306E-2</v>
      </c>
      <c r="N21" s="301">
        <f t="shared" si="3"/>
        <v>7.1427003805517475E-2</v>
      </c>
      <c r="O21" s="301">
        <f t="shared" si="3"/>
        <v>4.0582383920392782E-2</v>
      </c>
      <c r="P21" s="301">
        <f t="shared" si="3"/>
        <v>3.5097710363389523E-4</v>
      </c>
      <c r="Q21" s="302">
        <f t="shared" si="3"/>
        <v>7.2394285553507021E-3</v>
      </c>
    </row>
    <row r="22" spans="2:18">
      <c r="C22" s="300">
        <f t="shared" si="3"/>
        <v>8.0341217752434677E-2</v>
      </c>
      <c r="D22" s="301">
        <f t="shared" si="3"/>
        <v>4.3077707472107311E-2</v>
      </c>
      <c r="E22" s="301">
        <f t="shared" si="3"/>
        <v>3.9515742712392887E-2</v>
      </c>
      <c r="F22" s="301">
        <f t="shared" si="3"/>
        <v>4.0919901268352703E-2</v>
      </c>
      <c r="G22" s="301">
        <f t="shared" si="3"/>
        <v>2.8258147779378302E-2</v>
      </c>
      <c r="H22" s="301">
        <f t="shared" si="3"/>
        <v>2.6767862954651538E-2</v>
      </c>
      <c r="I22" s="301">
        <f t="shared" si="3"/>
        <v>1.6907114222971354E-2</v>
      </c>
      <c r="J22" s="301">
        <f t="shared" si="3"/>
        <v>1.060590549714995E-2</v>
      </c>
      <c r="K22" s="301">
        <f t="shared" si="3"/>
        <v>2.4914013431089207E-4</v>
      </c>
      <c r="L22" s="301">
        <f t="shared" si="3"/>
        <v>4.5311685470705602E-3</v>
      </c>
      <c r="M22" s="301">
        <f t="shared" si="3"/>
        <v>4.1026180492442173E-2</v>
      </c>
      <c r="N22" s="301">
        <f t="shared" si="3"/>
        <v>2.1888200040465016E-4</v>
      </c>
      <c r="O22" s="301">
        <f t="shared" si="3"/>
        <v>1.5218393970147289E-3</v>
      </c>
      <c r="P22" s="301">
        <f t="shared" si="3"/>
        <v>6.7813696906444628E-4</v>
      </c>
      <c r="Q22" s="302">
        <f t="shared" si="3"/>
        <v>2.3390722311310827E-2</v>
      </c>
    </row>
    <row r="23" spans="2:18">
      <c r="C23" s="300">
        <f t="shared" si="3"/>
        <v>3.7023250708070783E-3</v>
      </c>
      <c r="D23" s="301">
        <f t="shared" si="3"/>
        <v>3.9272736465107295E-2</v>
      </c>
      <c r="E23" s="301">
        <f t="shared" si="3"/>
        <v>4.1233818482496923E-2</v>
      </c>
      <c r="F23" s="301">
        <f t="shared" si="3"/>
        <v>3.8457672252205401E-2</v>
      </c>
      <c r="G23" s="301">
        <f t="shared" si="3"/>
        <v>2.3120302728582245E-2</v>
      </c>
      <c r="H23" s="301">
        <f t="shared" si="3"/>
        <v>2.6767862954651538E-2</v>
      </c>
      <c r="I23" s="301">
        <f t="shared" si="3"/>
        <v>1.4793724945099937E-2</v>
      </c>
      <c r="J23" s="301">
        <f t="shared" si="3"/>
        <v>-3.5108587674376648E-2</v>
      </c>
      <c r="K23" s="301">
        <f t="shared" si="3"/>
        <v>7.503679910094708E-3</v>
      </c>
      <c r="L23" s="301">
        <f t="shared" si="3"/>
        <v>5.8715142100009251E-3</v>
      </c>
      <c r="M23" s="301">
        <f t="shared" si="3"/>
        <v>3.2234856101204565E-2</v>
      </c>
      <c r="N23" s="301">
        <f t="shared" si="3"/>
        <v>4.0709074088864859E-4</v>
      </c>
      <c r="O23" s="301">
        <f t="shared" si="3"/>
        <v>4.0582383920392782E-3</v>
      </c>
      <c r="P23" s="301">
        <f t="shared" si="3"/>
        <v>1.4054787818896473E-4</v>
      </c>
      <c r="Q23" s="302">
        <f t="shared" si="3"/>
        <v>2.2221186195745285E-2</v>
      </c>
    </row>
    <row r="24" spans="2:18" ht="13" thickBot="1">
      <c r="C24" s="303">
        <f t="shared" si="3"/>
        <v>7.1237723973012661E-3</v>
      </c>
      <c r="D24" s="304">
        <f t="shared" si="3"/>
        <v>3.9272736465107295E-2</v>
      </c>
      <c r="E24" s="304">
        <f t="shared" si="3"/>
        <v>4.2092856367548948E-2</v>
      </c>
      <c r="F24" s="304">
        <f t="shared" si="3"/>
        <v>3.2712471214528374E-2</v>
      </c>
      <c r="G24" s="304">
        <f t="shared" si="3"/>
        <v>1.7982457677786196E-2</v>
      </c>
      <c r="H24" s="304">
        <f t="shared" si="3"/>
        <v>4.7647237427295396E-3</v>
      </c>
      <c r="I24" s="304">
        <f t="shared" si="3"/>
        <v>8.453557111485677E-3</v>
      </c>
      <c r="J24" s="304">
        <f t="shared" si="3"/>
        <v>3.1942912677756855E-2</v>
      </c>
      <c r="K24" s="304">
        <f t="shared" si="3"/>
        <v>3.597579376924195E-3</v>
      </c>
      <c r="L24" s="304">
        <f t="shared" si="3"/>
        <v>2.0305236535437606E-3</v>
      </c>
      <c r="M24" s="304">
        <f t="shared" si="3"/>
        <v>3.2234856101204565E-2</v>
      </c>
      <c r="N24" s="304">
        <f t="shared" si="3"/>
        <v>8.8148397441872714E-6</v>
      </c>
      <c r="O24" s="304">
        <f t="shared" si="3"/>
        <v>0</v>
      </c>
      <c r="P24" s="304">
        <f t="shared" si="3"/>
        <v>4.1588562093531657E-4</v>
      </c>
      <c r="Q24" s="305">
        <f t="shared" si="3"/>
        <v>7.3096007222846334E-3</v>
      </c>
    </row>
    <row r="26" spans="2:18" ht="13" thickBot="1">
      <c r="R26" s="307" t="s">
        <v>860</v>
      </c>
    </row>
    <row r="27" spans="2:18" ht="13.5" thickBot="1">
      <c r="B27" s="293" t="s">
        <v>861</v>
      </c>
      <c r="C27" s="311">
        <f t="shared" ref="C27:C31" si="4">C20-MAX($C$20:$C$24)</f>
        <v>-7.3388008577510724E-2</v>
      </c>
      <c r="D27" s="312">
        <f t="shared" ref="D27:M31" si="5">D20-MIN(D$20:D$24)</f>
        <v>6.9304829056071673E-3</v>
      </c>
      <c r="E27" s="312">
        <f t="shared" si="5"/>
        <v>1.7180757701040356E-3</v>
      </c>
      <c r="F27" s="312">
        <f t="shared" si="5"/>
        <v>1.500787209842163E-2</v>
      </c>
      <c r="G27" s="312">
        <f t="shared" si="5"/>
        <v>1.0275690101592107E-2</v>
      </c>
      <c r="H27" s="312">
        <f t="shared" si="5"/>
        <v>2.0964968161653889E-2</v>
      </c>
      <c r="I27" s="312">
        <f t="shared" si="5"/>
        <v>1.2680335667228515E-2</v>
      </c>
      <c r="J27" s="312">
        <f t="shared" si="5"/>
        <v>8.9747780412644945E-2</v>
      </c>
      <c r="K27" s="312">
        <f t="shared" si="5"/>
        <v>5.254147290286405E-3</v>
      </c>
      <c r="L27" s="312">
        <f t="shared" si="5"/>
        <v>0</v>
      </c>
      <c r="M27" s="312">
        <f t="shared" si="5"/>
        <v>5.8608829274917409E-3</v>
      </c>
      <c r="N27" s="312">
        <f t="shared" ref="N27:O31" si="6">N20-MAX(N$20:N$24)</f>
        <v>-7.1325841607507323E-2</v>
      </c>
      <c r="O27" s="312">
        <f t="shared" si="6"/>
        <v>-4.0075104121387872E-2</v>
      </c>
      <c r="P27" s="312">
        <f t="shared" ref="P27:Q31" si="7">P20-MIN(P$20:P$24)</f>
        <v>6.1077606141175758E-2</v>
      </c>
      <c r="Q27" s="313">
        <f t="shared" si="7"/>
        <v>3.0922534895552918E-2</v>
      </c>
      <c r="R27" s="308">
        <f t="shared" ref="R27:R31" si="8">SQRT(SUMSQ(C27:Q27))</f>
        <v>0.1608248018943767</v>
      </c>
    </row>
    <row r="28" spans="2:18">
      <c r="C28" s="314">
        <f t="shared" si="4"/>
        <v>-7.0524073873414028E-2</v>
      </c>
      <c r="D28" s="315">
        <f t="shared" si="5"/>
        <v>0</v>
      </c>
      <c r="E28" s="315">
        <f t="shared" si="5"/>
        <v>1.7180757701040356E-3</v>
      </c>
      <c r="F28" s="315">
        <f t="shared" si="5"/>
        <v>1.1255904073816221E-2</v>
      </c>
      <c r="G28" s="315">
        <f t="shared" si="5"/>
        <v>1.7982457677786196E-2</v>
      </c>
      <c r="H28" s="315">
        <f t="shared" si="5"/>
        <v>4.9863878693809996E-2</v>
      </c>
      <c r="I28" s="315">
        <f t="shared" si="5"/>
        <v>1.6907114222971351E-2</v>
      </c>
      <c r="J28" s="315">
        <f t="shared" si="5"/>
        <v>7.1343941025516278E-2</v>
      </c>
      <c r="K28" s="315">
        <f t="shared" si="5"/>
        <v>2.8690685449855015E-2</v>
      </c>
      <c r="L28" s="315">
        <f t="shared" si="5"/>
        <v>5.6544582332427984E-2</v>
      </c>
      <c r="M28" s="315">
        <f t="shared" si="5"/>
        <v>5.8608829274917409E-3</v>
      </c>
      <c r="N28" s="315">
        <f t="shared" si="6"/>
        <v>0</v>
      </c>
      <c r="O28" s="315">
        <f t="shared" si="6"/>
        <v>0</v>
      </c>
      <c r="P28" s="315">
        <f t="shared" si="7"/>
        <v>2.1042922544493051E-4</v>
      </c>
      <c r="Q28" s="316">
        <f t="shared" si="7"/>
        <v>0</v>
      </c>
      <c r="R28" s="309">
        <f t="shared" si="8"/>
        <v>0.13169553987656069</v>
      </c>
    </row>
    <row r="29" spans="2:18">
      <c r="C29" s="314">
        <f t="shared" si="4"/>
        <v>0</v>
      </c>
      <c r="D29" s="315">
        <f t="shared" si="5"/>
        <v>4.8921055804285879E-3</v>
      </c>
      <c r="E29" s="315">
        <f t="shared" si="5"/>
        <v>0</v>
      </c>
      <c r="F29" s="315">
        <f t="shared" si="5"/>
        <v>8.2074300538243286E-3</v>
      </c>
      <c r="G29" s="315">
        <f t="shared" si="5"/>
        <v>1.0275690101592107E-2</v>
      </c>
      <c r="H29" s="315">
        <f t="shared" si="5"/>
        <v>2.2003139211921999E-2</v>
      </c>
      <c r="I29" s="315">
        <f t="shared" si="5"/>
        <v>8.453557111485677E-3</v>
      </c>
      <c r="J29" s="315">
        <f t="shared" si="5"/>
        <v>4.57144931715266E-2</v>
      </c>
      <c r="K29" s="315">
        <f t="shared" si="5"/>
        <v>0</v>
      </c>
      <c r="L29" s="315">
        <f t="shared" si="5"/>
        <v>5.4544066417606542E-2</v>
      </c>
      <c r="M29" s="315">
        <f t="shared" si="5"/>
        <v>8.7913243912376079E-3</v>
      </c>
      <c r="N29" s="315">
        <f t="shared" si="6"/>
        <v>-7.1208121805112823E-2</v>
      </c>
      <c r="O29" s="315">
        <f t="shared" si="6"/>
        <v>-3.9060544523378052E-2</v>
      </c>
      <c r="P29" s="315">
        <f t="shared" si="7"/>
        <v>5.3758909087548161E-4</v>
      </c>
      <c r="Q29" s="316">
        <f t="shared" si="7"/>
        <v>1.6151293755960125E-2</v>
      </c>
      <c r="R29" s="309">
        <f t="shared" si="8"/>
        <v>0.1129252791385752</v>
      </c>
    </row>
    <row r="30" spans="2:18">
      <c r="C30" s="314">
        <f t="shared" si="4"/>
        <v>-7.6638892681627602E-2</v>
      </c>
      <c r="D30" s="315">
        <f t="shared" si="5"/>
        <v>1.087134573428572E-3</v>
      </c>
      <c r="E30" s="315">
        <f t="shared" si="5"/>
        <v>1.7180757701040356E-3</v>
      </c>
      <c r="F30" s="315">
        <f t="shared" si="5"/>
        <v>5.7452010376770266E-3</v>
      </c>
      <c r="G30" s="315">
        <f t="shared" si="5"/>
        <v>5.1378450507960499E-3</v>
      </c>
      <c r="H30" s="315">
        <f t="shared" si="5"/>
        <v>2.2003139211921999E-2</v>
      </c>
      <c r="I30" s="315">
        <f t="shared" si="5"/>
        <v>6.3401678336142599E-3</v>
      </c>
      <c r="J30" s="315">
        <f t="shared" si="5"/>
        <v>0</v>
      </c>
      <c r="K30" s="315">
        <f t="shared" si="5"/>
        <v>7.2545397757838156E-3</v>
      </c>
      <c r="L30" s="315">
        <f t="shared" si="5"/>
        <v>5.5884412080536912E-2</v>
      </c>
      <c r="M30" s="315">
        <f t="shared" si="5"/>
        <v>0</v>
      </c>
      <c r="N30" s="315">
        <f t="shared" si="6"/>
        <v>-7.101991306462882E-2</v>
      </c>
      <c r="O30" s="315">
        <f t="shared" si="6"/>
        <v>-3.6524145528353508E-2</v>
      </c>
      <c r="P30" s="315">
        <f t="shared" si="7"/>
        <v>0</v>
      </c>
      <c r="Q30" s="316">
        <f t="shared" si="7"/>
        <v>1.4981757640394583E-2</v>
      </c>
      <c r="R30" s="309">
        <f t="shared" si="8"/>
        <v>0.12743384302723715</v>
      </c>
    </row>
    <row r="31" spans="2:18" ht="13" thickBot="1">
      <c r="C31" s="317">
        <f t="shared" si="4"/>
        <v>-7.3217445355133415E-2</v>
      </c>
      <c r="D31" s="318">
        <f t="shared" si="5"/>
        <v>1.087134573428572E-3</v>
      </c>
      <c r="E31" s="318">
        <f t="shared" si="5"/>
        <v>2.5771136551560603E-3</v>
      </c>
      <c r="F31" s="318">
        <f t="shared" si="5"/>
        <v>0</v>
      </c>
      <c r="G31" s="318">
        <f t="shared" si="5"/>
        <v>0</v>
      </c>
      <c r="H31" s="318">
        <f t="shared" si="5"/>
        <v>0</v>
      </c>
      <c r="I31" s="318">
        <f t="shared" si="5"/>
        <v>0</v>
      </c>
      <c r="J31" s="318">
        <f t="shared" si="5"/>
        <v>6.7051500352133503E-2</v>
      </c>
      <c r="K31" s="318">
        <f t="shared" si="5"/>
        <v>3.3484392426133031E-3</v>
      </c>
      <c r="L31" s="318">
        <f t="shared" si="5"/>
        <v>5.2043421524079744E-2</v>
      </c>
      <c r="M31" s="318">
        <f t="shared" si="5"/>
        <v>0</v>
      </c>
      <c r="N31" s="318">
        <f t="shared" si="6"/>
        <v>-7.1418188965773288E-2</v>
      </c>
      <c r="O31" s="318">
        <f t="shared" si="6"/>
        <v>-4.0582383920392782E-2</v>
      </c>
      <c r="P31" s="318">
        <f t="shared" si="7"/>
        <v>2.7533774274635185E-4</v>
      </c>
      <c r="Q31" s="319">
        <f t="shared" si="7"/>
        <v>7.0172166933931378E-5</v>
      </c>
      <c r="R31" s="310">
        <f t="shared" si="8"/>
        <v>0.13903891356123871</v>
      </c>
    </row>
    <row r="33" spans="2:18" ht="13" thickBot="1">
      <c r="R33" s="307" t="s">
        <v>862</v>
      </c>
    </row>
    <row r="34" spans="2:18" ht="13.5" thickBot="1">
      <c r="B34" s="306" t="s">
        <v>863</v>
      </c>
      <c r="C34" s="335">
        <f t="shared" ref="C34:C38" si="9">C20-MIN(C$20:C$24)</f>
        <v>3.250884104116873E-3</v>
      </c>
      <c r="D34" s="336">
        <f t="shared" ref="D34:M38" si="10">D20-MAX(D$20:D$24)</f>
        <v>0</v>
      </c>
      <c r="E34" s="336">
        <f t="shared" si="10"/>
        <v>-8.5903788505202472E-4</v>
      </c>
      <c r="F34" s="336">
        <f t="shared" si="10"/>
        <v>0</v>
      </c>
      <c r="G34" s="336">
        <f t="shared" si="10"/>
        <v>-7.7067675761940888E-3</v>
      </c>
      <c r="H34" s="336">
        <f t="shared" si="10"/>
        <v>-2.8898910532156104E-2</v>
      </c>
      <c r="I34" s="336">
        <f t="shared" si="10"/>
        <v>-4.2267785557428376E-3</v>
      </c>
      <c r="J34" s="336">
        <f t="shared" si="10"/>
        <v>0</v>
      </c>
      <c r="K34" s="336">
        <f t="shared" si="10"/>
        <v>-2.3436538159568608E-2</v>
      </c>
      <c r="L34" s="336">
        <f t="shared" si="10"/>
        <v>-5.6544582332427984E-2</v>
      </c>
      <c r="M34" s="336">
        <f t="shared" si="10"/>
        <v>-2.930441463745867E-3</v>
      </c>
      <c r="N34" s="336">
        <f t="shared" ref="N34:O38" si="11">N20-MIN(N$20:N$24)</f>
        <v>9.2347358265961903E-5</v>
      </c>
      <c r="O34" s="336">
        <f t="shared" si="11"/>
        <v>5.0727979900490978E-4</v>
      </c>
      <c r="P34" s="336">
        <f t="shared" ref="P34:Q38" si="12">P20-MAX(P$20:P$24)</f>
        <v>0</v>
      </c>
      <c r="Q34" s="337">
        <f t="shared" si="12"/>
        <v>0</v>
      </c>
      <c r="R34" s="308">
        <f t="shared" ref="R34:R38" si="13">SQRT(SUMSQ(C34:Q34))</f>
        <v>6.84041490479914E-2</v>
      </c>
    </row>
    <row r="35" spans="2:18">
      <c r="C35" s="338">
        <f t="shared" si="9"/>
        <v>6.11481880821357E-3</v>
      </c>
      <c r="D35" s="339">
        <f t="shared" si="10"/>
        <v>-6.9304829056071673E-3</v>
      </c>
      <c r="E35" s="339">
        <f t="shared" si="10"/>
        <v>-8.5903788505202472E-4</v>
      </c>
      <c r="F35" s="339">
        <f t="shared" si="10"/>
        <v>-3.7519680246054093E-3</v>
      </c>
      <c r="G35" s="339">
        <f t="shared" si="10"/>
        <v>0</v>
      </c>
      <c r="H35" s="339">
        <f t="shared" si="10"/>
        <v>0</v>
      </c>
      <c r="I35" s="339">
        <f t="shared" si="10"/>
        <v>0</v>
      </c>
      <c r="J35" s="339">
        <f t="shared" si="10"/>
        <v>-1.8403839387128661E-2</v>
      </c>
      <c r="K35" s="339">
        <f t="shared" si="10"/>
        <v>0</v>
      </c>
      <c r="L35" s="339">
        <f t="shared" si="10"/>
        <v>0</v>
      </c>
      <c r="M35" s="339">
        <f t="shared" si="10"/>
        <v>-2.930441463745867E-3</v>
      </c>
      <c r="N35" s="339">
        <f t="shared" si="11"/>
        <v>7.1418188965773288E-2</v>
      </c>
      <c r="O35" s="339">
        <f t="shared" si="11"/>
        <v>4.0582383920392782E-2</v>
      </c>
      <c r="P35" s="339">
        <f t="shared" si="12"/>
        <v>-6.0867176915730827E-2</v>
      </c>
      <c r="Q35" s="340">
        <f t="shared" si="12"/>
        <v>-3.0922534895552918E-2</v>
      </c>
      <c r="R35" s="309">
        <f t="shared" si="13"/>
        <v>0.10888540119657042</v>
      </c>
    </row>
    <row r="36" spans="2:18">
      <c r="C36" s="338">
        <f t="shared" si="9"/>
        <v>7.6638892681627602E-2</v>
      </c>
      <c r="D36" s="339">
        <f t="shared" si="10"/>
        <v>-2.0383773251785794E-3</v>
      </c>
      <c r="E36" s="339">
        <f t="shared" si="10"/>
        <v>-2.5771136551560603E-3</v>
      </c>
      <c r="F36" s="339">
        <f t="shared" si="10"/>
        <v>-6.8004420445973018E-3</v>
      </c>
      <c r="G36" s="339">
        <f t="shared" si="10"/>
        <v>-7.7067675761940888E-3</v>
      </c>
      <c r="H36" s="339">
        <f t="shared" si="10"/>
        <v>-2.7860739481887994E-2</v>
      </c>
      <c r="I36" s="339">
        <f t="shared" si="10"/>
        <v>-8.4535571114856753E-3</v>
      </c>
      <c r="J36" s="339">
        <f t="shared" si="10"/>
        <v>-4.4033287241118338E-2</v>
      </c>
      <c r="K36" s="339">
        <f t="shared" si="10"/>
        <v>-2.8690685449855015E-2</v>
      </c>
      <c r="L36" s="339">
        <f t="shared" si="10"/>
        <v>-2.0005159148214387E-3</v>
      </c>
      <c r="M36" s="339">
        <f t="shared" si="10"/>
        <v>0</v>
      </c>
      <c r="N36" s="339">
        <f t="shared" si="11"/>
        <v>2.1006716066046289E-4</v>
      </c>
      <c r="O36" s="339">
        <f t="shared" si="11"/>
        <v>1.5218393970147289E-3</v>
      </c>
      <c r="P36" s="339">
        <f t="shared" si="12"/>
        <v>-6.0540017050300272E-2</v>
      </c>
      <c r="Q36" s="340">
        <f t="shared" si="12"/>
        <v>-1.4771241139592793E-2</v>
      </c>
      <c r="R36" s="309">
        <f t="shared" si="13"/>
        <v>0.11614375279175099</v>
      </c>
    </row>
    <row r="37" spans="2:18">
      <c r="C37" s="338">
        <f t="shared" si="9"/>
        <v>0</v>
      </c>
      <c r="D37" s="339">
        <f t="shared" si="10"/>
        <v>-5.8433483321785953E-3</v>
      </c>
      <c r="E37" s="339">
        <f t="shared" si="10"/>
        <v>-8.5903788505202472E-4</v>
      </c>
      <c r="F37" s="339">
        <f t="shared" si="10"/>
        <v>-9.2626710607446039E-3</v>
      </c>
      <c r="G37" s="339">
        <f t="shared" si="10"/>
        <v>-1.2844612626990146E-2</v>
      </c>
      <c r="H37" s="339">
        <f t="shared" si="10"/>
        <v>-2.7860739481887994E-2</v>
      </c>
      <c r="I37" s="339">
        <f t="shared" si="10"/>
        <v>-1.0566946389357092E-2</v>
      </c>
      <c r="J37" s="339">
        <f t="shared" si="10"/>
        <v>-8.9747780412644945E-2</v>
      </c>
      <c r="K37" s="339">
        <f t="shared" si="10"/>
        <v>-2.1436145674071198E-2</v>
      </c>
      <c r="L37" s="339">
        <f t="shared" si="10"/>
        <v>-6.6017025189107383E-4</v>
      </c>
      <c r="M37" s="339">
        <f t="shared" si="10"/>
        <v>-8.7913243912376079E-3</v>
      </c>
      <c r="N37" s="339">
        <f t="shared" si="11"/>
        <v>3.9827590114446132E-4</v>
      </c>
      <c r="O37" s="339">
        <f t="shared" si="11"/>
        <v>4.0582383920392782E-3</v>
      </c>
      <c r="P37" s="339">
        <f t="shared" si="12"/>
        <v>-6.1077606141175758E-2</v>
      </c>
      <c r="Q37" s="340">
        <f t="shared" si="12"/>
        <v>-1.5940777255158335E-2</v>
      </c>
      <c r="R37" s="309">
        <f t="shared" si="13"/>
        <v>0.11733137214170089</v>
      </c>
    </row>
    <row r="38" spans="2:18" ht="13" thickBot="1">
      <c r="C38" s="341">
        <f t="shared" si="9"/>
        <v>3.4214473264941878E-3</v>
      </c>
      <c r="D38" s="342">
        <f t="shared" si="10"/>
        <v>-5.8433483321785953E-3</v>
      </c>
      <c r="E38" s="342">
        <f t="shared" si="10"/>
        <v>0</v>
      </c>
      <c r="F38" s="342">
        <f t="shared" si="10"/>
        <v>-1.500787209842163E-2</v>
      </c>
      <c r="G38" s="342">
        <f t="shared" si="10"/>
        <v>-1.7982457677786196E-2</v>
      </c>
      <c r="H38" s="342">
        <f t="shared" si="10"/>
        <v>-4.9863878693809996E-2</v>
      </c>
      <c r="I38" s="342">
        <f t="shared" si="10"/>
        <v>-1.6907114222971351E-2</v>
      </c>
      <c r="J38" s="342">
        <f t="shared" si="10"/>
        <v>-2.2696280060511435E-2</v>
      </c>
      <c r="K38" s="342">
        <f t="shared" si="10"/>
        <v>-2.5342246207241709E-2</v>
      </c>
      <c r="L38" s="342">
        <f t="shared" si="10"/>
        <v>-4.5011608083482379E-3</v>
      </c>
      <c r="M38" s="342">
        <f t="shared" si="10"/>
        <v>-8.7913243912376079E-3</v>
      </c>
      <c r="N38" s="342">
        <f t="shared" si="11"/>
        <v>0</v>
      </c>
      <c r="O38" s="342">
        <f t="shared" si="11"/>
        <v>0</v>
      </c>
      <c r="P38" s="342">
        <f t="shared" si="12"/>
        <v>-6.0802268398429407E-2</v>
      </c>
      <c r="Q38" s="343">
        <f t="shared" si="12"/>
        <v>-3.0852362728618986E-2</v>
      </c>
      <c r="R38" s="310">
        <f t="shared" si="13"/>
        <v>9.6282892941871201E-2</v>
      </c>
    </row>
    <row r="40" spans="2:18" ht="13" thickBot="1"/>
    <row r="41" spans="2:18" ht="13.5" thickBot="1">
      <c r="E41" s="344"/>
      <c r="F41" s="345" t="s">
        <v>889</v>
      </c>
    </row>
    <row r="42" spans="2:18" ht="13">
      <c r="B42" s="326" t="s">
        <v>888</v>
      </c>
      <c r="C42" s="321" t="s">
        <v>854</v>
      </c>
      <c r="D42" s="329" t="s">
        <v>864</v>
      </c>
      <c r="E42" s="331">
        <v>1</v>
      </c>
      <c r="F42" s="332" t="str">
        <f>VLOOKUP(E42,B43:D47,2,0)</f>
        <v>Sumitomo Chemical India Ltd</v>
      </c>
    </row>
    <row r="43" spans="2:18">
      <c r="B43" s="322">
        <f>_xlfn.RANK.AVG(D43,$D$43:$D$47)</f>
        <v>1</v>
      </c>
      <c r="C43" s="327" t="s">
        <v>933</v>
      </c>
      <c r="D43" s="330">
        <f t="shared" ref="D43:D47" si="14">R27/(R27+R34)</f>
        <v>0.70159027135630292</v>
      </c>
      <c r="E43" s="331">
        <v>2</v>
      </c>
      <c r="F43" s="332" t="str">
        <f>VLOOKUP(E43,B43:D47,2,0)</f>
        <v>Sharda Cropchem Ltd</v>
      </c>
    </row>
    <row r="44" spans="2:18" ht="13" thickBot="1">
      <c r="B44" s="322">
        <f t="shared" ref="B44:B47" si="15">_xlfn.RANK.AVG(D44,$D$43:$D$47)</f>
        <v>3</v>
      </c>
      <c r="C44" s="327" t="s">
        <v>934</v>
      </c>
      <c r="D44" s="330">
        <f t="shared" si="14"/>
        <v>0.54740637096655242</v>
      </c>
      <c r="E44" s="333">
        <v>3</v>
      </c>
      <c r="F44" s="334" t="str">
        <f>VLOOKUP(E44,B43:D47,2,0)</f>
        <v>UPL Ltd</v>
      </c>
    </row>
    <row r="45" spans="2:18">
      <c r="B45" s="322">
        <f t="shared" si="15"/>
        <v>5</v>
      </c>
      <c r="C45" s="327" t="s">
        <v>935</v>
      </c>
      <c r="D45" s="324">
        <f t="shared" si="14"/>
        <v>0.49297488266734651</v>
      </c>
    </row>
    <row r="46" spans="2:18">
      <c r="B46" s="322">
        <f t="shared" si="15"/>
        <v>4</v>
      </c>
      <c r="C46" s="327" t="s">
        <v>936</v>
      </c>
      <c r="D46" s="324">
        <f t="shared" si="14"/>
        <v>0.52063706413217969</v>
      </c>
    </row>
    <row r="47" spans="2:18" ht="13" thickBot="1">
      <c r="B47" s="323">
        <f t="shared" si="15"/>
        <v>2</v>
      </c>
      <c r="C47" s="328" t="s">
        <v>937</v>
      </c>
      <c r="D47" s="325">
        <f t="shared" si="14"/>
        <v>0.59084585329069883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outlinePr summaryBelow="0" summaryRight="0"/>
  </sheetPr>
  <dimension ref="B1:R47"/>
  <sheetViews>
    <sheetView showGridLines="0" zoomScale="50" zoomScaleNormal="50" workbookViewId="0">
      <selection activeCell="G44" sqref="G44"/>
    </sheetView>
  </sheetViews>
  <sheetFormatPr defaultColWidth="12.54296875" defaultRowHeight="15.75" customHeight="1"/>
  <cols>
    <col min="1" max="1" width="1.54296875" customWidth="1"/>
    <col min="2" max="2" width="26.453125" bestFit="1" customWidth="1"/>
    <col min="3" max="3" width="24.1796875" bestFit="1" customWidth="1"/>
    <col min="4" max="4" width="18.26953125" bestFit="1" customWidth="1"/>
    <col min="5" max="5" width="10.7265625" bestFit="1" customWidth="1"/>
    <col min="6" max="6" width="26.1796875" bestFit="1" customWidth="1"/>
    <col min="7" max="7" width="30.7265625" bestFit="1" customWidth="1"/>
    <col min="8" max="8" width="13.81640625" bestFit="1" customWidth="1"/>
    <col min="9" max="9" width="12.26953125" bestFit="1" customWidth="1"/>
    <col min="10" max="10" width="10.7265625" bestFit="1" customWidth="1"/>
    <col min="11" max="11" width="14.81640625" bestFit="1" customWidth="1"/>
    <col min="12" max="12" width="15.26953125" bestFit="1" customWidth="1"/>
    <col min="13" max="13" width="11.81640625" bestFit="1" customWidth="1"/>
    <col min="14" max="14" width="15.81640625" bestFit="1" customWidth="1"/>
    <col min="15" max="15" width="18" bestFit="1" customWidth="1"/>
    <col min="16" max="17" width="15" bestFit="1" customWidth="1"/>
    <col min="18" max="18" width="18" bestFit="1" customWidth="1"/>
  </cols>
  <sheetData>
    <row r="1" spans="2:17" ht="15" thickBot="1">
      <c r="B1" s="273"/>
      <c r="C1" s="274" t="s">
        <v>852</v>
      </c>
      <c r="D1" s="274" t="s">
        <v>853</v>
      </c>
      <c r="E1" s="274" t="s">
        <v>853</v>
      </c>
      <c r="F1" s="274" t="s">
        <v>853</v>
      </c>
      <c r="G1" s="274" t="s">
        <v>853</v>
      </c>
      <c r="H1" s="274" t="s">
        <v>853</v>
      </c>
      <c r="I1" s="274" t="s">
        <v>853</v>
      </c>
      <c r="J1" s="274" t="s">
        <v>853</v>
      </c>
      <c r="K1" s="274" t="s">
        <v>853</v>
      </c>
      <c r="L1" s="274" t="s">
        <v>853</v>
      </c>
      <c r="M1" s="274" t="s">
        <v>853</v>
      </c>
      <c r="N1" s="274" t="s">
        <v>852</v>
      </c>
      <c r="O1" s="274" t="s">
        <v>852</v>
      </c>
      <c r="P1" s="274" t="s">
        <v>853</v>
      </c>
      <c r="Q1" s="274" t="s">
        <v>853</v>
      </c>
    </row>
    <row r="2" spans="2:17" ht="15" customHeight="1">
      <c r="B2" s="278" t="s">
        <v>854</v>
      </c>
      <c r="C2" s="279" t="s">
        <v>108</v>
      </c>
      <c r="D2" s="279" t="s">
        <v>109</v>
      </c>
      <c r="E2" s="279" t="s">
        <v>110</v>
      </c>
      <c r="F2" s="279" t="s">
        <v>111</v>
      </c>
      <c r="G2" s="279" t="s">
        <v>112</v>
      </c>
      <c r="H2" s="279" t="s">
        <v>113</v>
      </c>
      <c r="I2" s="279" t="s">
        <v>114</v>
      </c>
      <c r="J2" s="279" t="s">
        <v>115</v>
      </c>
      <c r="K2" s="279" t="s">
        <v>116</v>
      </c>
      <c r="L2" s="279" t="s">
        <v>117</v>
      </c>
      <c r="M2" s="279" t="s">
        <v>118</v>
      </c>
      <c r="N2" s="279" t="s">
        <v>119</v>
      </c>
      <c r="O2" s="279" t="s">
        <v>120</v>
      </c>
      <c r="P2" s="279" t="s">
        <v>121</v>
      </c>
      <c r="Q2" s="280" t="s">
        <v>122</v>
      </c>
    </row>
    <row r="3" spans="2:17" ht="14">
      <c r="B3" s="281" t="s">
        <v>154</v>
      </c>
      <c r="C3" s="275">
        <f>INDEX('Company data'!$C$5:$V$64,MATCH($B3,'Company data'!$B$5:$B$64,0),MATCH(C$2,'Company data'!$C$4:$V$4,0))</f>
        <v>3368</v>
      </c>
      <c r="D3" s="275">
        <f>INDEX('Company data'!$C$5:$V$64,MATCH($B3,'Company data'!$B$5:$B$64,0),MATCH(D$2,'Company data'!$C$4:$V$4,0))</f>
        <v>70</v>
      </c>
      <c r="E3" s="275">
        <f>INDEX('Company data'!$C$5:$V$64,MATCH($B3,'Company data'!$B$5:$B$64,0),MATCH(E$2,'Company data'!$C$4:$V$4,0))</f>
        <v>66</v>
      </c>
      <c r="F3" s="275">
        <f>INDEX('Company data'!$C$5:$V$64,MATCH($B3,'Company data'!$B$5:$B$64,0),MATCH(F$2,'Company data'!$C$4:$V$4,0))</f>
        <v>78</v>
      </c>
      <c r="G3" s="276">
        <f>INDEX('Company data'!$C$5:$V$64,MATCH($B3,'Company data'!$B$5:$B$64,0),MATCH(G$2,'Company data'!$C$4:$V$4,0))</f>
        <v>0.12</v>
      </c>
      <c r="H3" s="275">
        <f>INDEX('Company data'!$C$5:$V$64,MATCH($B3,'Company data'!$B$5:$B$64,0),MATCH(H$2,'Company data'!$C$4:$V$4,0))</f>
        <v>1232368.49</v>
      </c>
      <c r="I3" s="276">
        <f>INDEX('Company data'!$C$5:$V$64,MATCH($B3,'Company data'!$B$5:$B$64,0),MATCH(I$2,'Company data'!$C$4:$V$4,0))</f>
        <v>0.23</v>
      </c>
      <c r="J3" s="277">
        <f>INDEX('Company data'!$C$5:$V$64,MATCH($B3,'Company data'!$B$5:$B$64,0),MATCH(J$2,'Company data'!$C$4:$V$4,0))</f>
        <v>0.1018</v>
      </c>
      <c r="K3" s="275">
        <f>INDEX('Company data'!$C$5:$V$64,MATCH($B3,'Company data'!$B$5:$B$64,0),MATCH(K$2,'Company data'!$C$4:$V$4,0))</f>
        <v>2027293</v>
      </c>
      <c r="L3" s="277">
        <f>INDEX('Company data'!$C$5:$V$64,MATCH($B3,'Company data'!$B$5:$B$64,0),MATCH(L$2,'Company data'!$C$4:$V$4,0))</f>
        <v>0.1656</v>
      </c>
      <c r="M3" s="275">
        <f>INDEX('Company data'!$C$5:$V$64,MATCH($B3,'Company data'!$B$5:$B$64,0),MATCH(M$2,'Company data'!$C$4:$V$4,0))</f>
        <v>19</v>
      </c>
      <c r="N3" s="275">
        <f>INDEX('Company data'!$C$5:$V$64,MATCH($B3,'Company data'!$B$5:$B$64,0),MATCH(N$2,'Company data'!$C$4:$V$4,0))</f>
        <v>7688</v>
      </c>
      <c r="O3" s="275">
        <f>INDEX('Company data'!$C$5:$V$64,MATCH($B3,'Company data'!$B$5:$B$64,0),MATCH(O$2,'Company data'!$C$4:$V$4,0))</f>
        <v>0.09</v>
      </c>
      <c r="P3" s="277">
        <f>INDEX('Company data'!$C$5:$V$64,MATCH($B3,'Company data'!$B$5:$B$64,0),MATCH(P$2,'Company data'!$C$4:$V$4,0))</f>
        <v>0.46899999999999997</v>
      </c>
      <c r="Q3" s="282">
        <f>INDEX('Company data'!$C$5:$V$64,MATCH($B3,'Company data'!$B$5:$B$64,0),MATCH(Q$2,'Company data'!$C$4:$V$4,0))</f>
        <v>18.899999999999999</v>
      </c>
    </row>
    <row r="4" spans="2:17" ht="14">
      <c r="B4" s="281" t="s">
        <v>155</v>
      </c>
      <c r="C4" s="275">
        <f>INDEX('Company data'!$C$5:$V$64,MATCH($B4,'Company data'!$B$5:$B$64,0),MATCH(C$2,'Company data'!$C$4:$V$4,0))</f>
        <v>1392.95</v>
      </c>
      <c r="D4" s="275">
        <f>INDEX('Company data'!$C$5:$V$64,MATCH($B4,'Company data'!$B$5:$B$64,0),MATCH(D$2,'Company data'!$C$4:$V$4,0))</f>
        <v>81</v>
      </c>
      <c r="E4" s="275">
        <f>INDEX('Company data'!$C$5:$V$64,MATCH($B4,'Company data'!$B$5:$B$64,0),MATCH(E$2,'Company data'!$C$4:$V$4,0))</f>
        <v>62</v>
      </c>
      <c r="F4" s="275">
        <f>INDEX('Company data'!$C$5:$V$64,MATCH($B4,'Company data'!$B$5:$B$64,0),MATCH(F$2,'Company data'!$C$4:$V$4,0))</f>
        <v>80</v>
      </c>
      <c r="G4" s="276">
        <f>INDEX('Company data'!$C$5:$V$64,MATCH($B4,'Company data'!$B$5:$B$64,0),MATCH(G$2,'Company data'!$C$4:$V$4,0))</f>
        <v>0.1</v>
      </c>
      <c r="H4" s="275">
        <f>INDEX('Company data'!$C$5:$V$64,MATCH($B4,'Company data'!$B$5:$B$64,0),MATCH(H$2,'Company data'!$C$4:$V$4,0))</f>
        <v>578101.07999999996</v>
      </c>
      <c r="I4" s="276">
        <f>INDEX('Company data'!$C$5:$V$64,MATCH($B4,'Company data'!$B$5:$B$64,0),MATCH(I$2,'Company data'!$C$4:$V$4,0))</f>
        <v>0.18</v>
      </c>
      <c r="J4" s="277">
        <f>INDEX('Company data'!$C$5:$V$64,MATCH($B4,'Company data'!$B$5:$B$64,0),MATCH(J$2,'Company data'!$C$4:$V$4,0))</f>
        <v>0.14380000000000001</v>
      </c>
      <c r="K4" s="275">
        <f>INDEX('Company data'!$C$5:$V$64,MATCH($B4,'Company data'!$B$5:$B$64,0),MATCH(K$2,'Company data'!$C$4:$V$4,0))</f>
        <v>7105230</v>
      </c>
      <c r="L4" s="277">
        <f>INDEX('Company data'!$C$5:$V$64,MATCH($B4,'Company data'!$B$5:$B$64,0),MATCH(L$2,'Company data'!$C$4:$V$4,0))</f>
        <v>0.17169999999999999</v>
      </c>
      <c r="M4" s="275">
        <f>INDEX('Company data'!$C$5:$V$64,MATCH($B4,'Company data'!$B$5:$B$64,0),MATCH(M$2,'Company data'!$C$4:$V$4,0))</f>
        <v>19</v>
      </c>
      <c r="N4" s="275">
        <f>INDEX('Company data'!$C$5:$V$64,MATCH($B4,'Company data'!$B$5:$B$64,0),MATCH(N$2,'Company data'!$C$4:$V$4,0))</f>
        <v>8483</v>
      </c>
      <c r="O4" s="275">
        <f>INDEX('Company data'!$C$5:$V$64,MATCH($B4,'Company data'!$B$5:$B$64,0),MATCH(O$2,'Company data'!$C$4:$V$4,0))</f>
        <v>0.11</v>
      </c>
      <c r="P4" s="277">
        <f>INDEX('Company data'!$C$5:$V$64,MATCH($B4,'Company data'!$B$5:$B$64,0),MATCH(P$2,'Company data'!$C$4:$V$4,0))</f>
        <v>0.318</v>
      </c>
      <c r="Q4" s="282">
        <f>INDEX('Company data'!$C$5:$V$64,MATCH($B4,'Company data'!$B$5:$B$64,0),MATCH(Q$2,'Company data'!$C$4:$V$4,0))</f>
        <v>14.5</v>
      </c>
    </row>
    <row r="5" spans="2:17" ht="14">
      <c r="B5" s="281" t="s">
        <v>156</v>
      </c>
      <c r="C5" s="275">
        <f>INDEX('Company data'!$C$5:$V$64,MATCH($B5,'Company data'!$B$5:$B$64,0),MATCH(C$2,'Company data'!$C$4:$V$4,0))</f>
        <v>7008.15</v>
      </c>
      <c r="D5" s="275">
        <f>INDEX('Company data'!$C$5:$V$64,MATCH($B5,'Company data'!$B$5:$B$64,0),MATCH(D$2,'Company data'!$C$4:$V$4,0))</f>
        <v>43</v>
      </c>
      <c r="E5" s="275">
        <f>INDEX('Company data'!$C$5:$V$64,MATCH($B5,'Company data'!$B$5:$B$64,0),MATCH(E$2,'Company data'!$C$4:$V$4,0))</f>
        <v>62</v>
      </c>
      <c r="F5" s="275">
        <f>INDEX('Company data'!$C$5:$V$64,MATCH($B5,'Company data'!$B$5:$B$64,0),MATCH(F$2,'Company data'!$C$4:$V$4,0))</f>
        <v>75</v>
      </c>
      <c r="G5" s="276">
        <f>INDEX('Company data'!$C$5:$V$64,MATCH($B5,'Company data'!$B$5:$B$64,0),MATCH(G$2,'Company data'!$C$4:$V$4,0))</f>
        <v>0.15</v>
      </c>
      <c r="H5" s="275">
        <f>INDEX('Company data'!$C$5:$V$64,MATCH($B5,'Company data'!$B$5:$B$64,0),MATCH(H$2,'Company data'!$C$4:$V$4,0))</f>
        <v>43831.08</v>
      </c>
      <c r="I5" s="276">
        <f>INDEX('Company data'!$C$5:$V$64,MATCH($B5,'Company data'!$B$5:$B$64,0),MATCH(I$2,'Company data'!$C$4:$V$4,0))</f>
        <v>0.03</v>
      </c>
      <c r="J5" s="277">
        <f>INDEX('Company data'!$C$5:$V$64,MATCH($B5,'Company data'!$B$5:$B$64,0),MATCH(J$2,'Company data'!$C$4:$V$4,0))</f>
        <v>0.42670000000000002</v>
      </c>
      <c r="K5" s="275">
        <f>INDEX('Company data'!$C$5:$V$64,MATCH($B5,'Company data'!$B$5:$B$64,0),MATCH(K$2,'Company data'!$C$4:$V$4,0))</f>
        <v>217606</v>
      </c>
      <c r="L5" s="277">
        <f>INDEX('Company data'!$C$5:$V$64,MATCH($B5,'Company data'!$B$5:$B$64,0),MATCH(L$2,'Company data'!$C$4:$V$4,0))</f>
        <v>0.23910000000000001</v>
      </c>
      <c r="M5" s="275">
        <f>INDEX('Company data'!$C$5:$V$64,MATCH($B5,'Company data'!$B$5:$B$64,0),MATCH(M$2,'Company data'!$C$4:$V$4,0))</f>
        <v>17</v>
      </c>
      <c r="N5" s="275">
        <f>INDEX('Company data'!$C$5:$V$64,MATCH($B5,'Company data'!$B$5:$B$64,0),MATCH(N$2,'Company data'!$C$4:$V$4,0))</f>
        <v>185</v>
      </c>
      <c r="O5" s="275">
        <f>INDEX('Company data'!$C$5:$V$64,MATCH($B5,'Company data'!$B$5:$B$64,0),MATCH(O$2,'Company data'!$C$4:$V$4,0))</f>
        <v>0.09</v>
      </c>
      <c r="P5" s="277">
        <f>INDEX('Company data'!$C$5:$V$64,MATCH($B5,'Company data'!$B$5:$B$64,0),MATCH(P$2,'Company data'!$C$4:$V$4,0))</f>
        <v>0.41099999999999998</v>
      </c>
      <c r="Q5" s="282">
        <f>INDEX('Company data'!$C$5:$V$64,MATCH($B5,'Company data'!$B$5:$B$64,0),MATCH(Q$2,'Company data'!$C$4:$V$4,0))</f>
        <v>40.200000000000003</v>
      </c>
    </row>
    <row r="6" spans="2:17" ht="14">
      <c r="B6" s="281" t="s">
        <v>157</v>
      </c>
      <c r="C6" s="275">
        <f>INDEX('Company data'!$C$5:$V$64,MATCH($B6,'Company data'!$B$5:$B$64,0),MATCH(C$2,'Company data'!$C$4:$V$4,0))</f>
        <v>896.25</v>
      </c>
      <c r="D6" s="275">
        <f>INDEX('Company data'!$C$5:$V$64,MATCH($B6,'Company data'!$B$5:$B$64,0),MATCH(D$2,'Company data'!$C$4:$V$4,0))</f>
        <v>44</v>
      </c>
      <c r="E6" s="275">
        <f>INDEX('Company data'!$C$5:$V$64,MATCH($B6,'Company data'!$B$5:$B$64,0),MATCH(E$2,'Company data'!$C$4:$V$4,0))</f>
        <v>63</v>
      </c>
      <c r="F6" s="275">
        <f>INDEX('Company data'!$C$5:$V$64,MATCH($B6,'Company data'!$B$5:$B$64,0),MATCH(F$2,'Company data'!$C$4:$V$4,0))</f>
        <v>80</v>
      </c>
      <c r="G6" s="276">
        <f>INDEX('Company data'!$C$5:$V$64,MATCH($B6,'Company data'!$B$5:$B$64,0),MATCH(G$2,'Company data'!$C$4:$V$4,0))</f>
        <v>0.2</v>
      </c>
      <c r="H6" s="275">
        <f>INDEX('Company data'!$C$5:$V$64,MATCH($B6,'Company data'!$B$5:$B$64,0),MATCH(H$2,'Company data'!$C$4:$V$4,0))</f>
        <v>13647.65</v>
      </c>
      <c r="I6" s="276">
        <f>INDEX('Company data'!$C$5:$V$64,MATCH($B6,'Company data'!$B$5:$B$64,0),MATCH(I$2,'Company data'!$C$4:$V$4,0))</f>
        <v>0.02</v>
      </c>
      <c r="J6" s="277">
        <f>INDEX('Company data'!$C$5:$V$64,MATCH($B6,'Company data'!$B$5:$B$64,0),MATCH(J$2,'Company data'!$C$4:$V$4,0))</f>
        <v>-4.8300000000000003E-2</v>
      </c>
      <c r="K6" s="275">
        <f>INDEX('Company data'!$C$5:$V$64,MATCH($B6,'Company data'!$B$5:$B$64,0),MATCH(K$2,'Company data'!$C$4:$V$4,0))</f>
        <v>336209</v>
      </c>
      <c r="L6" s="277">
        <f>INDEX('Company data'!$C$5:$V$64,MATCH($B6,'Company data'!$B$5:$B$64,0),MATCH(L$2,'Company data'!$C$4:$V$4,0))</f>
        <v>0.24379999999999999</v>
      </c>
      <c r="M6" s="275">
        <f>INDEX('Company data'!$C$5:$V$64,MATCH($B6,'Company data'!$B$5:$B$64,0),MATCH(M$2,'Company data'!$C$4:$V$4,0))</f>
        <v>13</v>
      </c>
      <c r="N6" s="275">
        <f>INDEX('Company data'!$C$5:$V$64,MATCH($B6,'Company data'!$B$5:$B$64,0),MATCH(N$2,'Company data'!$C$4:$V$4,0))</f>
        <v>543</v>
      </c>
      <c r="O6" s="275">
        <f>INDEX('Company data'!$C$5:$V$64,MATCH($B6,'Company data'!$B$5:$B$64,0),MATCH(O$2,'Company data'!$C$4:$V$4,0))</f>
        <v>0.66</v>
      </c>
      <c r="P6" s="277">
        <f>INDEX('Company data'!$C$5:$V$64,MATCH($B6,'Company data'!$B$5:$B$64,0),MATCH(P$2,'Company data'!$C$4:$V$4,0))</f>
        <v>0.28899999999999998</v>
      </c>
      <c r="Q6" s="282">
        <f>INDEX('Company data'!$C$5:$V$64,MATCH($B6,'Company data'!$B$5:$B$64,0),MATCH(Q$2,'Company data'!$C$4:$V$4,0))</f>
        <v>37.5</v>
      </c>
    </row>
    <row r="7" spans="2:17" ht="14.5" thickBot="1">
      <c r="B7" s="283" t="s">
        <v>158</v>
      </c>
      <c r="C7" s="284">
        <f>INDEX('Company data'!$C$5:$V$64,MATCH($B7,'Company data'!$B$5:$B$64,0),MATCH(C$2,'Company data'!$C$4:$V$4,0))</f>
        <v>423.7</v>
      </c>
      <c r="D7" s="284">
        <f>INDEX('Company data'!$C$5:$V$64,MATCH($B7,'Company data'!$B$5:$B$64,0),MATCH(D$2,'Company data'!$C$4:$V$4,0))</f>
        <v>42</v>
      </c>
      <c r="E7" s="284">
        <f>INDEX('Company data'!$C$5:$V$64,MATCH($B7,'Company data'!$B$5:$B$64,0),MATCH(E$2,'Company data'!$C$4:$V$4,0))</f>
        <v>55</v>
      </c>
      <c r="F7" s="284">
        <f>INDEX('Company data'!$C$5:$V$64,MATCH($B7,'Company data'!$B$5:$B$64,0),MATCH(F$2,'Company data'!$C$4:$V$4,0))</f>
        <v>59</v>
      </c>
      <c r="G7" s="285">
        <f>INDEX('Company data'!$C$5:$V$64,MATCH($B7,'Company data'!$B$5:$B$64,0),MATCH(G$2,'Company data'!$C$4:$V$4,0))</f>
        <v>0.25</v>
      </c>
      <c r="H7" s="284">
        <f>INDEX('Company data'!$C$5:$V$64,MATCH($B7,'Company data'!$B$5:$B$64,0),MATCH(H$2,'Company data'!$C$4:$V$4,0))</f>
        <v>8692.9699999999993</v>
      </c>
      <c r="I7" s="285">
        <f>INDEX('Company data'!$C$5:$V$64,MATCH($B7,'Company data'!$B$5:$B$64,0),MATCH(I$2,'Company data'!$C$4:$V$4,0))</f>
        <v>0.01</v>
      </c>
      <c r="J7" s="286">
        <f>INDEX('Company data'!$C$5:$V$64,MATCH($B7,'Company data'!$B$5:$B$64,0),MATCH(J$2,'Company data'!$C$4:$V$4,0))</f>
        <v>-0.55100000000000005</v>
      </c>
      <c r="K7" s="284">
        <f>INDEX('Company data'!$C$5:$V$64,MATCH($B7,'Company data'!$B$5:$B$64,0),MATCH(K$2,'Company data'!$C$4:$V$4,0))</f>
        <v>559595</v>
      </c>
      <c r="L7" s="286">
        <f>INDEX('Company data'!$C$5:$V$64,MATCH($B7,'Company data'!$B$5:$B$64,0),MATCH(L$2,'Company data'!$C$4:$V$4,0))</f>
        <v>0.28770000000000001</v>
      </c>
      <c r="M7" s="284">
        <f>INDEX('Company data'!$C$5:$V$64,MATCH($B7,'Company data'!$B$5:$B$64,0),MATCH(M$2,'Company data'!$C$4:$V$4,0))</f>
        <v>11</v>
      </c>
      <c r="N7" s="284">
        <f>INDEX('Company data'!$C$5:$V$64,MATCH($B7,'Company data'!$B$5:$B$64,0),MATCH(N$2,'Company data'!$C$4:$V$4,0))</f>
        <v>21.5</v>
      </c>
      <c r="O7" s="284">
        <f>INDEX('Company data'!$C$5:$V$64,MATCH($B7,'Company data'!$B$5:$B$64,0),MATCH(O$2,'Company data'!$C$4:$V$4,0))</f>
        <v>0.02</v>
      </c>
      <c r="P7" s="286">
        <f>INDEX('Company data'!$C$5:$V$64,MATCH($B7,'Company data'!$B$5:$B$64,0),MATCH(P$2,'Company data'!$C$4:$V$4,0))</f>
        <v>0.13800000000000001</v>
      </c>
      <c r="Q7" s="287">
        <f>INDEX('Company data'!$C$5:$V$64,MATCH($B7,'Company data'!$B$5:$B$64,0),MATCH(Q$2,'Company data'!$C$4:$V$4,0))</f>
        <v>40.5</v>
      </c>
    </row>
    <row r="8" spans="2:17" ht="13" thickBot="1"/>
    <row r="9" spans="2:17" ht="15" customHeight="1" thickBot="1">
      <c r="B9" s="288" t="s">
        <v>855</v>
      </c>
      <c r="C9" s="289">
        <f>Dashboard!C18</f>
        <v>8</v>
      </c>
      <c r="D9" s="289">
        <f>Dashboard!C19</f>
        <v>9</v>
      </c>
      <c r="E9" s="289">
        <f>Dashboard!C20</f>
        <v>9</v>
      </c>
      <c r="F9" s="289">
        <f>Dashboard!C21</f>
        <v>9</v>
      </c>
      <c r="G9" s="289">
        <f>Dashboard!C22</f>
        <v>6</v>
      </c>
      <c r="H9" s="289">
        <f>Dashboard!C23</f>
        <v>7</v>
      </c>
      <c r="I9" s="289">
        <f>Dashboard!C24</f>
        <v>4</v>
      </c>
      <c r="J9" s="289">
        <f>Dashboard!C25</f>
        <v>8</v>
      </c>
      <c r="K9" s="289">
        <f>Dashboard!C26</f>
        <v>3</v>
      </c>
      <c r="L9" s="289">
        <f>Dashboard!C27</f>
        <v>5</v>
      </c>
      <c r="M9" s="289">
        <f>Dashboard!C28</f>
        <v>8</v>
      </c>
      <c r="N9" s="289">
        <f>Dashboard!C29</f>
        <v>7</v>
      </c>
      <c r="O9" s="289">
        <f>Dashboard!C30</f>
        <v>4</v>
      </c>
      <c r="P9" s="289">
        <f>Dashboard!C31</f>
        <v>6</v>
      </c>
      <c r="Q9" s="290">
        <f>Dashboard!C32</f>
        <v>5</v>
      </c>
    </row>
    <row r="10" spans="2:17" ht="15" customHeight="1" thickBot="1">
      <c r="B10" s="293" t="s">
        <v>856</v>
      </c>
      <c r="C10" s="291">
        <f t="shared" ref="C10:Q10" si="0">C9/SUM($C$9:$Q$9)</f>
        <v>8.1632653061224483E-2</v>
      </c>
      <c r="D10" s="291">
        <f t="shared" si="0"/>
        <v>9.1836734693877556E-2</v>
      </c>
      <c r="E10" s="291">
        <f t="shared" si="0"/>
        <v>9.1836734693877556E-2</v>
      </c>
      <c r="F10" s="291">
        <f t="shared" si="0"/>
        <v>9.1836734693877556E-2</v>
      </c>
      <c r="G10" s="291">
        <f t="shared" si="0"/>
        <v>6.1224489795918366E-2</v>
      </c>
      <c r="H10" s="291">
        <f t="shared" si="0"/>
        <v>7.1428571428571425E-2</v>
      </c>
      <c r="I10" s="291">
        <f t="shared" si="0"/>
        <v>4.0816326530612242E-2</v>
      </c>
      <c r="J10" s="291">
        <f t="shared" si="0"/>
        <v>8.1632653061224483E-2</v>
      </c>
      <c r="K10" s="291">
        <f t="shared" si="0"/>
        <v>3.0612244897959183E-2</v>
      </c>
      <c r="L10" s="291">
        <f t="shared" si="0"/>
        <v>5.1020408163265307E-2</v>
      </c>
      <c r="M10" s="291">
        <f t="shared" si="0"/>
        <v>8.1632653061224483E-2</v>
      </c>
      <c r="N10" s="291">
        <f t="shared" si="0"/>
        <v>7.1428571428571425E-2</v>
      </c>
      <c r="O10" s="291">
        <f t="shared" si="0"/>
        <v>4.0816326530612242E-2</v>
      </c>
      <c r="P10" s="291">
        <f t="shared" si="0"/>
        <v>6.1224489795918366E-2</v>
      </c>
      <c r="Q10" s="292">
        <f t="shared" si="0"/>
        <v>5.1020408163265307E-2</v>
      </c>
    </row>
    <row r="11" spans="2:17" ht="13" thickBot="1"/>
    <row r="12" spans="2:17" ht="15" customHeight="1" thickBot="1">
      <c r="B12" s="296" t="s">
        <v>857</v>
      </c>
      <c r="C12" s="294">
        <f t="shared" ref="C12:Q12" si="1">SQRT(SUMSQ(C3:C7))</f>
        <v>7961.1987713848721</v>
      </c>
      <c r="D12" s="294">
        <f t="shared" si="1"/>
        <v>130.42239071570495</v>
      </c>
      <c r="E12" s="294">
        <f t="shared" si="1"/>
        <v>137.97825915701358</v>
      </c>
      <c r="F12" s="294">
        <f t="shared" si="1"/>
        <v>167.30212192318422</v>
      </c>
      <c r="G12" s="294">
        <f t="shared" si="1"/>
        <v>0.38652296180175377</v>
      </c>
      <c r="H12" s="294">
        <f t="shared" si="1"/>
        <v>1362026.4107182196</v>
      </c>
      <c r="I12" s="294">
        <f t="shared" si="1"/>
        <v>0.29444863728670911</v>
      </c>
      <c r="J12" s="294">
        <f t="shared" si="1"/>
        <v>0.72045017870772998</v>
      </c>
      <c r="K12" s="294">
        <f t="shared" si="1"/>
        <v>7420764.4948274028</v>
      </c>
      <c r="L12" s="294">
        <f t="shared" si="1"/>
        <v>0.50624380490036613</v>
      </c>
      <c r="M12" s="294">
        <f t="shared" si="1"/>
        <v>36.069377593742864</v>
      </c>
      <c r="N12" s="294">
        <f t="shared" si="1"/>
        <v>11462.816811325216</v>
      </c>
      <c r="O12" s="294">
        <f t="shared" si="1"/>
        <v>0.68139562663697806</v>
      </c>
      <c r="P12" s="294">
        <f t="shared" si="1"/>
        <v>0.76978633399145235</v>
      </c>
      <c r="Q12" s="295">
        <f t="shared" si="1"/>
        <v>72.318738927058178</v>
      </c>
    </row>
    <row r="13" spans="2:17" ht="13" thickBot="1"/>
    <row r="14" spans="2:17" ht="15" customHeight="1" thickBot="1">
      <c r="B14" s="296" t="s">
        <v>858</v>
      </c>
      <c r="C14" s="311">
        <f t="shared" ref="C14:Q14" si="2">C3/C$12</f>
        <v>0.42305186652362997</v>
      </c>
      <c r="D14" s="312">
        <f t="shared" si="2"/>
        <v>0.53671765726627552</v>
      </c>
      <c r="E14" s="312">
        <f t="shared" si="2"/>
        <v>0.47833622777407792</v>
      </c>
      <c r="F14" s="312">
        <f t="shared" si="2"/>
        <v>0.46622241907854128</v>
      </c>
      <c r="G14" s="312">
        <f t="shared" si="2"/>
        <v>0.31046021028253312</v>
      </c>
      <c r="H14" s="312">
        <f t="shared" si="2"/>
        <v>0.90480513468909252</v>
      </c>
      <c r="I14" s="312">
        <f t="shared" si="2"/>
        <v>0.78112095243302315</v>
      </c>
      <c r="J14" s="312">
        <f t="shared" si="2"/>
        <v>0.14130054097925057</v>
      </c>
      <c r="K14" s="312">
        <f t="shared" si="2"/>
        <v>0.2731919334474382</v>
      </c>
      <c r="L14" s="312">
        <f t="shared" si="2"/>
        <v>0.3271151140952564</v>
      </c>
      <c r="M14" s="312">
        <f t="shared" si="2"/>
        <v>0.52676262435135635</v>
      </c>
      <c r="N14" s="312">
        <f t="shared" si="2"/>
        <v>0.67069029598416752</v>
      </c>
      <c r="O14" s="312">
        <f t="shared" si="2"/>
        <v>0.13208185741401685</v>
      </c>
      <c r="P14" s="312">
        <f t="shared" si="2"/>
        <v>0.60925997161857604</v>
      </c>
      <c r="Q14" s="313">
        <f t="shared" si="2"/>
        <v>0.26134305271919683</v>
      </c>
    </row>
    <row r="15" spans="2:17" ht="15" customHeight="1">
      <c r="C15" s="314">
        <f t="shared" ref="C15:Q15" si="3">C4/C$12</f>
        <v>0.17496736860869669</v>
      </c>
      <c r="D15" s="315">
        <f t="shared" si="3"/>
        <v>0.62105900340811881</v>
      </c>
      <c r="E15" s="315">
        <f t="shared" si="3"/>
        <v>0.44934615336352773</v>
      </c>
      <c r="F15" s="315">
        <f t="shared" si="3"/>
        <v>0.47817684008055517</v>
      </c>
      <c r="G15" s="315">
        <f t="shared" si="3"/>
        <v>0.25871684190211097</v>
      </c>
      <c r="H15" s="315">
        <f t="shared" si="3"/>
        <v>0.42444190175075786</v>
      </c>
      <c r="I15" s="315">
        <f t="shared" si="3"/>
        <v>0.61131204973019204</v>
      </c>
      <c r="J15" s="315">
        <f t="shared" si="3"/>
        <v>0.19959742429092567</v>
      </c>
      <c r="K15" s="315">
        <f t="shared" si="3"/>
        <v>0.95747951642349738</v>
      </c>
      <c r="L15" s="315">
        <f t="shared" si="3"/>
        <v>0.33916464426422416</v>
      </c>
      <c r="M15" s="315">
        <f t="shared" si="3"/>
        <v>0.52676262435135635</v>
      </c>
      <c r="N15" s="315">
        <f t="shared" si="3"/>
        <v>0.74004497669532943</v>
      </c>
      <c r="O15" s="315">
        <f t="shared" si="3"/>
        <v>0.16143338128379839</v>
      </c>
      <c r="P15" s="315">
        <f t="shared" si="3"/>
        <v>0.41310164386931175</v>
      </c>
      <c r="Q15" s="316">
        <f t="shared" si="3"/>
        <v>0.20050128383218807</v>
      </c>
    </row>
    <row r="16" spans="2:17" ht="15" customHeight="1">
      <c r="C16" s="314">
        <f t="shared" ref="C16:Q16" si="4">C5/C$12</f>
        <v>0.88028828336626408</v>
      </c>
      <c r="D16" s="315">
        <f t="shared" si="4"/>
        <v>0.32969798946356921</v>
      </c>
      <c r="E16" s="315">
        <f t="shared" si="4"/>
        <v>0.44934615336352773</v>
      </c>
      <c r="F16" s="315">
        <f t="shared" si="4"/>
        <v>0.44829078757552043</v>
      </c>
      <c r="G16" s="315">
        <f t="shared" si="4"/>
        <v>0.3880752628531664</v>
      </c>
      <c r="H16" s="315">
        <f t="shared" si="4"/>
        <v>3.2180785669851386E-2</v>
      </c>
      <c r="I16" s="315">
        <f t="shared" si="4"/>
        <v>0.10188534162169867</v>
      </c>
      <c r="J16" s="315">
        <f t="shared" si="4"/>
        <v>0.59226857402599431</v>
      </c>
      <c r="K16" s="315">
        <f t="shared" si="4"/>
        <v>2.9323932884769609E-2</v>
      </c>
      <c r="L16" s="315">
        <f t="shared" si="4"/>
        <v>0.47230207596724527</v>
      </c>
      <c r="M16" s="315">
        <f t="shared" si="4"/>
        <v>0.47131392705121355</v>
      </c>
      <c r="N16" s="315">
        <f t="shared" si="4"/>
        <v>1.6139139536559703E-2</v>
      </c>
      <c r="O16" s="315">
        <f t="shared" si="4"/>
        <v>0.13208185741401685</v>
      </c>
      <c r="P16" s="315">
        <f t="shared" si="4"/>
        <v>0.53391438877448771</v>
      </c>
      <c r="Q16" s="316">
        <f t="shared" si="4"/>
        <v>0.55587252483130767</v>
      </c>
    </row>
    <row r="17" spans="2:18" ht="15" customHeight="1">
      <c r="C17" s="314">
        <f t="shared" ref="C17:Q17" si="5">C6/C$12</f>
        <v>0.11257726703438342</v>
      </c>
      <c r="D17" s="315">
        <f t="shared" si="5"/>
        <v>0.33736538456737319</v>
      </c>
      <c r="E17" s="315">
        <f t="shared" si="5"/>
        <v>0.45659367196616529</v>
      </c>
      <c r="F17" s="315">
        <f t="shared" si="5"/>
        <v>0.47817684008055517</v>
      </c>
      <c r="G17" s="315">
        <f t="shared" si="5"/>
        <v>0.51743368380422194</v>
      </c>
      <c r="H17" s="315">
        <f t="shared" si="5"/>
        <v>1.0020106726714178E-2</v>
      </c>
      <c r="I17" s="315">
        <f t="shared" si="5"/>
        <v>6.7923561081132455E-2</v>
      </c>
      <c r="J17" s="315">
        <f t="shared" si="5"/>
        <v>-6.7041415808426361E-2</v>
      </c>
      <c r="K17" s="315">
        <f t="shared" si="5"/>
        <v>4.5306517978619641E-2</v>
      </c>
      <c r="L17" s="315">
        <f t="shared" si="5"/>
        <v>0.48158614019579415</v>
      </c>
      <c r="M17" s="315">
        <f t="shared" si="5"/>
        <v>0.36041653245092797</v>
      </c>
      <c r="N17" s="315">
        <f t="shared" si="5"/>
        <v>4.7370555504604964E-2</v>
      </c>
      <c r="O17" s="315">
        <f t="shared" si="5"/>
        <v>0.96860028770279027</v>
      </c>
      <c r="P17" s="315">
        <f t="shared" si="5"/>
        <v>0.37542885244726754</v>
      </c>
      <c r="Q17" s="316">
        <f t="shared" si="5"/>
        <v>0.51853780301427954</v>
      </c>
    </row>
    <row r="18" spans="2:18" ht="15" customHeight="1" thickBot="1">
      <c r="C18" s="317">
        <f t="shared" ref="C18:Q18" si="6">C7/C$12</f>
        <v>5.3220628220327207E-2</v>
      </c>
      <c r="D18" s="318">
        <f t="shared" si="6"/>
        <v>0.32203059435976528</v>
      </c>
      <c r="E18" s="318">
        <f t="shared" si="6"/>
        <v>0.39861352314506493</v>
      </c>
      <c r="F18" s="318">
        <f t="shared" si="6"/>
        <v>0.35265541955940943</v>
      </c>
      <c r="G18" s="318">
        <f t="shared" si="6"/>
        <v>0.64679210475527738</v>
      </c>
      <c r="H18" s="318">
        <f t="shared" si="6"/>
        <v>6.3823799095173561E-3</v>
      </c>
      <c r="I18" s="318">
        <f t="shared" si="6"/>
        <v>3.3961780540566228E-2</v>
      </c>
      <c r="J18" s="318">
        <f t="shared" si="6"/>
        <v>-0.76479958820792804</v>
      </c>
      <c r="K18" s="318">
        <f t="shared" si="6"/>
        <v>7.5409346353743231E-2</v>
      </c>
      <c r="L18" s="318">
        <f t="shared" si="6"/>
        <v>0.56830325075607047</v>
      </c>
      <c r="M18" s="318">
        <f t="shared" si="6"/>
        <v>0.30496783515078524</v>
      </c>
      <c r="N18" s="318">
        <f t="shared" si="6"/>
        <v>1.8756297299245058E-3</v>
      </c>
      <c r="O18" s="318">
        <f t="shared" si="6"/>
        <v>2.9351523869781522E-2</v>
      </c>
      <c r="P18" s="318">
        <f t="shared" si="6"/>
        <v>0.17927052469800323</v>
      </c>
      <c r="Q18" s="319">
        <f t="shared" si="6"/>
        <v>0.5600208272554219</v>
      </c>
    </row>
    <row r="19" spans="2:18" ht="13" thickBot="1"/>
    <row r="20" spans="2:18" ht="15" customHeight="1" thickBot="1">
      <c r="B20" s="320" t="s">
        <v>859</v>
      </c>
      <c r="C20" s="297">
        <f t="shared" ref="C20:Q20" si="7">C$10*C14</f>
        <v>3.4534846246826935E-2</v>
      </c>
      <c r="D20" s="298">
        <f t="shared" si="7"/>
        <v>4.9290397095882447E-2</v>
      </c>
      <c r="E20" s="298">
        <f t="shared" si="7"/>
        <v>4.3928837244558178E-2</v>
      </c>
      <c r="F20" s="298">
        <f t="shared" si="7"/>
        <v>4.2816344609253792E-2</v>
      </c>
      <c r="G20" s="298">
        <f t="shared" si="7"/>
        <v>1.900776797648162E-2</v>
      </c>
      <c r="H20" s="298">
        <f t="shared" si="7"/>
        <v>6.4628938192078031E-2</v>
      </c>
      <c r="I20" s="298">
        <f t="shared" si="7"/>
        <v>3.1882487854409107E-2</v>
      </c>
      <c r="J20" s="298">
        <f t="shared" si="7"/>
        <v>1.1534738039122494E-2</v>
      </c>
      <c r="K20" s="298">
        <f t="shared" si="7"/>
        <v>8.3630183708399454E-3</v>
      </c>
      <c r="L20" s="298">
        <f t="shared" si="7"/>
        <v>1.6689546637513084E-2</v>
      </c>
      <c r="M20" s="298">
        <f t="shared" si="7"/>
        <v>4.3001030559294391E-2</v>
      </c>
      <c r="N20" s="298">
        <f t="shared" si="7"/>
        <v>4.7906449713154817E-2</v>
      </c>
      <c r="O20" s="298">
        <f t="shared" si="7"/>
        <v>5.3910962209802789E-3</v>
      </c>
      <c r="P20" s="298">
        <f t="shared" si="7"/>
        <v>3.7301630915423024E-2</v>
      </c>
      <c r="Q20" s="299">
        <f t="shared" si="7"/>
        <v>1.3333829220367186E-2</v>
      </c>
    </row>
    <row r="21" spans="2:18" ht="12.5">
      <c r="C21" s="300">
        <f t="shared" ref="C21:Q21" si="8">C$10*C15</f>
        <v>1.4283050498669117E-2</v>
      </c>
      <c r="D21" s="301">
        <f t="shared" si="8"/>
        <v>5.7036030925235404E-2</v>
      </c>
      <c r="E21" s="301">
        <f t="shared" si="8"/>
        <v>4.1266483472160713E-2</v>
      </c>
      <c r="F21" s="301">
        <f t="shared" si="8"/>
        <v>4.3914199599234663E-2</v>
      </c>
      <c r="G21" s="301">
        <f t="shared" si="8"/>
        <v>1.5839806647068019E-2</v>
      </c>
      <c r="H21" s="301">
        <f t="shared" si="8"/>
        <v>3.0317278696482701E-2</v>
      </c>
      <c r="I21" s="301">
        <f t="shared" si="8"/>
        <v>2.4951512233885389E-2</v>
      </c>
      <c r="J21" s="301">
        <f t="shared" si="8"/>
        <v>1.6293667289055156E-2</v>
      </c>
      <c r="K21" s="301">
        <f t="shared" si="8"/>
        <v>2.9310597441535632E-2</v>
      </c>
      <c r="L21" s="301">
        <f t="shared" si="8"/>
        <v>1.7304318584909398E-2</v>
      </c>
      <c r="M21" s="301">
        <f t="shared" si="8"/>
        <v>4.3001030559294391E-2</v>
      </c>
      <c r="N21" s="301">
        <f t="shared" si="8"/>
        <v>5.2860355478237815E-2</v>
      </c>
      <c r="O21" s="301">
        <f t="shared" si="8"/>
        <v>6.5891176034203417E-3</v>
      </c>
      <c r="P21" s="301">
        <f t="shared" si="8"/>
        <v>2.5291937379753781E-2</v>
      </c>
      <c r="Q21" s="302">
        <f t="shared" si="8"/>
        <v>1.0229657338376942E-2</v>
      </c>
    </row>
    <row r="22" spans="2:18" ht="12.5">
      <c r="C22" s="300">
        <f t="shared" ref="C22:Q22" si="9">C$10*C16</f>
        <v>7.1860268029899102E-2</v>
      </c>
      <c r="D22" s="301">
        <f t="shared" si="9"/>
        <v>3.0278386787470642E-2</v>
      </c>
      <c r="E22" s="301">
        <f t="shared" si="9"/>
        <v>4.1266483472160713E-2</v>
      </c>
      <c r="F22" s="301">
        <f t="shared" si="9"/>
        <v>4.1169562124282494E-2</v>
      </c>
      <c r="G22" s="301">
        <f t="shared" si="9"/>
        <v>2.3759709970602023E-2</v>
      </c>
      <c r="H22" s="301">
        <f t="shared" si="9"/>
        <v>2.2986275478465274E-3</v>
      </c>
      <c r="I22" s="301">
        <f t="shared" si="9"/>
        <v>4.1585853723142309E-3</v>
      </c>
      <c r="J22" s="301">
        <f t="shared" si="9"/>
        <v>4.8348455022530143E-2</v>
      </c>
      <c r="K22" s="301">
        <f t="shared" si="9"/>
        <v>8.9767141483988592E-4</v>
      </c>
      <c r="L22" s="301">
        <f t="shared" si="9"/>
        <v>2.4097044692206391E-2</v>
      </c>
      <c r="M22" s="301">
        <f t="shared" si="9"/>
        <v>3.8474606289894978E-2</v>
      </c>
      <c r="N22" s="301">
        <f t="shared" si="9"/>
        <v>1.1527956811828359E-3</v>
      </c>
      <c r="O22" s="301">
        <f t="shared" si="9"/>
        <v>5.3910962209802789E-3</v>
      </c>
      <c r="P22" s="301">
        <f t="shared" si="9"/>
        <v>3.2688636047417612E-2</v>
      </c>
      <c r="Q22" s="302">
        <f t="shared" si="9"/>
        <v>2.8360843103638147E-2</v>
      </c>
    </row>
    <row r="23" spans="2:18" ht="12.5">
      <c r="C23" s="300">
        <f t="shared" ref="C23:Q23" si="10">C$10*C17</f>
        <v>9.1899809823986454E-3</v>
      </c>
      <c r="D23" s="301">
        <f t="shared" si="10"/>
        <v>3.0982535317411825E-2</v>
      </c>
      <c r="E23" s="301">
        <f t="shared" si="10"/>
        <v>4.1932071915260077E-2</v>
      </c>
      <c r="F23" s="301">
        <f t="shared" si="10"/>
        <v>4.3914199599234663E-2</v>
      </c>
      <c r="G23" s="301">
        <f t="shared" si="10"/>
        <v>3.1679613294136037E-2</v>
      </c>
      <c r="H23" s="301">
        <f t="shared" si="10"/>
        <v>7.1572190905101263E-4</v>
      </c>
      <c r="I23" s="301">
        <f t="shared" si="10"/>
        <v>2.7723902482094877E-3</v>
      </c>
      <c r="J23" s="301">
        <f t="shared" si="10"/>
        <v>-5.4727686374225594E-3</v>
      </c>
      <c r="K23" s="301">
        <f t="shared" si="10"/>
        <v>1.3869342238352952E-3</v>
      </c>
      <c r="L23" s="301">
        <f t="shared" si="10"/>
        <v>2.4570721438560927E-2</v>
      </c>
      <c r="M23" s="301">
        <f t="shared" si="10"/>
        <v>2.9421757751096157E-2</v>
      </c>
      <c r="N23" s="301">
        <f t="shared" si="10"/>
        <v>3.3836111074717831E-3</v>
      </c>
      <c r="O23" s="301">
        <f t="shared" si="10"/>
        <v>3.9534705620522047E-2</v>
      </c>
      <c r="P23" s="301">
        <f t="shared" si="10"/>
        <v>2.2985439945751075E-2</v>
      </c>
      <c r="Q23" s="302">
        <f t="shared" si="10"/>
        <v>2.6456010357871405E-2</v>
      </c>
    </row>
    <row r="24" spans="2:18" ht="13" thickBot="1">
      <c r="C24" s="303">
        <f t="shared" ref="C24:Q24" si="11">C$10*C18</f>
        <v>4.3445410792103843E-3</v>
      </c>
      <c r="D24" s="304">
        <f t="shared" si="11"/>
        <v>2.9574238257529466E-2</v>
      </c>
      <c r="E24" s="304">
        <f t="shared" si="11"/>
        <v>3.6607364370465148E-2</v>
      </c>
      <c r="F24" s="304">
        <f t="shared" si="11"/>
        <v>3.2386722204435558E-2</v>
      </c>
      <c r="G24" s="304">
        <f t="shared" si="11"/>
        <v>3.9599516617670041E-2</v>
      </c>
      <c r="H24" s="304">
        <f t="shared" si="11"/>
        <v>4.5588427925123969E-4</v>
      </c>
      <c r="I24" s="304">
        <f t="shared" si="11"/>
        <v>1.3861951241047438E-3</v>
      </c>
      <c r="J24" s="304">
        <f t="shared" si="11"/>
        <v>-6.2432619445545144E-2</v>
      </c>
      <c r="K24" s="304">
        <f t="shared" si="11"/>
        <v>2.3084493781758133E-3</v>
      </c>
      <c r="L24" s="304">
        <f t="shared" si="11"/>
        <v>2.8995063814085228E-2</v>
      </c>
      <c r="M24" s="304">
        <f t="shared" si="11"/>
        <v>2.4895333481696751E-2</v>
      </c>
      <c r="N24" s="304">
        <f t="shared" si="11"/>
        <v>1.339735521374647E-4</v>
      </c>
      <c r="O24" s="304">
        <f t="shared" si="11"/>
        <v>1.1980213824400621E-3</v>
      </c>
      <c r="P24" s="304">
        <f t="shared" si="11"/>
        <v>1.0975746410081829E-2</v>
      </c>
      <c r="Q24" s="305">
        <f t="shared" si="11"/>
        <v>2.8572491186501119E-2</v>
      </c>
    </row>
    <row r="26" spans="2:18" ht="13" thickBot="1">
      <c r="R26" s="307" t="s">
        <v>860</v>
      </c>
    </row>
    <row r="27" spans="2:18" ht="13.5" thickBot="1">
      <c r="B27" s="293" t="s">
        <v>861</v>
      </c>
      <c r="C27" s="311">
        <f t="shared" ref="C27:C31" si="12">C20-MAX($C$20:$C$24)</f>
        <v>-3.7325421783072167E-2</v>
      </c>
      <c r="D27" s="312">
        <f t="shared" ref="D27:M27" si="13">D20-MIN(D$20:D$24)</f>
        <v>1.9716158838352982E-2</v>
      </c>
      <c r="E27" s="312">
        <f t="shared" si="13"/>
        <v>7.3214728740930296E-3</v>
      </c>
      <c r="F27" s="312">
        <f t="shared" si="13"/>
        <v>1.0429622404818234E-2</v>
      </c>
      <c r="G27" s="312">
        <f t="shared" si="13"/>
        <v>3.167961329413601E-3</v>
      </c>
      <c r="H27" s="312">
        <f t="shared" si="13"/>
        <v>6.4173053912826794E-2</v>
      </c>
      <c r="I27" s="312">
        <f t="shared" si="13"/>
        <v>3.0496292730304363E-2</v>
      </c>
      <c r="J27" s="312">
        <f t="shared" si="13"/>
        <v>7.3967357484667637E-2</v>
      </c>
      <c r="K27" s="312">
        <f t="shared" si="13"/>
        <v>7.4653469560000598E-3</v>
      </c>
      <c r="L27" s="312">
        <f t="shared" si="13"/>
        <v>0</v>
      </c>
      <c r="M27" s="312">
        <f t="shared" si="13"/>
        <v>1.8105697077597641E-2</v>
      </c>
      <c r="N27" s="312">
        <f t="shared" ref="N27:O27" si="14">N20-MAX(N$20:N$24)</f>
        <v>-4.9539057650829985E-3</v>
      </c>
      <c r="O27" s="312">
        <f t="shared" si="14"/>
        <v>-3.4143609399541766E-2</v>
      </c>
      <c r="P27" s="312">
        <f t="shared" ref="P27:Q27" si="15">P20-MIN(P$20:P$24)</f>
        <v>2.6325884505341193E-2</v>
      </c>
      <c r="Q27" s="313">
        <f t="shared" si="15"/>
        <v>3.104171881990244E-3</v>
      </c>
      <c r="R27" s="308">
        <f t="shared" ref="R27:R31" si="16">SQRT(SUMSQ(C27:Q27))</f>
        <v>0.12145068416964692</v>
      </c>
    </row>
    <row r="28" spans="2:18" ht="12.5">
      <c r="C28" s="314">
        <f t="shared" si="12"/>
        <v>-5.7577217531229984E-2</v>
      </c>
      <c r="D28" s="315">
        <f t="shared" ref="D28:M28" si="17">D21-MIN(D$20:D$24)</f>
        <v>2.7461792667705938E-2</v>
      </c>
      <c r="E28" s="315">
        <f t="shared" si="17"/>
        <v>4.6591191016955649E-3</v>
      </c>
      <c r="F28" s="315">
        <f t="shared" si="17"/>
        <v>1.1527477394799104E-2</v>
      </c>
      <c r="G28" s="315">
        <f t="shared" si="17"/>
        <v>0</v>
      </c>
      <c r="H28" s="315">
        <f t="shared" si="17"/>
        <v>2.9861394417231461E-2</v>
      </c>
      <c r="I28" s="315">
        <f t="shared" si="17"/>
        <v>2.3565317109780645E-2</v>
      </c>
      <c r="J28" s="315">
        <f t="shared" si="17"/>
        <v>7.8726286734600304E-2</v>
      </c>
      <c r="K28" s="315">
        <f t="shared" si="17"/>
        <v>2.8412926026695744E-2</v>
      </c>
      <c r="L28" s="315">
        <f t="shared" si="17"/>
        <v>6.1477194739631424E-4</v>
      </c>
      <c r="M28" s="315">
        <f t="shared" si="17"/>
        <v>1.8105697077597641E-2</v>
      </c>
      <c r="N28" s="315">
        <f t="shared" ref="N28:O28" si="18">N21-MAX(N$20:N$24)</f>
        <v>0</v>
      </c>
      <c r="O28" s="315">
        <f t="shared" si="18"/>
        <v>-3.2945588017101707E-2</v>
      </c>
      <c r="P28" s="315">
        <f t="shared" ref="P28:Q28" si="19">P21-MIN(P$20:P$24)</f>
        <v>1.4316190969671952E-2</v>
      </c>
      <c r="Q28" s="316">
        <f t="shared" si="19"/>
        <v>0</v>
      </c>
      <c r="R28" s="309">
        <f t="shared" si="16"/>
        <v>0.11955996445877169</v>
      </c>
    </row>
    <row r="29" spans="2:18" ht="12.5">
      <c r="C29" s="314">
        <f t="shared" si="12"/>
        <v>0</v>
      </c>
      <c r="D29" s="315">
        <f t="shared" ref="D29:M29" si="20">D22-MIN(D$20:D$24)</f>
        <v>7.0414852994117594E-4</v>
      </c>
      <c r="E29" s="315">
        <f t="shared" si="20"/>
        <v>4.6591191016955649E-3</v>
      </c>
      <c r="F29" s="315">
        <f t="shared" si="20"/>
        <v>8.7828399198469354E-3</v>
      </c>
      <c r="G29" s="315">
        <f t="shared" si="20"/>
        <v>7.9199033235340041E-3</v>
      </c>
      <c r="H29" s="315">
        <f t="shared" si="20"/>
        <v>1.8427432685952877E-3</v>
      </c>
      <c r="I29" s="315">
        <f t="shared" si="20"/>
        <v>2.7723902482094873E-3</v>
      </c>
      <c r="J29" s="315">
        <f t="shared" si="20"/>
        <v>0.11078107446807528</v>
      </c>
      <c r="K29" s="315">
        <f t="shared" si="20"/>
        <v>0</v>
      </c>
      <c r="L29" s="315">
        <f t="shared" si="20"/>
        <v>7.4074980546933074E-3</v>
      </c>
      <c r="M29" s="315">
        <f t="shared" si="20"/>
        <v>1.3579272808198227E-2</v>
      </c>
      <c r="N29" s="315">
        <f t="shared" ref="N29:O29" si="21">N22-MAX(N$20:N$24)</f>
        <v>-5.1707559797054978E-2</v>
      </c>
      <c r="O29" s="315">
        <f t="shared" si="21"/>
        <v>-3.4143609399541766E-2</v>
      </c>
      <c r="P29" s="315">
        <f t="shared" ref="P29:Q29" si="22">P22-MIN(P$20:P$24)</f>
        <v>2.171288963733578E-2</v>
      </c>
      <c r="Q29" s="316">
        <f t="shared" si="22"/>
        <v>1.8131185765261203E-2</v>
      </c>
      <c r="R29" s="309">
        <f t="shared" si="16"/>
        <v>0.13162260302278303</v>
      </c>
    </row>
    <row r="30" spans="2:18" ht="12.5">
      <c r="C30" s="314">
        <f t="shared" si="12"/>
        <v>-6.2670287047500453E-2</v>
      </c>
      <c r="D30" s="315">
        <f t="shared" ref="D30:M30" si="23">D23-MIN(D$20:D$24)</f>
        <v>1.4082970598823588E-3</v>
      </c>
      <c r="E30" s="315">
        <f t="shared" si="23"/>
        <v>5.3247075447949294E-3</v>
      </c>
      <c r="F30" s="315">
        <f t="shared" si="23"/>
        <v>1.1527477394799104E-2</v>
      </c>
      <c r="G30" s="315">
        <f t="shared" si="23"/>
        <v>1.5839806647068019E-2</v>
      </c>
      <c r="H30" s="315">
        <f t="shared" si="23"/>
        <v>2.5983762979977295E-4</v>
      </c>
      <c r="I30" s="315">
        <f t="shared" si="23"/>
        <v>1.3861951241047438E-3</v>
      </c>
      <c r="J30" s="315">
        <f t="shared" si="23"/>
        <v>5.6959850808122582E-2</v>
      </c>
      <c r="K30" s="315">
        <f t="shared" si="23"/>
        <v>4.8926280899540926E-4</v>
      </c>
      <c r="L30" s="315">
        <f t="shared" si="23"/>
        <v>7.8811748010478438E-3</v>
      </c>
      <c r="M30" s="315">
        <f t="shared" si="23"/>
        <v>4.5264242693994067E-3</v>
      </c>
      <c r="N30" s="315">
        <f t="shared" ref="N30:O30" si="24">N23-MAX(N$20:N$24)</f>
        <v>-4.9476744370766032E-2</v>
      </c>
      <c r="O30" s="315">
        <f t="shared" si="24"/>
        <v>0</v>
      </c>
      <c r="P30" s="315">
        <f t="shared" ref="P30:Q30" si="25">P23-MIN(P$20:P$24)</f>
        <v>1.2009693535669245E-2</v>
      </c>
      <c r="Q30" s="316">
        <f t="shared" si="25"/>
        <v>1.6226353019494461E-2</v>
      </c>
      <c r="R30" s="309">
        <f t="shared" si="16"/>
        <v>0.10259830832736881</v>
      </c>
    </row>
    <row r="31" spans="2:18" ht="13" thickBot="1">
      <c r="C31" s="317">
        <f t="shared" si="12"/>
        <v>-6.751572695068872E-2</v>
      </c>
      <c r="D31" s="318">
        <f t="shared" ref="D31:M31" si="26">D24-MIN(D$20:D$24)</f>
        <v>0</v>
      </c>
      <c r="E31" s="318">
        <f t="shared" si="26"/>
        <v>0</v>
      </c>
      <c r="F31" s="318">
        <f t="shared" si="26"/>
        <v>0</v>
      </c>
      <c r="G31" s="318">
        <f t="shared" si="26"/>
        <v>2.3759709970602023E-2</v>
      </c>
      <c r="H31" s="318">
        <f t="shared" si="26"/>
        <v>0</v>
      </c>
      <c r="I31" s="318">
        <f t="shared" si="26"/>
        <v>0</v>
      </c>
      <c r="J31" s="318">
        <f t="shared" si="26"/>
        <v>0</v>
      </c>
      <c r="K31" s="318">
        <f t="shared" si="26"/>
        <v>1.4107779633359273E-3</v>
      </c>
      <c r="L31" s="318">
        <f t="shared" si="26"/>
        <v>1.2305517176572144E-2</v>
      </c>
      <c r="M31" s="318">
        <f t="shared" si="26"/>
        <v>0</v>
      </c>
      <c r="N31" s="318">
        <f t="shared" ref="N31:O31" si="27">N24-MAX(N$20:N$24)</f>
        <v>-5.2726381926100352E-2</v>
      </c>
      <c r="O31" s="318">
        <f t="shared" si="27"/>
        <v>-3.8336684238081987E-2</v>
      </c>
      <c r="P31" s="318">
        <f t="shared" ref="P31:Q31" si="28">P24-MIN(P$20:P$24)</f>
        <v>0</v>
      </c>
      <c r="Q31" s="319">
        <f t="shared" si="28"/>
        <v>1.8342833848124178E-2</v>
      </c>
      <c r="R31" s="310">
        <f t="shared" si="16"/>
        <v>9.9310349480701762E-2</v>
      </c>
    </row>
    <row r="33" spans="2:18" ht="13" thickBot="1">
      <c r="R33" s="307" t="s">
        <v>862</v>
      </c>
    </row>
    <row r="34" spans="2:18" ht="13.5" thickBot="1">
      <c r="B34" s="306" t="s">
        <v>863</v>
      </c>
      <c r="C34" s="335">
        <f t="shared" ref="C34:C38" si="29">C20-MIN(C$20:C$24)</f>
        <v>3.019030516761655E-2</v>
      </c>
      <c r="D34" s="336">
        <f t="shared" ref="D34:M34" si="30">D20-MAX(D$20:D$24)</f>
        <v>-7.7456338293529561E-3</v>
      </c>
      <c r="E34" s="336">
        <f t="shared" si="30"/>
        <v>0</v>
      </c>
      <c r="F34" s="336">
        <f t="shared" si="30"/>
        <v>-1.0978549899808704E-3</v>
      </c>
      <c r="G34" s="336">
        <f t="shared" si="30"/>
        <v>-2.0591748641188422E-2</v>
      </c>
      <c r="H34" s="336">
        <f t="shared" si="30"/>
        <v>0</v>
      </c>
      <c r="I34" s="336">
        <f t="shared" si="30"/>
        <v>0</v>
      </c>
      <c r="J34" s="336">
        <f t="shared" si="30"/>
        <v>-3.681371698340765E-2</v>
      </c>
      <c r="K34" s="336">
        <f t="shared" si="30"/>
        <v>-2.0947579070695686E-2</v>
      </c>
      <c r="L34" s="336">
        <f t="shared" si="30"/>
        <v>-1.2305517176572144E-2</v>
      </c>
      <c r="M34" s="336">
        <f t="shared" si="30"/>
        <v>0</v>
      </c>
      <c r="N34" s="336">
        <f t="shared" ref="N34:O34" si="31">N20-MIN(N$20:N$24)</f>
        <v>4.7772476161017353E-2</v>
      </c>
      <c r="O34" s="336">
        <f t="shared" si="31"/>
        <v>4.1930748385402171E-3</v>
      </c>
      <c r="P34" s="336">
        <f t="shared" ref="P34:Q34" si="32">P20-MAX(P$20:P$24)</f>
        <v>0</v>
      </c>
      <c r="Q34" s="337">
        <f t="shared" si="32"/>
        <v>-1.5238661966133932E-2</v>
      </c>
      <c r="R34" s="308">
        <f t="shared" ref="R34:R38" si="33">SQRT(SUMSQ(C34:Q34))</f>
        <v>7.6643065706743535E-2</v>
      </c>
    </row>
    <row r="35" spans="2:18" ht="12.5">
      <c r="C35" s="338">
        <f t="shared" si="29"/>
        <v>9.9385094194587333E-3</v>
      </c>
      <c r="D35" s="339">
        <f t="shared" ref="D35:M35" si="34">D21-MAX(D$20:D$24)</f>
        <v>0</v>
      </c>
      <c r="E35" s="339">
        <f t="shared" si="34"/>
        <v>-2.6623537723974647E-3</v>
      </c>
      <c r="F35" s="339">
        <f t="shared" si="34"/>
        <v>0</v>
      </c>
      <c r="G35" s="339">
        <f t="shared" si="34"/>
        <v>-2.3759709970602023E-2</v>
      </c>
      <c r="H35" s="339">
        <f t="shared" si="34"/>
        <v>-3.431165949559533E-2</v>
      </c>
      <c r="I35" s="339">
        <f t="shared" si="34"/>
        <v>-6.9309756205237182E-3</v>
      </c>
      <c r="J35" s="339">
        <f t="shared" si="34"/>
        <v>-3.205478773347499E-2</v>
      </c>
      <c r="K35" s="339">
        <f t="shared" si="34"/>
        <v>0</v>
      </c>
      <c r="L35" s="339">
        <f t="shared" si="34"/>
        <v>-1.169074522917583E-2</v>
      </c>
      <c r="M35" s="339">
        <f t="shared" si="34"/>
        <v>0</v>
      </c>
      <c r="N35" s="339">
        <f t="shared" ref="N35:O35" si="35">N21-MIN(N$20:N$24)</f>
        <v>5.2726381926100352E-2</v>
      </c>
      <c r="O35" s="339">
        <f t="shared" si="35"/>
        <v>5.3910962209802798E-3</v>
      </c>
      <c r="P35" s="339">
        <f t="shared" ref="P35:Q35" si="36">P21-MAX(P$20:P$24)</f>
        <v>-1.2009693535669243E-2</v>
      </c>
      <c r="Q35" s="340">
        <f t="shared" si="36"/>
        <v>-1.8342833848124178E-2</v>
      </c>
      <c r="R35" s="309">
        <f t="shared" si="33"/>
        <v>7.9685160587804907E-2</v>
      </c>
    </row>
    <row r="36" spans="2:18" ht="12.5">
      <c r="C36" s="338">
        <f t="shared" si="29"/>
        <v>6.751572695068872E-2</v>
      </c>
      <c r="D36" s="339">
        <f t="shared" ref="D36:M36" si="37">D22-MAX(D$20:D$24)</f>
        <v>-2.6757644137764762E-2</v>
      </c>
      <c r="E36" s="339">
        <f t="shared" si="37"/>
        <v>-2.6623537723974647E-3</v>
      </c>
      <c r="F36" s="339">
        <f t="shared" si="37"/>
        <v>-2.744637474952169E-3</v>
      </c>
      <c r="G36" s="339">
        <f t="shared" si="37"/>
        <v>-1.5839806647068019E-2</v>
      </c>
      <c r="H36" s="339">
        <f t="shared" si="37"/>
        <v>-6.2330310644231501E-2</v>
      </c>
      <c r="I36" s="339">
        <f t="shared" si="37"/>
        <v>-2.7723902482094876E-2</v>
      </c>
      <c r="J36" s="339">
        <f t="shared" si="37"/>
        <v>0</v>
      </c>
      <c r="K36" s="339">
        <f t="shared" si="37"/>
        <v>-2.8412926026695744E-2</v>
      </c>
      <c r="L36" s="339">
        <f t="shared" si="37"/>
        <v>-4.8980191218788369E-3</v>
      </c>
      <c r="M36" s="339">
        <f t="shared" si="37"/>
        <v>-4.5264242693994136E-3</v>
      </c>
      <c r="N36" s="339">
        <f t="shared" ref="N36:O36" si="38">N22-MIN(N$20:N$24)</f>
        <v>1.0188221290453711E-3</v>
      </c>
      <c r="O36" s="339">
        <f t="shared" si="38"/>
        <v>4.1930748385402171E-3</v>
      </c>
      <c r="P36" s="339">
        <f t="shared" ref="P36:Q36" si="39">P22-MAX(P$20:P$24)</f>
        <v>-4.6129948680054128E-3</v>
      </c>
      <c r="Q36" s="340">
        <f t="shared" si="39"/>
        <v>-2.1164808286297174E-4</v>
      </c>
      <c r="R36" s="309">
        <f t="shared" si="33"/>
        <v>0.10528658889668696</v>
      </c>
    </row>
    <row r="37" spans="2:18" ht="12.5">
      <c r="C37" s="338">
        <f t="shared" si="29"/>
        <v>4.8454399031882612E-3</v>
      </c>
      <c r="D37" s="339">
        <f t="shared" ref="D37:M37" si="40">D23-MAX(D$20:D$24)</f>
        <v>-2.6053495607823579E-2</v>
      </c>
      <c r="E37" s="339">
        <f t="shared" si="40"/>
        <v>-1.9967653292981002E-3</v>
      </c>
      <c r="F37" s="339">
        <f t="shared" si="40"/>
        <v>0</v>
      </c>
      <c r="G37" s="339">
        <f t="shared" si="40"/>
        <v>-7.9199033235340041E-3</v>
      </c>
      <c r="H37" s="339">
        <f t="shared" si="40"/>
        <v>-6.3913216283027013E-2</v>
      </c>
      <c r="I37" s="339">
        <f t="shared" si="40"/>
        <v>-2.911009760619962E-2</v>
      </c>
      <c r="J37" s="339">
        <f t="shared" si="40"/>
        <v>-5.3821223659952705E-2</v>
      </c>
      <c r="K37" s="339">
        <f t="shared" si="40"/>
        <v>-2.7923663217700338E-2</v>
      </c>
      <c r="L37" s="339">
        <f t="shared" si="40"/>
        <v>-4.4243423755243004E-3</v>
      </c>
      <c r="M37" s="339">
        <f t="shared" si="40"/>
        <v>-1.3579272808198234E-2</v>
      </c>
      <c r="N37" s="339">
        <f t="shared" ref="N37:O37" si="41">N23-MIN(N$20:N$24)</f>
        <v>3.2496375553343186E-3</v>
      </c>
      <c r="O37" s="339">
        <f t="shared" si="41"/>
        <v>3.8336684238081987E-2</v>
      </c>
      <c r="P37" s="339">
        <f t="shared" ref="P37:Q37" si="42">P23-MAX(P$20:P$24)</f>
        <v>-1.431619096967195E-2</v>
      </c>
      <c r="Q37" s="340">
        <f t="shared" si="42"/>
        <v>-2.1164808286297139E-3</v>
      </c>
      <c r="R37" s="309">
        <f t="shared" si="33"/>
        <v>0.10616681551574961</v>
      </c>
    </row>
    <row r="38" spans="2:18" ht="13" thickBot="1">
      <c r="C38" s="341">
        <f t="shared" si="29"/>
        <v>0</v>
      </c>
      <c r="D38" s="342">
        <f t="shared" ref="D38:M38" si="43">D24-MAX(D$20:D$24)</f>
        <v>-2.7461792667705938E-2</v>
      </c>
      <c r="E38" s="342">
        <f t="shared" si="43"/>
        <v>-7.3214728740930296E-3</v>
      </c>
      <c r="F38" s="342">
        <f t="shared" si="43"/>
        <v>-1.1527477394799104E-2</v>
      </c>
      <c r="G38" s="342">
        <f t="shared" si="43"/>
        <v>0</v>
      </c>
      <c r="H38" s="342">
        <f t="shared" si="43"/>
        <v>-6.4173053912826794E-2</v>
      </c>
      <c r="I38" s="342">
        <f t="shared" si="43"/>
        <v>-3.0496292730304363E-2</v>
      </c>
      <c r="J38" s="342">
        <f t="shared" si="43"/>
        <v>-0.11078107446807528</v>
      </c>
      <c r="K38" s="342">
        <f t="shared" si="43"/>
        <v>-2.7002148063359818E-2</v>
      </c>
      <c r="L38" s="342">
        <f t="shared" si="43"/>
        <v>0</v>
      </c>
      <c r="M38" s="342">
        <f t="shared" si="43"/>
        <v>-1.8105697077597641E-2</v>
      </c>
      <c r="N38" s="342">
        <f t="shared" ref="N38:O38" si="44">N24-MIN(N$20:N$24)</f>
        <v>0</v>
      </c>
      <c r="O38" s="342">
        <f t="shared" si="44"/>
        <v>0</v>
      </c>
      <c r="P38" s="342">
        <f t="shared" ref="P38:Q38" si="45">P24-MAX(P$20:P$24)</f>
        <v>-2.6325884505341193E-2</v>
      </c>
      <c r="Q38" s="343">
        <f t="shared" si="45"/>
        <v>0</v>
      </c>
      <c r="R38" s="310">
        <f t="shared" si="33"/>
        <v>0.14146120456662273</v>
      </c>
    </row>
    <row r="40" spans="2:18" ht="13" thickBot="1"/>
    <row r="41" spans="2:18" ht="13.5" thickBot="1">
      <c r="E41" s="344"/>
      <c r="F41" s="345" t="s">
        <v>889</v>
      </c>
    </row>
    <row r="42" spans="2:18" ht="13">
      <c r="B42" s="326" t="s">
        <v>888</v>
      </c>
      <c r="C42" s="321" t="s">
        <v>854</v>
      </c>
      <c r="D42" s="329" t="s">
        <v>864</v>
      </c>
      <c r="E42" s="331">
        <v>1</v>
      </c>
      <c r="F42" s="332" t="str">
        <f>VLOOKUP(E42,B43:D47,2,0)</f>
        <v>Tata Consultancy Services Ltd</v>
      </c>
    </row>
    <row r="43" spans="2:18" ht="12.5">
      <c r="B43" s="322">
        <f>_xlfn.RANK.AVG(D43,$D$43:$D$47)</f>
        <v>1</v>
      </c>
      <c r="C43" s="327" t="s">
        <v>154</v>
      </c>
      <c r="D43" s="330">
        <f t="shared" ref="D43:D47" si="46">R27/(R27+R34)</f>
        <v>0.61309700202773465</v>
      </c>
      <c r="E43" s="331">
        <v>2</v>
      </c>
      <c r="F43" s="332" t="str">
        <f>VLOOKUP(E43,B43:D47,2,0)</f>
        <v>Infosys Ltd</v>
      </c>
    </row>
    <row r="44" spans="2:18" ht="13" thickBot="1">
      <c r="B44" s="322">
        <f t="shared" ref="B44:B47" si="47">_xlfn.RANK.AVG(D44,$D$43:$D$47)</f>
        <v>2</v>
      </c>
      <c r="C44" s="327" t="s">
        <v>155</v>
      </c>
      <c r="D44" s="330">
        <f t="shared" si="46"/>
        <v>0.60006469132342743</v>
      </c>
      <c r="E44" s="333">
        <v>3</v>
      </c>
      <c r="F44" s="334" t="str">
        <f>VLOOKUP(E44,B43:D47,2,0)</f>
        <v>Tata Elxsi Ltd</v>
      </c>
    </row>
    <row r="45" spans="2:18" ht="12.5">
      <c r="B45" s="322">
        <f t="shared" si="47"/>
        <v>3</v>
      </c>
      <c r="C45" s="327" t="s">
        <v>156</v>
      </c>
      <c r="D45" s="324">
        <f t="shared" si="46"/>
        <v>0.55558250803339071</v>
      </c>
    </row>
    <row r="46" spans="2:18" ht="12.5">
      <c r="B46" s="322">
        <f t="shared" si="47"/>
        <v>4</v>
      </c>
      <c r="C46" s="327" t="s">
        <v>157</v>
      </c>
      <c r="D46" s="324">
        <f t="shared" si="46"/>
        <v>0.49145329659789722</v>
      </c>
    </row>
    <row r="47" spans="2:18" ht="13" thickBot="1">
      <c r="B47" s="323">
        <f t="shared" si="47"/>
        <v>5</v>
      </c>
      <c r="C47" s="328" t="s">
        <v>158</v>
      </c>
      <c r="D47" s="325">
        <f t="shared" si="46"/>
        <v>0.41246712002025776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outlinePr summaryBelow="0" summaryRight="0"/>
  </sheetPr>
  <dimension ref="B1:R47"/>
  <sheetViews>
    <sheetView showGridLines="0" zoomScale="50" zoomScaleNormal="50" workbookViewId="0">
      <selection activeCell="G44" sqref="G44"/>
    </sheetView>
  </sheetViews>
  <sheetFormatPr defaultColWidth="12.54296875" defaultRowHeight="15.75" customHeight="1"/>
  <cols>
    <col min="1" max="1" width="1.54296875" customWidth="1"/>
    <col min="2" max="2" width="26.453125" bestFit="1" customWidth="1"/>
    <col min="3" max="3" width="24.1796875" bestFit="1" customWidth="1"/>
    <col min="4" max="4" width="18.26953125" bestFit="1" customWidth="1"/>
    <col min="5" max="5" width="10.7265625" bestFit="1" customWidth="1"/>
    <col min="6" max="6" width="26.1796875" bestFit="1" customWidth="1"/>
    <col min="7" max="7" width="30.7265625" bestFit="1" customWidth="1"/>
    <col min="8" max="8" width="13.81640625" bestFit="1" customWidth="1"/>
    <col min="9" max="9" width="12.26953125" bestFit="1" customWidth="1"/>
    <col min="10" max="10" width="10.7265625" bestFit="1" customWidth="1"/>
    <col min="11" max="11" width="14.81640625" bestFit="1" customWidth="1"/>
    <col min="12" max="12" width="15.26953125" bestFit="1" customWidth="1"/>
    <col min="13" max="13" width="11.81640625" bestFit="1" customWidth="1"/>
    <col min="14" max="14" width="15.81640625" bestFit="1" customWidth="1"/>
    <col min="15" max="15" width="18" bestFit="1" customWidth="1"/>
    <col min="16" max="17" width="15" bestFit="1" customWidth="1"/>
    <col min="18" max="18" width="18" bestFit="1" customWidth="1"/>
  </cols>
  <sheetData>
    <row r="1" spans="2:17" ht="15" thickBot="1">
      <c r="B1" s="273"/>
      <c r="C1" s="274" t="s">
        <v>852</v>
      </c>
      <c r="D1" s="274" t="s">
        <v>853</v>
      </c>
      <c r="E1" s="274" t="s">
        <v>853</v>
      </c>
      <c r="F1" s="274" t="s">
        <v>853</v>
      </c>
      <c r="G1" s="274" t="s">
        <v>853</v>
      </c>
      <c r="H1" s="274" t="s">
        <v>853</v>
      </c>
      <c r="I1" s="274" t="s">
        <v>853</v>
      </c>
      <c r="J1" s="274" t="s">
        <v>853</v>
      </c>
      <c r="K1" s="274" t="s">
        <v>853</v>
      </c>
      <c r="L1" s="274" t="s">
        <v>853</v>
      </c>
      <c r="M1" s="274" t="s">
        <v>853</v>
      </c>
      <c r="N1" s="274" t="s">
        <v>852</v>
      </c>
      <c r="O1" s="274" t="s">
        <v>852</v>
      </c>
      <c r="P1" s="274" t="s">
        <v>853</v>
      </c>
      <c r="Q1" s="274" t="s">
        <v>853</v>
      </c>
    </row>
    <row r="2" spans="2:17" ht="15" customHeight="1">
      <c r="B2" s="278" t="s">
        <v>865</v>
      </c>
      <c r="C2" s="279" t="s">
        <v>108</v>
      </c>
      <c r="D2" s="279" t="s">
        <v>109</v>
      </c>
      <c r="E2" s="279" t="s">
        <v>110</v>
      </c>
      <c r="F2" s="279" t="s">
        <v>111</v>
      </c>
      <c r="G2" s="279" t="s">
        <v>112</v>
      </c>
      <c r="H2" s="279" t="s">
        <v>113</v>
      </c>
      <c r="I2" s="279" t="s">
        <v>114</v>
      </c>
      <c r="J2" s="279" t="s">
        <v>115</v>
      </c>
      <c r="K2" s="279" t="s">
        <v>116</v>
      </c>
      <c r="L2" s="279" t="s">
        <v>117</v>
      </c>
      <c r="M2" s="279" t="s">
        <v>118</v>
      </c>
      <c r="N2" s="279" t="s">
        <v>119</v>
      </c>
      <c r="O2" s="279" t="s">
        <v>120</v>
      </c>
      <c r="P2" s="279" t="s">
        <v>121</v>
      </c>
      <c r="Q2" s="280" t="s">
        <v>122</v>
      </c>
    </row>
    <row r="3" spans="2:17" ht="14">
      <c r="B3" s="281" t="s">
        <v>165</v>
      </c>
      <c r="C3" s="275">
        <f>INDEX('Company data'!$C$5:$V$64,MATCH($B3,'Company data'!$B$5:$B$64,0),MATCH(C$2,'Company data'!$C$4:$V$4,0))</f>
        <v>381</v>
      </c>
      <c r="D3" s="275">
        <f>INDEX('Company data'!$C$5:$V$64,MATCH($B3,'Company data'!$B$5:$B$64,0),MATCH(D$2,'Company data'!$C$4:$V$4,0))</f>
        <v>47</v>
      </c>
      <c r="E3" s="275">
        <f>INDEX('Company data'!$C$5:$V$64,MATCH($B3,'Company data'!$B$5:$B$64,0),MATCH(E$2,'Company data'!$C$4:$V$4,0))</f>
        <v>54</v>
      </c>
      <c r="F3" s="275">
        <f>INDEX('Company data'!$C$5:$V$64,MATCH($B3,'Company data'!$B$5:$B$64,0),MATCH(F$2,'Company data'!$C$4:$V$4,0))</f>
        <v>67</v>
      </c>
      <c r="G3" s="276">
        <f>INDEX('Company data'!$C$5:$V$64,MATCH($B3,'Company data'!$B$5:$B$64,0),MATCH(G$2,'Company data'!$C$4:$V$4,0))</f>
        <v>0.05</v>
      </c>
      <c r="H3" s="275">
        <f>INDEX('Company data'!$C$5:$V$64,MATCH($B3,'Company data'!$B$5:$B$64,0),MATCH(H$2,'Company data'!$C$4:$V$4,0))</f>
        <v>54132</v>
      </c>
      <c r="I3" s="276">
        <f>INDEX('Company data'!$C$5:$V$64,MATCH($B3,'Company data'!$B$5:$B$64,0),MATCH(I$2,'Company data'!$C$4:$V$4,0))</f>
        <v>0.12</v>
      </c>
      <c r="J3" s="277">
        <f>INDEX('Company data'!$C$5:$V$64,MATCH($B3,'Company data'!$B$5:$B$64,0),MATCH(J$2,'Company data'!$C$4:$V$4,0))</f>
        <v>0.47010000000000002</v>
      </c>
      <c r="K3" s="275">
        <f>INDEX('Company data'!$C$5:$V$64,MATCH($B3,'Company data'!$B$5:$B$64,0),MATCH(K$2,'Company data'!$C$4:$V$4,0))</f>
        <v>5262171</v>
      </c>
      <c r="L3" s="277">
        <f>INDEX('Company data'!$C$5:$V$64,MATCH($B3,'Company data'!$B$5:$B$64,0),MATCH(L$2,'Company data'!$C$4:$V$4,0))</f>
        <v>0.51100000000000001</v>
      </c>
      <c r="M3" s="275">
        <f>INDEX('Company data'!$C$5:$V$64,MATCH($B3,'Company data'!$B$5:$B$64,0),MATCH(M$2,'Company data'!$C$4:$V$4,0))</f>
        <v>11</v>
      </c>
      <c r="N3" s="275">
        <f>INDEX('Company data'!$C$5:$V$64,MATCH($B3,'Company data'!$B$5:$B$64,0),MATCH(N$2,'Company data'!$C$4:$V$4,0))</f>
        <v>3139</v>
      </c>
      <c r="O3" s="275">
        <f>INDEX('Company data'!$C$5:$V$64,MATCH($B3,'Company data'!$B$5:$B$64,0),MATCH(O$2,'Company data'!$C$4:$V$4,0))</f>
        <v>0.39</v>
      </c>
      <c r="P3" s="277">
        <f>INDEX('Company data'!$C$5:$V$64,MATCH($B3,'Company data'!$B$5:$B$64,0),MATCH(P$2,'Company data'!$C$4:$V$4,0))</f>
        <v>0.127</v>
      </c>
      <c r="Q3" s="282">
        <f>INDEX('Company data'!$C$5:$V$64,MATCH($B3,'Company data'!$B$5:$B$64,0),MATCH(Q$2,'Company data'!$C$4:$V$4,0))</f>
        <v>28.1</v>
      </c>
    </row>
    <row r="4" spans="2:17" ht="14">
      <c r="B4" s="281" t="s">
        <v>167</v>
      </c>
      <c r="C4" s="275">
        <f>INDEX('Company data'!$C$5:$V$64,MATCH($B4,'Company data'!$B$5:$B$64,0),MATCH(C$2,'Company data'!$C$4:$V$4,0))</f>
        <v>224</v>
      </c>
      <c r="D4" s="275">
        <f>INDEX('Company data'!$C$5:$V$64,MATCH($B4,'Company data'!$B$5:$B$64,0),MATCH(D$2,'Company data'!$C$4:$V$4,0))</f>
        <v>43</v>
      </c>
      <c r="E4" s="275">
        <f>INDEX('Company data'!$C$5:$V$64,MATCH($B4,'Company data'!$B$5:$B$64,0),MATCH(E$2,'Company data'!$C$4:$V$4,0))</f>
        <v>64</v>
      </c>
      <c r="F4" s="275">
        <f>INDEX('Company data'!$C$5:$V$64,MATCH($B4,'Company data'!$B$5:$B$64,0),MATCH(F$2,'Company data'!$C$4:$V$4,0))</f>
        <v>59</v>
      </c>
      <c r="G4" s="276">
        <f>INDEX('Company data'!$C$5:$V$64,MATCH($B4,'Company data'!$B$5:$B$64,0),MATCH(G$2,'Company data'!$C$4:$V$4,0))</f>
        <v>0.1</v>
      </c>
      <c r="H4" s="275">
        <f>INDEX('Company data'!$C$5:$V$64,MATCH($B4,'Company data'!$B$5:$B$64,0),MATCH(H$2,'Company data'!$C$4:$V$4,0))</f>
        <v>14030</v>
      </c>
      <c r="I4" s="276">
        <f>INDEX('Company data'!$C$5:$V$64,MATCH($B4,'Company data'!$B$5:$B$64,0),MATCH(I$2,'Company data'!$C$4:$V$4,0))</f>
        <v>0.02</v>
      </c>
      <c r="J4" s="277">
        <f>INDEX('Company data'!$C$5:$V$64,MATCH($B4,'Company data'!$B$5:$B$64,0),MATCH(J$2,'Company data'!$C$4:$V$4,0))</f>
        <v>0.33629999999999999</v>
      </c>
      <c r="K4" s="275">
        <f>INDEX('Company data'!$C$5:$V$64,MATCH($B4,'Company data'!$B$5:$B$64,0),MATCH(K$2,'Company data'!$C$4:$V$4,0))</f>
        <v>864068</v>
      </c>
      <c r="L4" s="277">
        <f>INDEX('Company data'!$C$5:$V$64,MATCH($B4,'Company data'!$B$5:$B$64,0),MATCH(L$2,'Company data'!$C$4:$V$4,0))</f>
        <v>0.65129999999999999</v>
      </c>
      <c r="M4" s="275">
        <f>INDEX('Company data'!$C$5:$V$64,MATCH($B4,'Company data'!$B$5:$B$64,0),MATCH(M$2,'Company data'!$C$4:$V$4,0))</f>
        <v>10</v>
      </c>
      <c r="N4" s="275">
        <f>INDEX('Company data'!$C$5:$V$64,MATCH($B4,'Company data'!$B$5:$B$64,0),MATCH(N$2,'Company data'!$C$4:$V$4,0))</f>
        <v>238</v>
      </c>
      <c r="O4" s="275">
        <f>INDEX('Company data'!$C$5:$V$64,MATCH($B4,'Company data'!$B$5:$B$64,0),MATCH(O$2,'Company data'!$C$4:$V$4,0))</f>
        <v>7.0000000000000007E-2</v>
      </c>
      <c r="P4" s="277">
        <f>INDEX('Company data'!$C$5:$V$64,MATCH($B4,'Company data'!$B$5:$B$64,0),MATCH(P$2,'Company data'!$C$4:$V$4,0))</f>
        <v>0.114</v>
      </c>
      <c r="Q4" s="282">
        <f>INDEX('Company data'!$C$5:$V$64,MATCH($B4,'Company data'!$B$5:$B$64,0),MATCH(Q$2,'Company data'!$C$4:$V$4,0))</f>
        <v>18.100000000000001</v>
      </c>
    </row>
    <row r="5" spans="2:17" ht="14">
      <c r="B5" s="281" t="s">
        <v>168</v>
      </c>
      <c r="C5" s="275">
        <f>INDEX('Company data'!$C$5:$V$64,MATCH($B5,'Company data'!$B$5:$B$64,0),MATCH(C$2,'Company data'!$C$4:$V$4,0))</f>
        <v>490</v>
      </c>
      <c r="D5" s="275">
        <f>INDEX('Company data'!$C$5:$V$64,MATCH($B5,'Company data'!$B$5:$B$64,0),MATCH(D$2,'Company data'!$C$4:$V$4,0))</f>
        <v>54</v>
      </c>
      <c r="E5" s="275">
        <f>INDEX('Company data'!$C$5:$V$64,MATCH($B5,'Company data'!$B$5:$B$64,0),MATCH(E$2,'Company data'!$C$4:$V$4,0))</f>
        <v>46</v>
      </c>
      <c r="F5" s="275">
        <f>INDEX('Company data'!$C$5:$V$64,MATCH($B5,'Company data'!$B$5:$B$64,0),MATCH(F$2,'Company data'!$C$4:$V$4,0))</f>
        <v>69</v>
      </c>
      <c r="G5" s="276">
        <f>INDEX('Company data'!$C$5:$V$64,MATCH($B5,'Company data'!$B$5:$B$64,0),MATCH(G$2,'Company data'!$C$4:$V$4,0))</f>
        <v>0.15</v>
      </c>
      <c r="H5" s="275">
        <f>INDEX('Company data'!$C$5:$V$64,MATCH($B5,'Company data'!$B$5:$B$64,0),MATCH(H$2,'Company data'!$C$4:$V$4,0))</f>
        <v>10044</v>
      </c>
      <c r="I5" s="276">
        <f>INDEX('Company data'!$C$5:$V$64,MATCH($B5,'Company data'!$B$5:$B$64,0),MATCH(I$2,'Company data'!$C$4:$V$4,0))</f>
        <v>0</v>
      </c>
      <c r="J5" s="277">
        <f>INDEX('Company data'!$C$5:$V$64,MATCH($B5,'Company data'!$B$5:$B$64,0),MATCH(J$2,'Company data'!$C$4:$V$4,0))</f>
        <v>0.15590000000000001</v>
      </c>
      <c r="K5" s="275">
        <f>INDEX('Company data'!$C$5:$V$64,MATCH($B5,'Company data'!$B$5:$B$64,0),MATCH(K$2,'Company data'!$C$4:$V$4,0))</f>
        <v>242991</v>
      </c>
      <c r="L5" s="277">
        <f>INDEX('Company data'!$C$5:$V$64,MATCH($B5,'Company data'!$B$5:$B$64,0),MATCH(L$2,'Company data'!$C$4:$V$4,0))</f>
        <v>0.71079999999999999</v>
      </c>
      <c r="M5" s="275">
        <f>INDEX('Company data'!$C$5:$V$64,MATCH($B5,'Company data'!$B$5:$B$64,0),MATCH(M$2,'Company data'!$C$4:$V$4,0))</f>
        <v>8</v>
      </c>
      <c r="N5" s="275">
        <f>INDEX('Company data'!$C$5:$V$64,MATCH($B5,'Company data'!$B$5:$B$64,0),MATCH(N$2,'Company data'!$C$4:$V$4,0))</f>
        <v>2667</v>
      </c>
      <c r="O5" s="275">
        <f>INDEX('Company data'!$C$5:$V$64,MATCH($B5,'Company data'!$B$5:$B$64,0),MATCH(O$2,'Company data'!$C$4:$V$4,0))</f>
        <v>1.54</v>
      </c>
      <c r="P5" s="277">
        <f>INDEX('Company data'!$C$5:$V$64,MATCH($B5,'Company data'!$B$5:$B$64,0),MATCH(P$2,'Company data'!$C$4:$V$4,0))</f>
        <v>9.69E-2</v>
      </c>
      <c r="Q5" s="282">
        <f>INDEX('Company data'!$C$5:$V$64,MATCH($B5,'Company data'!$B$5:$B$64,0),MATCH(Q$2,'Company data'!$C$4:$V$4,0))</f>
        <v>24.8</v>
      </c>
    </row>
    <row r="6" spans="2:17" ht="14">
      <c r="B6" s="281" t="s">
        <v>169</v>
      </c>
      <c r="C6" s="275">
        <f>INDEX('Company data'!$C$5:$V$64,MATCH($B6,'Company data'!$B$5:$B$64,0),MATCH(C$2,'Company data'!$C$4:$V$4,0))</f>
        <v>360</v>
      </c>
      <c r="D6" s="275">
        <f>INDEX('Company data'!$C$5:$V$64,MATCH($B6,'Company data'!$B$5:$B$64,0),MATCH(D$2,'Company data'!$C$4:$V$4,0))</f>
        <v>46</v>
      </c>
      <c r="E6" s="275">
        <f>INDEX('Company data'!$C$5:$V$64,MATCH($B6,'Company data'!$B$5:$B$64,0),MATCH(E$2,'Company data'!$C$4:$V$4,0))</f>
        <v>47</v>
      </c>
      <c r="F6" s="275">
        <f>INDEX('Company data'!$C$5:$V$64,MATCH($B6,'Company data'!$B$5:$B$64,0),MATCH(F$2,'Company data'!$C$4:$V$4,0))</f>
        <v>73</v>
      </c>
      <c r="G6" s="276">
        <f>INDEX('Company data'!$C$5:$V$64,MATCH($B6,'Company data'!$B$5:$B$64,0),MATCH(G$2,'Company data'!$C$4:$V$4,0))</f>
        <v>0.1</v>
      </c>
      <c r="H6" s="275">
        <f>INDEX('Company data'!$C$5:$V$64,MATCH($B6,'Company data'!$B$5:$B$64,0),MATCH(H$2,'Company data'!$C$4:$V$4,0))</f>
        <v>7235</v>
      </c>
      <c r="I6" s="276">
        <f>INDEX('Company data'!$C$5:$V$64,MATCH($B6,'Company data'!$B$5:$B$64,0),MATCH(I$2,'Company data'!$C$4:$V$4,0))</f>
        <v>0.04</v>
      </c>
      <c r="J6" s="277">
        <f>INDEX('Company data'!$C$5:$V$64,MATCH($B6,'Company data'!$B$5:$B$64,0),MATCH(J$2,'Company data'!$C$4:$V$4,0))</f>
        <v>0.42070000000000002</v>
      </c>
      <c r="K6" s="275">
        <f>INDEX('Company data'!$C$5:$V$64,MATCH($B6,'Company data'!$B$5:$B$64,0),MATCH(K$2,'Company data'!$C$4:$V$4,0))</f>
        <v>412185</v>
      </c>
      <c r="L6" s="277">
        <f>INDEX('Company data'!$C$5:$V$64,MATCH($B6,'Company data'!$B$5:$B$64,0),MATCH(L$2,'Company data'!$C$4:$V$4,0))</f>
        <v>0.1242</v>
      </c>
      <c r="M6" s="275">
        <f>INDEX('Company data'!$C$5:$V$64,MATCH($B6,'Company data'!$B$5:$B$64,0),MATCH(M$2,'Company data'!$C$4:$V$4,0))</f>
        <v>10</v>
      </c>
      <c r="N6" s="275">
        <f>INDEX('Company data'!$C$5:$V$64,MATCH($B6,'Company data'!$B$5:$B$64,0),MATCH(N$2,'Company data'!$C$4:$V$4,0))</f>
        <v>2623</v>
      </c>
      <c r="O6" s="275">
        <f>INDEX('Company data'!$C$5:$V$64,MATCH($B6,'Company data'!$B$5:$B$64,0),MATCH(O$2,'Company data'!$C$4:$V$4,0))</f>
        <v>6.73</v>
      </c>
      <c r="P6" s="277">
        <f>INDEX('Company data'!$C$5:$V$64,MATCH($B6,'Company data'!$B$5:$B$64,0),MATCH(P$2,'Company data'!$C$4:$V$4,0))</f>
        <v>0.35899999999999999</v>
      </c>
      <c r="Q6" s="282">
        <f>INDEX('Company data'!$C$5:$V$64,MATCH($B6,'Company data'!$B$5:$B$64,0),MATCH(Q$2,'Company data'!$C$4:$V$4,0))</f>
        <v>16.899999999999999</v>
      </c>
    </row>
    <row r="7" spans="2:17" ht="14.5" thickBot="1">
      <c r="B7" s="283" t="s">
        <v>170</v>
      </c>
      <c r="C7" s="284">
        <f>INDEX('Company data'!$C$5:$V$64,MATCH($B7,'Company data'!$B$5:$B$64,0),MATCH(C$2,'Company data'!$C$4:$V$4,0))</f>
        <v>102</v>
      </c>
      <c r="D7" s="284">
        <f>INDEX('Company data'!$C$5:$V$64,MATCH($B7,'Company data'!$B$5:$B$64,0),MATCH(D$2,'Company data'!$C$4:$V$4,0))</f>
        <v>49</v>
      </c>
      <c r="E7" s="284">
        <f>INDEX('Company data'!$C$5:$V$64,MATCH($B7,'Company data'!$B$5:$B$64,0),MATCH(E$2,'Company data'!$C$4:$V$4,0))</f>
        <v>56</v>
      </c>
      <c r="F7" s="284">
        <f>INDEX('Company data'!$C$5:$V$64,MATCH($B7,'Company data'!$B$5:$B$64,0),MATCH(F$2,'Company data'!$C$4:$V$4,0))</f>
        <v>64</v>
      </c>
      <c r="G7" s="285">
        <f>INDEX('Company data'!$C$5:$V$64,MATCH($B7,'Company data'!$B$5:$B$64,0),MATCH(G$2,'Company data'!$C$4:$V$4,0))</f>
        <v>0.15</v>
      </c>
      <c r="H7" s="284">
        <f>INDEX('Company data'!$C$5:$V$64,MATCH($B7,'Company data'!$B$5:$B$64,0),MATCH(H$2,'Company data'!$C$4:$V$4,0))</f>
        <v>8098</v>
      </c>
      <c r="I7" s="285">
        <f>INDEX('Company data'!$C$5:$V$64,MATCH($B7,'Company data'!$B$5:$B$64,0),MATCH(I$2,'Company data'!$C$4:$V$4,0))</f>
        <v>0.03</v>
      </c>
      <c r="J7" s="286">
        <f>INDEX('Company data'!$C$5:$V$64,MATCH($B7,'Company data'!$B$5:$B$64,0),MATCH(J$2,'Company data'!$C$4:$V$4,0))</f>
        <v>4.4108000000000001</v>
      </c>
      <c r="K7" s="284">
        <f>INDEX('Company data'!$C$5:$V$64,MATCH($B7,'Company data'!$B$5:$B$64,0),MATCH(K$2,'Company data'!$C$4:$V$4,0))</f>
        <v>5808421</v>
      </c>
      <c r="L7" s="286">
        <f>INDEX('Company data'!$C$5:$V$64,MATCH($B7,'Company data'!$B$5:$B$64,0),MATCH(L$2,'Company data'!$C$4:$V$4,0))</f>
        <v>0.63949999999999996</v>
      </c>
      <c r="M7" s="284">
        <f>INDEX('Company data'!$C$5:$V$64,MATCH($B7,'Company data'!$B$5:$B$64,0),MATCH(M$2,'Company data'!$C$4:$V$4,0))</f>
        <v>10</v>
      </c>
      <c r="N7" s="284">
        <f>INDEX('Company data'!$C$5:$V$64,MATCH($B7,'Company data'!$B$5:$B$64,0),MATCH(N$2,'Company data'!$C$4:$V$4,0))</f>
        <v>2177</v>
      </c>
      <c r="O7" s="284">
        <f>INDEX('Company data'!$C$5:$V$64,MATCH($B7,'Company data'!$B$5:$B$64,0),MATCH(O$2,'Company data'!$C$4:$V$4,0))</f>
        <v>2.5499999999999998</v>
      </c>
      <c r="P7" s="286">
        <f>INDEX('Company data'!$C$5:$V$64,MATCH($B7,'Company data'!$B$5:$B$64,0),MATCH(P$2,'Company data'!$C$4:$V$4,0))</f>
        <v>0.13600000000000001</v>
      </c>
      <c r="Q7" s="287">
        <f>INDEX('Company data'!$C$5:$V$64,MATCH($B7,'Company data'!$B$5:$B$64,0),MATCH(Q$2,'Company data'!$C$4:$V$4,0))</f>
        <v>22.1</v>
      </c>
    </row>
    <row r="8" spans="2:17" ht="13" thickBot="1"/>
    <row r="9" spans="2:17" ht="15" customHeight="1" thickBot="1">
      <c r="B9" s="288" t="s">
        <v>855</v>
      </c>
      <c r="C9" s="289">
        <f>Dashboard!C18</f>
        <v>8</v>
      </c>
      <c r="D9" s="289">
        <f>Dashboard!C19</f>
        <v>9</v>
      </c>
      <c r="E9" s="289">
        <f>Dashboard!C20</f>
        <v>9</v>
      </c>
      <c r="F9" s="289">
        <f>Dashboard!C21</f>
        <v>9</v>
      </c>
      <c r="G9" s="289">
        <f>Dashboard!C22</f>
        <v>6</v>
      </c>
      <c r="H9" s="289">
        <f>Dashboard!C23</f>
        <v>7</v>
      </c>
      <c r="I9" s="289">
        <f>Dashboard!C24</f>
        <v>4</v>
      </c>
      <c r="J9" s="289">
        <f>Dashboard!C25</f>
        <v>8</v>
      </c>
      <c r="K9" s="289">
        <f>Dashboard!C26</f>
        <v>3</v>
      </c>
      <c r="L9" s="289">
        <f>Dashboard!C27</f>
        <v>5</v>
      </c>
      <c r="M9" s="289">
        <f>Dashboard!C28</f>
        <v>8</v>
      </c>
      <c r="N9" s="289">
        <f>Dashboard!C29</f>
        <v>7</v>
      </c>
      <c r="O9" s="289">
        <f>Dashboard!C30</f>
        <v>4</v>
      </c>
      <c r="P9" s="289">
        <f>Dashboard!C31</f>
        <v>6</v>
      </c>
      <c r="Q9" s="290">
        <f>Dashboard!C32</f>
        <v>5</v>
      </c>
    </row>
    <row r="10" spans="2:17" ht="15" customHeight="1" thickBot="1">
      <c r="B10" s="293" t="s">
        <v>856</v>
      </c>
      <c r="C10" s="291">
        <f t="shared" ref="C10:Q10" si="0">C9/SUM($C$9:$Q$9)</f>
        <v>8.1632653061224483E-2</v>
      </c>
      <c r="D10" s="291">
        <f t="shared" si="0"/>
        <v>9.1836734693877556E-2</v>
      </c>
      <c r="E10" s="291">
        <f t="shared" si="0"/>
        <v>9.1836734693877556E-2</v>
      </c>
      <c r="F10" s="291">
        <f t="shared" si="0"/>
        <v>9.1836734693877556E-2</v>
      </c>
      <c r="G10" s="291">
        <f t="shared" si="0"/>
        <v>6.1224489795918366E-2</v>
      </c>
      <c r="H10" s="291">
        <f t="shared" si="0"/>
        <v>7.1428571428571425E-2</v>
      </c>
      <c r="I10" s="291">
        <f t="shared" si="0"/>
        <v>4.0816326530612242E-2</v>
      </c>
      <c r="J10" s="291">
        <f t="shared" si="0"/>
        <v>8.1632653061224483E-2</v>
      </c>
      <c r="K10" s="291">
        <f t="shared" si="0"/>
        <v>3.0612244897959183E-2</v>
      </c>
      <c r="L10" s="291">
        <f t="shared" si="0"/>
        <v>5.1020408163265307E-2</v>
      </c>
      <c r="M10" s="291">
        <f t="shared" si="0"/>
        <v>8.1632653061224483E-2</v>
      </c>
      <c r="N10" s="291">
        <f t="shared" si="0"/>
        <v>7.1428571428571425E-2</v>
      </c>
      <c r="O10" s="291">
        <f t="shared" si="0"/>
        <v>4.0816326530612242E-2</v>
      </c>
      <c r="P10" s="291">
        <f t="shared" si="0"/>
        <v>6.1224489795918366E-2</v>
      </c>
      <c r="Q10" s="292">
        <f t="shared" si="0"/>
        <v>5.1020408163265307E-2</v>
      </c>
    </row>
    <row r="11" spans="2:17" ht="13" thickBot="1"/>
    <row r="12" spans="2:17" ht="15" customHeight="1" thickBot="1">
      <c r="B12" s="296" t="s">
        <v>857</v>
      </c>
      <c r="C12" s="294">
        <f t="shared" ref="C12:Q12" si="1">SQRT(SUMSQ(C3:C7))</f>
        <v>758.5782754600873</v>
      </c>
      <c r="D12" s="294">
        <f t="shared" si="1"/>
        <v>107.19608201795437</v>
      </c>
      <c r="E12" s="294">
        <f t="shared" si="1"/>
        <v>120.30378215168466</v>
      </c>
      <c r="F12" s="294">
        <f t="shared" si="1"/>
        <v>148.84891669071698</v>
      </c>
      <c r="G12" s="294">
        <f t="shared" si="1"/>
        <v>0.25980762113533162</v>
      </c>
      <c r="H12" s="294">
        <f t="shared" si="1"/>
        <v>57843.920069442043</v>
      </c>
      <c r="I12" s="294">
        <f t="shared" si="1"/>
        <v>0.13152946437965904</v>
      </c>
      <c r="J12" s="294">
        <f t="shared" si="1"/>
        <v>4.4710783531492719</v>
      </c>
      <c r="K12" s="294">
        <f t="shared" si="1"/>
        <v>7899604.5948776444</v>
      </c>
      <c r="L12" s="294">
        <f t="shared" si="1"/>
        <v>1.2708010151081877</v>
      </c>
      <c r="M12" s="294">
        <f t="shared" si="1"/>
        <v>22.022715545545239</v>
      </c>
      <c r="N12" s="294">
        <f t="shared" si="1"/>
        <v>5351.8512684864481</v>
      </c>
      <c r="O12" s="294">
        <f t="shared" si="1"/>
        <v>7.3704816667569286</v>
      </c>
      <c r="P12" s="294">
        <f t="shared" si="1"/>
        <v>0.43115149309726392</v>
      </c>
      <c r="Q12" s="295">
        <f t="shared" si="1"/>
        <v>50.062760611057001</v>
      </c>
    </row>
    <row r="13" spans="2:17" ht="13" thickBot="1"/>
    <row r="14" spans="2:17" ht="15" customHeight="1" thickBot="1">
      <c r="B14" s="296" t="s">
        <v>858</v>
      </c>
      <c r="C14" s="311">
        <f t="shared" ref="C14:Q14" si="2">C3/C$12</f>
        <v>0.50225535363363616</v>
      </c>
      <c r="D14" s="312">
        <f t="shared" si="2"/>
        <v>0.43844886039890829</v>
      </c>
      <c r="E14" s="312">
        <f t="shared" si="2"/>
        <v>0.44886369351143313</v>
      </c>
      <c r="F14" s="312">
        <f t="shared" si="2"/>
        <v>0.45012084393744523</v>
      </c>
      <c r="G14" s="312">
        <f t="shared" si="2"/>
        <v>0.19245008972987523</v>
      </c>
      <c r="H14" s="312">
        <f t="shared" si="2"/>
        <v>0.93582869098453469</v>
      </c>
      <c r="I14" s="312">
        <f t="shared" si="2"/>
        <v>0.91234310552364672</v>
      </c>
      <c r="J14" s="312">
        <f t="shared" si="2"/>
        <v>0.1051424204339604</v>
      </c>
      <c r="K14" s="312">
        <f t="shared" si="2"/>
        <v>0.66613093564355863</v>
      </c>
      <c r="L14" s="312">
        <f t="shared" si="2"/>
        <v>0.40210858657245946</v>
      </c>
      <c r="M14" s="312">
        <f t="shared" si="2"/>
        <v>0.49948427010514984</v>
      </c>
      <c r="N14" s="312">
        <f t="shared" si="2"/>
        <v>0.58652601548991434</v>
      </c>
      <c r="O14" s="312">
        <f t="shared" si="2"/>
        <v>5.2913773839098788E-2</v>
      </c>
      <c r="P14" s="312">
        <f t="shared" si="2"/>
        <v>0.29456003755819055</v>
      </c>
      <c r="Q14" s="313">
        <f t="shared" si="2"/>
        <v>0.56129545508510681</v>
      </c>
    </row>
    <row r="15" spans="2:17" ht="15" customHeight="1">
      <c r="C15" s="314">
        <f t="shared" ref="C15:Q15" si="3">C4/C$12</f>
        <v>0.29528923678198032</v>
      </c>
      <c r="D15" s="315">
        <f t="shared" si="3"/>
        <v>0.40113406376921401</v>
      </c>
      <c r="E15" s="315">
        <f t="shared" si="3"/>
        <v>0.53198659971725404</v>
      </c>
      <c r="F15" s="315">
        <f t="shared" si="3"/>
        <v>0.39637507152700402</v>
      </c>
      <c r="G15" s="315">
        <f t="shared" si="3"/>
        <v>0.38490017945975047</v>
      </c>
      <c r="H15" s="315">
        <f t="shared" si="3"/>
        <v>0.24254925985577885</v>
      </c>
      <c r="I15" s="315">
        <f t="shared" si="3"/>
        <v>0.15205718425394113</v>
      </c>
      <c r="J15" s="315">
        <f t="shared" si="3"/>
        <v>7.5216753865009311E-2</v>
      </c>
      <c r="K15" s="315">
        <f t="shared" si="3"/>
        <v>0.10938117087028498</v>
      </c>
      <c r="L15" s="315">
        <f t="shared" si="3"/>
        <v>0.51251139419695269</v>
      </c>
      <c r="M15" s="315">
        <f t="shared" si="3"/>
        <v>0.45407660918649984</v>
      </c>
      <c r="N15" s="315">
        <f t="shared" si="3"/>
        <v>4.4470593082701369E-2</v>
      </c>
      <c r="O15" s="315">
        <f t="shared" si="3"/>
        <v>9.4973440224023469E-3</v>
      </c>
      <c r="P15" s="315">
        <f t="shared" si="3"/>
        <v>0.26440822269002934</v>
      </c>
      <c r="Q15" s="316">
        <f t="shared" si="3"/>
        <v>0.36154618281282686</v>
      </c>
    </row>
    <row r="16" spans="2:17" ht="15" customHeight="1">
      <c r="C16" s="314">
        <f t="shared" ref="C16:Q16" si="4">C5/C$12</f>
        <v>0.64594520546058187</v>
      </c>
      <c r="D16" s="315">
        <f t="shared" si="4"/>
        <v>0.50374975450087334</v>
      </c>
      <c r="E16" s="315">
        <f t="shared" si="4"/>
        <v>0.38236536854677639</v>
      </c>
      <c r="F16" s="315">
        <f t="shared" si="4"/>
        <v>0.4635572870400555</v>
      </c>
      <c r="G16" s="315">
        <f t="shared" si="4"/>
        <v>0.57735026918962573</v>
      </c>
      <c r="H16" s="315">
        <f t="shared" si="4"/>
        <v>0.17363968396232665</v>
      </c>
      <c r="I16" s="315">
        <f t="shared" si="4"/>
        <v>0</v>
      </c>
      <c r="J16" s="315">
        <f t="shared" si="4"/>
        <v>3.4868545725706079E-2</v>
      </c>
      <c r="K16" s="315">
        <f t="shared" si="4"/>
        <v>3.0759894002487558E-2</v>
      </c>
      <c r="L16" s="315">
        <f t="shared" si="4"/>
        <v>0.5593322570170336</v>
      </c>
      <c r="M16" s="315">
        <f t="shared" si="4"/>
        <v>0.36326128734919988</v>
      </c>
      <c r="N16" s="315">
        <f t="shared" si="4"/>
        <v>0.49833223425027123</v>
      </c>
      <c r="O16" s="315">
        <f t="shared" si="4"/>
        <v>0.20894156849285164</v>
      </c>
      <c r="P16" s="315">
        <f t="shared" si="4"/>
        <v>0.22474698928652492</v>
      </c>
      <c r="Q16" s="316">
        <f t="shared" si="4"/>
        <v>0.49537819523525445</v>
      </c>
    </row>
    <row r="17" spans="2:18" ht="15" customHeight="1">
      <c r="C17" s="314">
        <f t="shared" ref="C17:Q17" si="5">C6/C$12</f>
        <v>0.47457198768532549</v>
      </c>
      <c r="D17" s="315">
        <f t="shared" si="5"/>
        <v>0.42912016124148472</v>
      </c>
      <c r="E17" s="315">
        <f t="shared" si="5"/>
        <v>0.39067765916735847</v>
      </c>
      <c r="F17" s="315">
        <f t="shared" si="5"/>
        <v>0.4904301732452761</v>
      </c>
      <c r="G17" s="315">
        <f t="shared" si="5"/>
        <v>0.38490017945975047</v>
      </c>
      <c r="H17" s="315">
        <f t="shared" si="5"/>
        <v>0.12507796828628368</v>
      </c>
      <c r="I17" s="315">
        <f t="shared" si="5"/>
        <v>0.30411436850788226</v>
      </c>
      <c r="J17" s="315">
        <f t="shared" si="5"/>
        <v>9.4093631730625696E-2</v>
      </c>
      <c r="K17" s="315">
        <f t="shared" si="5"/>
        <v>5.2177928027850137E-2</v>
      </c>
      <c r="L17" s="315">
        <f t="shared" si="5"/>
        <v>9.7733632979059612E-2</v>
      </c>
      <c r="M17" s="315">
        <f t="shared" si="5"/>
        <v>0.45407660918649984</v>
      </c>
      <c r="N17" s="315">
        <f t="shared" si="5"/>
        <v>0.49011078006691472</v>
      </c>
      <c r="O17" s="315">
        <f t="shared" si="5"/>
        <v>0.91310178958239707</v>
      </c>
      <c r="P17" s="315">
        <f t="shared" si="5"/>
        <v>0.83265396443614492</v>
      </c>
      <c r="Q17" s="316">
        <f t="shared" si="5"/>
        <v>0.33757627014015318</v>
      </c>
    </row>
    <row r="18" spans="2:18" ht="15" customHeight="1" thickBot="1">
      <c r="C18" s="317">
        <f t="shared" ref="C18:Q18" si="6">C7/C$12</f>
        <v>0.13446206317750889</v>
      </c>
      <c r="D18" s="318">
        <f t="shared" si="6"/>
        <v>0.45710625871375549</v>
      </c>
      <c r="E18" s="318">
        <f t="shared" si="6"/>
        <v>0.4654882747525973</v>
      </c>
      <c r="F18" s="318">
        <f t="shared" si="6"/>
        <v>0.42996617928352976</v>
      </c>
      <c r="G18" s="318">
        <f t="shared" si="6"/>
        <v>0.57735026918962573</v>
      </c>
      <c r="H18" s="318">
        <f t="shared" si="6"/>
        <v>0.13999742739216658</v>
      </c>
      <c r="I18" s="318">
        <f t="shared" si="6"/>
        <v>0.22808577638091168</v>
      </c>
      <c r="J18" s="318">
        <f t="shared" si="6"/>
        <v>0.9865181621997714</v>
      </c>
      <c r="K18" s="318">
        <f t="shared" si="6"/>
        <v>0.73527996626139558</v>
      </c>
      <c r="L18" s="318">
        <f t="shared" si="6"/>
        <v>0.50322591215868451</v>
      </c>
      <c r="M18" s="318">
        <f t="shared" si="6"/>
        <v>0.45407660918649984</v>
      </c>
      <c r="N18" s="318">
        <f t="shared" si="6"/>
        <v>0.40677513084470962</v>
      </c>
      <c r="O18" s="318">
        <f t="shared" si="6"/>
        <v>0.34597467510179974</v>
      </c>
      <c r="P18" s="318">
        <f t="shared" si="6"/>
        <v>0.31543437092845605</v>
      </c>
      <c r="Q18" s="319">
        <f t="shared" si="6"/>
        <v>0.44144589172173887</v>
      </c>
    </row>
    <row r="19" spans="2:18" ht="13" thickBot="1"/>
    <row r="20" spans="2:18" ht="15" customHeight="1" thickBot="1">
      <c r="B20" s="320" t="s">
        <v>859</v>
      </c>
      <c r="C20" s="297">
        <f t="shared" ref="C20:Q20" si="7">C$10*C14</f>
        <v>4.1000437031317234E-2</v>
      </c>
      <c r="D20" s="298">
        <f t="shared" si="7"/>
        <v>4.0265711669287496E-2</v>
      </c>
      <c r="E20" s="298">
        <f t="shared" si="7"/>
        <v>4.1222175934723451E-2</v>
      </c>
      <c r="F20" s="298">
        <f t="shared" si="7"/>
        <v>4.1337628524867422E-2</v>
      </c>
      <c r="G20" s="298">
        <f t="shared" si="7"/>
        <v>1.1782658554890321E-2</v>
      </c>
      <c r="H20" s="298">
        <f t="shared" si="7"/>
        <v>6.6844906498895337E-2</v>
      </c>
      <c r="I20" s="298">
        <f t="shared" si="7"/>
        <v>3.7238494103005983E-2</v>
      </c>
      <c r="J20" s="298">
        <f t="shared" si="7"/>
        <v>8.5830547293028886E-3</v>
      </c>
      <c r="K20" s="298">
        <f t="shared" si="7"/>
        <v>2.0391763336027303E-2</v>
      </c>
      <c r="L20" s="298">
        <f t="shared" si="7"/>
        <v>2.0515744212880584E-2</v>
      </c>
      <c r="M20" s="298">
        <f t="shared" si="7"/>
        <v>4.077422613103264E-2</v>
      </c>
      <c r="N20" s="298">
        <f t="shared" si="7"/>
        <v>4.1894715392136739E-2</v>
      </c>
      <c r="O20" s="298">
        <f t="shared" si="7"/>
        <v>2.159745870983624E-3</v>
      </c>
      <c r="P20" s="298">
        <f t="shared" si="7"/>
        <v>1.8034288013766768E-2</v>
      </c>
      <c r="Q20" s="299">
        <f t="shared" si="7"/>
        <v>2.8637523218627899E-2</v>
      </c>
    </row>
    <row r="21" spans="2:18" ht="12.5">
      <c r="C21" s="300">
        <f t="shared" ref="C21:Q21" si="8">C$10*C15</f>
        <v>2.4105243818937167E-2</v>
      </c>
      <c r="D21" s="301">
        <f t="shared" si="8"/>
        <v>3.6838842591050268E-2</v>
      </c>
      <c r="E21" s="301">
        <f t="shared" si="8"/>
        <v>4.8855912218931499E-2</v>
      </c>
      <c r="F21" s="301">
        <f t="shared" si="8"/>
        <v>3.6401792283092205E-2</v>
      </c>
      <c r="G21" s="301">
        <f t="shared" si="8"/>
        <v>2.3565317109780642E-2</v>
      </c>
      <c r="H21" s="301">
        <f t="shared" si="8"/>
        <v>1.732494713255563E-2</v>
      </c>
      <c r="I21" s="301">
        <f t="shared" si="8"/>
        <v>6.206415683834331E-3</v>
      </c>
      <c r="J21" s="301">
        <f t="shared" si="8"/>
        <v>6.1401431726538207E-3</v>
      </c>
      <c r="K21" s="301">
        <f t="shared" si="8"/>
        <v>3.3484031899066831E-3</v>
      </c>
      <c r="L21" s="301">
        <f t="shared" si="8"/>
        <v>2.614854052025269E-2</v>
      </c>
      <c r="M21" s="301">
        <f t="shared" si="8"/>
        <v>3.7067478300938761E-2</v>
      </c>
      <c r="N21" s="301">
        <f t="shared" si="8"/>
        <v>3.1764709344786692E-3</v>
      </c>
      <c r="O21" s="301">
        <f t="shared" si="8"/>
        <v>3.8764669479193249E-4</v>
      </c>
      <c r="P21" s="301">
        <f t="shared" si="8"/>
        <v>1.6188258532042612E-2</v>
      </c>
      <c r="Q21" s="302">
        <f t="shared" si="8"/>
        <v>1.8446233816980961E-2</v>
      </c>
    </row>
    <row r="22" spans="2:18" ht="12.5">
      <c r="C22" s="300">
        <f t="shared" ref="C22:Q22" si="9">C$10*C16</f>
        <v>5.273022085392505E-2</v>
      </c>
      <c r="D22" s="301">
        <f t="shared" si="9"/>
        <v>4.6262732556202654E-2</v>
      </c>
      <c r="E22" s="301">
        <f t="shared" si="9"/>
        <v>3.5115186907357016E-2</v>
      </c>
      <c r="F22" s="301">
        <f t="shared" si="9"/>
        <v>4.2571587585311224E-2</v>
      </c>
      <c r="G22" s="301">
        <f t="shared" si="9"/>
        <v>3.5347975664670961E-2</v>
      </c>
      <c r="H22" s="301">
        <f t="shared" si="9"/>
        <v>1.2402834568737617E-2</v>
      </c>
      <c r="I22" s="301">
        <f t="shared" si="9"/>
        <v>0</v>
      </c>
      <c r="J22" s="301">
        <f t="shared" si="9"/>
        <v>2.8464118959760061E-3</v>
      </c>
      <c r="K22" s="301">
        <f t="shared" si="9"/>
        <v>9.4162940823941507E-4</v>
      </c>
      <c r="L22" s="301">
        <f t="shared" si="9"/>
        <v>2.853736005188947E-2</v>
      </c>
      <c r="M22" s="301">
        <f t="shared" si="9"/>
        <v>2.9653982640751007E-2</v>
      </c>
      <c r="N22" s="301">
        <f t="shared" si="9"/>
        <v>3.5595159589305085E-2</v>
      </c>
      <c r="O22" s="301">
        <f t="shared" si="9"/>
        <v>8.5282272854225148E-3</v>
      </c>
      <c r="P22" s="301">
        <f t="shared" si="9"/>
        <v>1.376001975223622E-2</v>
      </c>
      <c r="Q22" s="302">
        <f t="shared" si="9"/>
        <v>2.5274397716084411E-2</v>
      </c>
    </row>
    <row r="23" spans="2:18" ht="12.5">
      <c r="C23" s="300">
        <f t="shared" ref="C23:Q23" si="10">C$10*C17</f>
        <v>3.8740570423291876E-2</v>
      </c>
      <c r="D23" s="301">
        <f t="shared" si="10"/>
        <v>3.9408994399728191E-2</v>
      </c>
      <c r="E23" s="301">
        <f t="shared" si="10"/>
        <v>3.5878560535777822E-2</v>
      </c>
      <c r="F23" s="301">
        <f t="shared" si="10"/>
        <v>4.5039505706198829E-2</v>
      </c>
      <c r="G23" s="301">
        <f t="shared" si="10"/>
        <v>2.3565317109780642E-2</v>
      </c>
      <c r="H23" s="301">
        <f t="shared" si="10"/>
        <v>8.9341405918774049E-3</v>
      </c>
      <c r="I23" s="301">
        <f t="shared" si="10"/>
        <v>1.2412831367668662E-2</v>
      </c>
      <c r="J23" s="301">
        <f t="shared" si="10"/>
        <v>7.6811127943367911E-3</v>
      </c>
      <c r="K23" s="301">
        <f t="shared" si="10"/>
        <v>1.5972835110566368E-3</v>
      </c>
      <c r="L23" s="301">
        <f t="shared" si="10"/>
        <v>4.9864098458703883E-3</v>
      </c>
      <c r="M23" s="301">
        <f t="shared" si="10"/>
        <v>3.7067478300938761E-2</v>
      </c>
      <c r="N23" s="301">
        <f t="shared" si="10"/>
        <v>3.500791286192248E-2</v>
      </c>
      <c r="O23" s="301">
        <f t="shared" si="10"/>
        <v>3.7269460799281513E-2</v>
      </c>
      <c r="P23" s="301">
        <f t="shared" si="10"/>
        <v>5.097881414915173E-2</v>
      </c>
      <c r="Q23" s="302">
        <f t="shared" si="10"/>
        <v>1.7223279088783326E-2</v>
      </c>
    </row>
    <row r="24" spans="2:18" ht="13" thickBot="1">
      <c r="C24" s="303">
        <f t="shared" ref="C24:Q24" si="11">C$10*C18</f>
        <v>1.097649495326603E-2</v>
      </c>
      <c r="D24" s="304">
        <f t="shared" si="11"/>
        <v>4.1979146208406121E-2</v>
      </c>
      <c r="E24" s="304">
        <f t="shared" si="11"/>
        <v>4.2748923191565064E-2</v>
      </c>
      <c r="F24" s="304">
        <f t="shared" si="11"/>
        <v>3.9486689934201714E-2</v>
      </c>
      <c r="G24" s="304">
        <f t="shared" si="11"/>
        <v>3.5347975664670961E-2</v>
      </c>
      <c r="H24" s="304">
        <f t="shared" si="11"/>
        <v>9.9998162422976124E-3</v>
      </c>
      <c r="I24" s="304">
        <f t="shared" si="11"/>
        <v>9.3096235257514957E-3</v>
      </c>
      <c r="J24" s="304">
        <f t="shared" si="11"/>
        <v>8.0532094873450713E-2</v>
      </c>
      <c r="K24" s="304">
        <f t="shared" si="11"/>
        <v>2.2508570395757006E-2</v>
      </c>
      <c r="L24" s="304">
        <f t="shared" si="11"/>
        <v>2.5674791436667576E-2</v>
      </c>
      <c r="M24" s="304">
        <f t="shared" si="11"/>
        <v>3.7067478300938761E-2</v>
      </c>
      <c r="N24" s="304">
        <f t="shared" si="11"/>
        <v>2.905536648890783E-2</v>
      </c>
      <c r="O24" s="304">
        <f t="shared" si="11"/>
        <v>1.412141531027754E-2</v>
      </c>
      <c r="P24" s="304">
        <f t="shared" si="11"/>
        <v>1.9312308424191186E-2</v>
      </c>
      <c r="Q24" s="305">
        <f t="shared" si="11"/>
        <v>2.252274957763974E-2</v>
      </c>
    </row>
    <row r="26" spans="2:18" ht="13" thickBot="1">
      <c r="R26" s="307" t="s">
        <v>860</v>
      </c>
    </row>
    <row r="27" spans="2:18" ht="13.5" thickBot="1">
      <c r="B27" s="293" t="s">
        <v>861</v>
      </c>
      <c r="C27" s="311">
        <f t="shared" ref="C27:C31" si="12">C20-MAX($C$20:$C$24)</f>
        <v>-1.1729783822607816E-2</v>
      </c>
      <c r="D27" s="312">
        <f t="shared" ref="D27:M27" si="13">D20-MIN(D$20:D$24)</f>
        <v>3.4268690782372282E-3</v>
      </c>
      <c r="E27" s="312">
        <f t="shared" si="13"/>
        <v>6.1069890273664357E-3</v>
      </c>
      <c r="F27" s="312">
        <f t="shared" si="13"/>
        <v>4.9358362417752169E-3</v>
      </c>
      <c r="G27" s="312">
        <f t="shared" si="13"/>
        <v>0</v>
      </c>
      <c r="H27" s="312">
        <f t="shared" si="13"/>
        <v>5.7910765907017936E-2</v>
      </c>
      <c r="I27" s="312">
        <f t="shared" si="13"/>
        <v>3.7238494103005983E-2</v>
      </c>
      <c r="J27" s="312">
        <f t="shared" si="13"/>
        <v>5.7366428333268825E-3</v>
      </c>
      <c r="K27" s="312">
        <f t="shared" si="13"/>
        <v>1.945013392778789E-2</v>
      </c>
      <c r="L27" s="312">
        <f t="shared" si="13"/>
        <v>1.5529334367010195E-2</v>
      </c>
      <c r="M27" s="312">
        <f t="shared" si="13"/>
        <v>1.1120243490281633E-2</v>
      </c>
      <c r="N27" s="312">
        <f t="shared" ref="N27:O27" si="14">N20-MAX(N$20:N$24)</f>
        <v>0</v>
      </c>
      <c r="O27" s="312">
        <f t="shared" si="14"/>
        <v>-3.510971492829789E-2</v>
      </c>
      <c r="P27" s="312">
        <f t="shared" ref="P27:Q27" si="15">P20-MIN(P$20:P$24)</f>
        <v>4.2742682615305484E-3</v>
      </c>
      <c r="Q27" s="313">
        <f t="shared" si="15"/>
        <v>1.1414244129844573E-2</v>
      </c>
      <c r="R27" s="308">
        <f t="shared" ref="R27:R31" si="16">SQRT(SUMSQ(C27:Q27))</f>
        <v>8.4312718780339968E-2</v>
      </c>
    </row>
    <row r="28" spans="2:18" ht="12.5">
      <c r="C28" s="314">
        <f t="shared" si="12"/>
        <v>-2.8624977034987883E-2</v>
      </c>
      <c r="D28" s="315">
        <f t="shared" ref="D28:M28" si="17">D21-MIN(D$20:D$24)</f>
        <v>0</v>
      </c>
      <c r="E28" s="315">
        <f t="shared" si="17"/>
        <v>1.3740725311574484E-2</v>
      </c>
      <c r="F28" s="315">
        <f t="shared" si="17"/>
        <v>0</v>
      </c>
      <c r="G28" s="315">
        <f t="shared" si="17"/>
        <v>1.1782658554890321E-2</v>
      </c>
      <c r="H28" s="315">
        <f t="shared" si="17"/>
        <v>8.3908065406782251E-3</v>
      </c>
      <c r="I28" s="315">
        <f t="shared" si="17"/>
        <v>6.206415683834331E-3</v>
      </c>
      <c r="J28" s="315">
        <f t="shared" si="17"/>
        <v>3.2937312766778146E-3</v>
      </c>
      <c r="K28" s="315">
        <f t="shared" si="17"/>
        <v>2.4067737816672679E-3</v>
      </c>
      <c r="L28" s="315">
        <f t="shared" si="17"/>
        <v>2.1162130674382301E-2</v>
      </c>
      <c r="M28" s="315">
        <f t="shared" si="17"/>
        <v>7.4134956601877543E-3</v>
      </c>
      <c r="N28" s="315">
        <f t="shared" ref="N28:O28" si="18">N21-MAX(N$20:N$24)</f>
        <v>-3.871824445765807E-2</v>
      </c>
      <c r="O28" s="315">
        <f t="shared" si="18"/>
        <v>-3.6881814104489583E-2</v>
      </c>
      <c r="P28" s="315">
        <f t="shared" ref="P28:Q28" si="19">P21-MIN(P$20:P$24)</f>
        <v>2.4282387798063923E-3</v>
      </c>
      <c r="Q28" s="316">
        <f t="shared" si="19"/>
        <v>1.2229547281976359E-3</v>
      </c>
      <c r="R28" s="309">
        <f t="shared" si="16"/>
        <v>6.8133344705136156E-2</v>
      </c>
    </row>
    <row r="29" spans="2:18" ht="12.5">
      <c r="C29" s="314">
        <f t="shared" si="12"/>
        <v>0</v>
      </c>
      <c r="D29" s="315">
        <f t="shared" ref="D29:M29" si="20">D22-MIN(D$20:D$24)</f>
        <v>9.4238899651523864E-3</v>
      </c>
      <c r="E29" s="315">
        <f t="shared" si="20"/>
        <v>0</v>
      </c>
      <c r="F29" s="315">
        <f t="shared" si="20"/>
        <v>6.1697953022190194E-3</v>
      </c>
      <c r="G29" s="315">
        <f t="shared" si="20"/>
        <v>2.3565317109780638E-2</v>
      </c>
      <c r="H29" s="315">
        <f t="shared" si="20"/>
        <v>3.4686939768602126E-3</v>
      </c>
      <c r="I29" s="315">
        <f t="shared" si="20"/>
        <v>0</v>
      </c>
      <c r="J29" s="315">
        <f t="shared" si="20"/>
        <v>0</v>
      </c>
      <c r="K29" s="315">
        <f t="shared" si="20"/>
        <v>0</v>
      </c>
      <c r="L29" s="315">
        <f t="shared" si="20"/>
        <v>2.3550950206019081E-2</v>
      </c>
      <c r="M29" s="315">
        <f t="shared" si="20"/>
        <v>0</v>
      </c>
      <c r="N29" s="315">
        <f t="shared" ref="N29:O29" si="21">N22-MAX(N$20:N$24)</f>
        <v>-6.2995558028316537E-3</v>
      </c>
      <c r="O29" s="315">
        <f t="shared" si="21"/>
        <v>-2.8741233513858998E-2</v>
      </c>
      <c r="P29" s="315">
        <f t="shared" ref="P29:Q29" si="22">P22-MIN(P$20:P$24)</f>
        <v>0</v>
      </c>
      <c r="Q29" s="316">
        <f t="shared" si="22"/>
        <v>8.0511186273010855E-3</v>
      </c>
      <c r="R29" s="309">
        <f t="shared" si="16"/>
        <v>4.6684502337549193E-2</v>
      </c>
    </row>
    <row r="30" spans="2:18" ht="12.5">
      <c r="C30" s="314">
        <f t="shared" si="12"/>
        <v>-1.3989650430633174E-2</v>
      </c>
      <c r="D30" s="315">
        <f t="shared" ref="D30:M30" si="23">D23-MIN(D$20:D$24)</f>
        <v>2.5701518086779229E-3</v>
      </c>
      <c r="E30" s="315">
        <f t="shared" si="23"/>
        <v>7.6337362842080619E-4</v>
      </c>
      <c r="F30" s="315">
        <f t="shared" si="23"/>
        <v>8.6377134231066244E-3</v>
      </c>
      <c r="G30" s="315">
        <f t="shared" si="23"/>
        <v>1.1782658554890321E-2</v>
      </c>
      <c r="H30" s="315">
        <f t="shared" si="23"/>
        <v>0</v>
      </c>
      <c r="I30" s="315">
        <f t="shared" si="23"/>
        <v>1.2412831367668662E-2</v>
      </c>
      <c r="J30" s="315">
        <f t="shared" si="23"/>
        <v>4.834700898360785E-3</v>
      </c>
      <c r="K30" s="315">
        <f t="shared" si="23"/>
        <v>6.5565410281722173E-4</v>
      </c>
      <c r="L30" s="315">
        <f t="shared" si="23"/>
        <v>0</v>
      </c>
      <c r="M30" s="315">
        <f t="shared" si="23"/>
        <v>7.4134956601877543E-3</v>
      </c>
      <c r="N30" s="315">
        <f t="shared" ref="N30:O30" si="24">N23-MAX(N$20:N$24)</f>
        <v>-6.8868025302142588E-3</v>
      </c>
      <c r="O30" s="315">
        <f t="shared" si="24"/>
        <v>0</v>
      </c>
      <c r="P30" s="315">
        <f t="shared" ref="P30:Q30" si="25">P23-MIN(P$20:P$24)</f>
        <v>3.7218794396915514E-2</v>
      </c>
      <c r="Q30" s="316">
        <f t="shared" si="25"/>
        <v>0</v>
      </c>
      <c r="R30" s="309">
        <f t="shared" si="16"/>
        <v>4.5627284551936341E-2</v>
      </c>
    </row>
    <row r="31" spans="2:18" ht="13" thickBot="1">
      <c r="C31" s="317">
        <f t="shared" si="12"/>
        <v>-4.1753725900659018E-2</v>
      </c>
      <c r="D31" s="318">
        <f t="shared" ref="D31:M31" si="26">D24-MIN(D$20:D$24)</f>
        <v>5.1403036173558528E-3</v>
      </c>
      <c r="E31" s="318">
        <f t="shared" si="26"/>
        <v>7.6337362842080481E-3</v>
      </c>
      <c r="F31" s="318">
        <f t="shared" si="26"/>
        <v>3.0848976511095097E-3</v>
      </c>
      <c r="G31" s="318">
        <f t="shared" si="26"/>
        <v>2.3565317109780638E-2</v>
      </c>
      <c r="H31" s="318">
        <f t="shared" si="26"/>
        <v>1.0656756504202076E-3</v>
      </c>
      <c r="I31" s="318">
        <f t="shared" si="26"/>
        <v>9.3096235257514957E-3</v>
      </c>
      <c r="J31" s="318">
        <f t="shared" si="26"/>
        <v>7.7685682977474704E-2</v>
      </c>
      <c r="K31" s="318">
        <f t="shared" si="26"/>
        <v>2.1566940987517592E-2</v>
      </c>
      <c r="L31" s="318">
        <f t="shared" si="26"/>
        <v>2.0688381590797188E-2</v>
      </c>
      <c r="M31" s="318">
        <f t="shared" si="26"/>
        <v>7.4134956601877543E-3</v>
      </c>
      <c r="N31" s="318">
        <f t="shared" ref="N31:O31" si="27">N24-MAX(N$20:N$24)</f>
        <v>-1.2839348903228909E-2</v>
      </c>
      <c r="O31" s="318">
        <f t="shared" si="27"/>
        <v>-2.3148045489003975E-2</v>
      </c>
      <c r="P31" s="318">
        <f t="shared" ref="P31:Q31" si="28">P24-MIN(P$20:P$24)</f>
        <v>5.5522886719549663E-3</v>
      </c>
      <c r="Q31" s="319">
        <f t="shared" si="28"/>
        <v>5.2994704888564143E-3</v>
      </c>
      <c r="R31" s="310">
        <f t="shared" si="16"/>
        <v>0.10111120767488101</v>
      </c>
    </row>
    <row r="33" spans="2:18" ht="13" thickBot="1">
      <c r="R33" s="307" t="s">
        <v>862</v>
      </c>
    </row>
    <row r="34" spans="2:18" ht="13.5" thickBot="1">
      <c r="B34" s="306" t="s">
        <v>863</v>
      </c>
      <c r="C34" s="335">
        <f t="shared" ref="C34:C38" si="29">C20-MIN(C$20:C$24)</f>
        <v>3.0023942078051202E-2</v>
      </c>
      <c r="D34" s="336">
        <f t="shared" ref="D34:M34" si="30">D20-MAX(D$20:D$24)</f>
        <v>-5.9970208869151581E-3</v>
      </c>
      <c r="E34" s="336">
        <f t="shared" si="30"/>
        <v>-7.6337362842080481E-3</v>
      </c>
      <c r="F34" s="336">
        <f t="shared" si="30"/>
        <v>-3.7018771813314075E-3</v>
      </c>
      <c r="G34" s="336">
        <f t="shared" si="30"/>
        <v>-2.3565317109780638E-2</v>
      </c>
      <c r="H34" s="336">
        <f t="shared" si="30"/>
        <v>0</v>
      </c>
      <c r="I34" s="336">
        <f t="shared" si="30"/>
        <v>0</v>
      </c>
      <c r="J34" s="336">
        <f t="shared" si="30"/>
        <v>-7.1949040144147824E-2</v>
      </c>
      <c r="K34" s="336">
        <f t="shared" si="30"/>
        <v>-2.1168070597297022E-3</v>
      </c>
      <c r="L34" s="336">
        <f t="shared" si="30"/>
        <v>-8.021615839008886E-3</v>
      </c>
      <c r="M34" s="336">
        <f t="shared" si="30"/>
        <v>0</v>
      </c>
      <c r="N34" s="336">
        <f t="shared" ref="N34:O34" si="31">N20-MIN(N$20:N$24)</f>
        <v>3.871824445765807E-2</v>
      </c>
      <c r="O34" s="336">
        <f t="shared" si="31"/>
        <v>1.7720991761916915E-3</v>
      </c>
      <c r="P34" s="336">
        <f t="shared" ref="P34:Q34" si="32">P20-MAX(P$20:P$24)</f>
        <v>-3.2944526135384962E-2</v>
      </c>
      <c r="Q34" s="337">
        <f t="shared" si="32"/>
        <v>0</v>
      </c>
      <c r="R34" s="308">
        <f t="shared" ref="R34:R38" si="33">SQRT(SUMSQ(C34:Q34))</f>
        <v>9.6942145191606599E-2</v>
      </c>
    </row>
    <row r="35" spans="2:18" ht="12.5">
      <c r="C35" s="338">
        <f t="shared" si="29"/>
        <v>1.3128748865671136E-2</v>
      </c>
      <c r="D35" s="339">
        <f t="shared" ref="D35:M35" si="34">D21-MAX(D$20:D$24)</f>
        <v>-9.4238899651523864E-3</v>
      </c>
      <c r="E35" s="339">
        <f t="shared" si="34"/>
        <v>0</v>
      </c>
      <c r="F35" s="339">
        <f t="shared" si="34"/>
        <v>-8.6377134231066244E-3</v>
      </c>
      <c r="G35" s="339">
        <f t="shared" si="34"/>
        <v>-1.1782658554890319E-2</v>
      </c>
      <c r="H35" s="339">
        <f t="shared" si="34"/>
        <v>-4.9519959366339711E-2</v>
      </c>
      <c r="I35" s="339">
        <f t="shared" si="34"/>
        <v>-3.1032078419171653E-2</v>
      </c>
      <c r="J35" s="339">
        <f t="shared" si="34"/>
        <v>-7.4391951700796891E-2</v>
      </c>
      <c r="K35" s="339">
        <f t="shared" si="34"/>
        <v>-1.9160167205850322E-2</v>
      </c>
      <c r="L35" s="339">
        <f t="shared" si="34"/>
        <v>-2.3888195316367801E-3</v>
      </c>
      <c r="M35" s="339">
        <f t="shared" si="34"/>
        <v>-3.7067478300938789E-3</v>
      </c>
      <c r="N35" s="339">
        <f t="shared" ref="N35:O35" si="35">N21-MIN(N$20:N$24)</f>
        <v>0</v>
      </c>
      <c r="O35" s="339">
        <f t="shared" si="35"/>
        <v>0</v>
      </c>
      <c r="P35" s="339">
        <f t="shared" ref="P35:Q35" si="36">P21-MAX(P$20:P$24)</f>
        <v>-3.4790555617109115E-2</v>
      </c>
      <c r="Q35" s="340">
        <f t="shared" si="36"/>
        <v>-1.0191289401646937E-2</v>
      </c>
      <c r="R35" s="309">
        <f t="shared" si="33"/>
        <v>0.10547415424912078</v>
      </c>
    </row>
    <row r="36" spans="2:18" ht="12.5">
      <c r="C36" s="338">
        <f t="shared" si="29"/>
        <v>4.1753725900659018E-2</v>
      </c>
      <c r="D36" s="339">
        <f t="shared" ref="D36:M36" si="37">D22-MAX(D$20:D$24)</f>
        <v>0</v>
      </c>
      <c r="E36" s="339">
        <f t="shared" si="37"/>
        <v>-1.3740725311574484E-2</v>
      </c>
      <c r="F36" s="339">
        <f t="shared" si="37"/>
        <v>-2.467918120887605E-3</v>
      </c>
      <c r="G36" s="339">
        <f t="shared" si="37"/>
        <v>0</v>
      </c>
      <c r="H36" s="339">
        <f t="shared" si="37"/>
        <v>-5.4442071930157723E-2</v>
      </c>
      <c r="I36" s="339">
        <f t="shared" si="37"/>
        <v>-3.7238494103005983E-2</v>
      </c>
      <c r="J36" s="339">
        <f t="shared" si="37"/>
        <v>-7.7685682977474704E-2</v>
      </c>
      <c r="K36" s="339">
        <f t="shared" si="37"/>
        <v>-2.1566940987517592E-2</v>
      </c>
      <c r="L36" s="339">
        <f t="shared" si="37"/>
        <v>0</v>
      </c>
      <c r="M36" s="339">
        <f t="shared" si="37"/>
        <v>-1.1120243490281633E-2</v>
      </c>
      <c r="N36" s="339">
        <f t="shared" ref="N36:O36" si="38">N22-MIN(N$20:N$24)</f>
        <v>3.2418688654826416E-2</v>
      </c>
      <c r="O36" s="339">
        <f t="shared" si="38"/>
        <v>8.1405805906305823E-3</v>
      </c>
      <c r="P36" s="339">
        <f t="shared" ref="P36:Q36" si="39">P22-MAX(P$20:P$24)</f>
        <v>-3.7218794396915514E-2</v>
      </c>
      <c r="Q36" s="340">
        <f t="shared" si="39"/>
        <v>-3.3631255025434875E-3</v>
      </c>
      <c r="R36" s="309">
        <f t="shared" si="33"/>
        <v>0.12420372060494309</v>
      </c>
    </row>
    <row r="37" spans="2:18" ht="12.5">
      <c r="C37" s="338">
        <f t="shared" si="29"/>
        <v>2.7764075470025844E-2</v>
      </c>
      <c r="D37" s="339">
        <f t="shared" ref="D37:M37" si="40">D23-MAX(D$20:D$24)</f>
        <v>-6.8537381564744634E-3</v>
      </c>
      <c r="E37" s="339">
        <f t="shared" si="40"/>
        <v>-1.2977351683153678E-2</v>
      </c>
      <c r="F37" s="339">
        <f t="shared" si="40"/>
        <v>0</v>
      </c>
      <c r="G37" s="339">
        <f t="shared" si="40"/>
        <v>-1.1782658554890319E-2</v>
      </c>
      <c r="H37" s="339">
        <f t="shared" si="40"/>
        <v>-5.7910765907017936E-2</v>
      </c>
      <c r="I37" s="339">
        <f t="shared" si="40"/>
        <v>-2.4825662735337321E-2</v>
      </c>
      <c r="J37" s="339">
        <f t="shared" si="40"/>
        <v>-7.2850982079113918E-2</v>
      </c>
      <c r="K37" s="339">
        <f t="shared" si="40"/>
        <v>-2.091128688470037E-2</v>
      </c>
      <c r="L37" s="339">
        <f t="shared" si="40"/>
        <v>-2.3550950206019081E-2</v>
      </c>
      <c r="M37" s="339">
        <f t="shared" si="40"/>
        <v>-3.7067478300938789E-3</v>
      </c>
      <c r="N37" s="339">
        <f t="shared" ref="N37:O37" si="41">N23-MIN(N$20:N$24)</f>
        <v>3.1831441927443811E-2</v>
      </c>
      <c r="O37" s="339">
        <f t="shared" si="41"/>
        <v>3.6881814104489583E-2</v>
      </c>
      <c r="P37" s="339">
        <f t="shared" ref="P37:Q37" si="42">P23-MAX(P$20:P$24)</f>
        <v>0</v>
      </c>
      <c r="Q37" s="340">
        <f t="shared" si="42"/>
        <v>-1.1414244129844573E-2</v>
      </c>
      <c r="R37" s="309">
        <f t="shared" si="33"/>
        <v>0.11794812109974577</v>
      </c>
    </row>
    <row r="38" spans="2:18" ht="13" thickBot="1">
      <c r="C38" s="341">
        <f t="shared" si="29"/>
        <v>0</v>
      </c>
      <c r="D38" s="342">
        <f t="shared" ref="D38:M38" si="43">D24-MAX(D$20:D$24)</f>
        <v>-4.2835863477965336E-3</v>
      </c>
      <c r="E38" s="342">
        <f t="shared" si="43"/>
        <v>-6.1069890273664357E-3</v>
      </c>
      <c r="F38" s="342">
        <f t="shared" si="43"/>
        <v>-5.5528157719971147E-3</v>
      </c>
      <c r="G38" s="342">
        <f t="shared" si="43"/>
        <v>0</v>
      </c>
      <c r="H38" s="342">
        <f t="shared" si="43"/>
        <v>-5.6845090256597723E-2</v>
      </c>
      <c r="I38" s="342">
        <f t="shared" si="43"/>
        <v>-2.7928870577254489E-2</v>
      </c>
      <c r="J38" s="342">
        <f t="shared" si="43"/>
        <v>0</v>
      </c>
      <c r="K38" s="342">
        <f t="shared" si="43"/>
        <v>0</v>
      </c>
      <c r="L38" s="342">
        <f t="shared" si="43"/>
        <v>-2.8625686152218936E-3</v>
      </c>
      <c r="M38" s="342">
        <f t="shared" si="43"/>
        <v>-3.7067478300938789E-3</v>
      </c>
      <c r="N38" s="342">
        <f t="shared" ref="N38:O38" si="44">N24-MIN(N$20:N$24)</f>
        <v>2.5878895554429161E-2</v>
      </c>
      <c r="O38" s="342">
        <f t="shared" si="44"/>
        <v>1.3733768615485607E-2</v>
      </c>
      <c r="P38" s="342">
        <f t="shared" ref="P38:Q38" si="45">P24-MAX(P$20:P$24)</f>
        <v>-3.1666505724960547E-2</v>
      </c>
      <c r="Q38" s="343">
        <f t="shared" si="45"/>
        <v>-6.1147736409881588E-3</v>
      </c>
      <c r="R38" s="310">
        <f t="shared" si="33"/>
        <v>7.7577640100365955E-2</v>
      </c>
    </row>
    <row r="40" spans="2:18" ht="13" thickBot="1"/>
    <row r="41" spans="2:18" ht="13.5" thickBot="1">
      <c r="E41" s="344"/>
      <c r="F41" s="345" t="s">
        <v>889</v>
      </c>
    </row>
    <row r="42" spans="2:18" ht="13">
      <c r="B42" s="326" t="s">
        <v>888</v>
      </c>
      <c r="C42" s="321" t="s">
        <v>854</v>
      </c>
      <c r="D42" s="329" t="s">
        <v>864</v>
      </c>
      <c r="E42" s="331">
        <v>1</v>
      </c>
      <c r="F42" s="332" t="str">
        <f>VLOOKUP(E42,B43:D47,2,0)</f>
        <v>Lemon Tree Hotels Ltd</v>
      </c>
    </row>
    <row r="43" spans="2:18" ht="12.5">
      <c r="B43" s="322">
        <f>_xlfn.RANK.AVG(D43,$D$43:$D$47)</f>
        <v>2</v>
      </c>
      <c r="C43" s="327" t="s">
        <v>165</v>
      </c>
      <c r="D43" s="330">
        <f t="shared" ref="D43:D47" si="46">R27/(R27+R34)</f>
        <v>0.46516113792890729</v>
      </c>
      <c r="E43" s="331">
        <v>2</v>
      </c>
      <c r="F43" s="332" t="str">
        <f>VLOOKUP(E43,B43:D47,2,0)</f>
        <v>Indian Hotels Co Ltd</v>
      </c>
    </row>
    <row r="44" spans="2:18" ht="13" thickBot="1">
      <c r="B44" s="322">
        <f t="shared" ref="B44:B47" si="47">_xlfn.RANK.AVG(D44,$D$43:$D$47)</f>
        <v>3</v>
      </c>
      <c r="C44" s="327" t="s">
        <v>167</v>
      </c>
      <c r="D44" s="330">
        <f t="shared" si="46"/>
        <v>0.39245623095514043</v>
      </c>
      <c r="E44" s="333">
        <v>3</v>
      </c>
      <c r="F44" s="334" t="str">
        <f>VLOOKUP(E44,B43:D47,2,0)</f>
        <v>EIH Ltd</v>
      </c>
    </row>
    <row r="45" spans="2:18" ht="12.5">
      <c r="B45" s="322">
        <f t="shared" si="47"/>
        <v>5</v>
      </c>
      <c r="C45" s="327" t="s">
        <v>168</v>
      </c>
      <c r="D45" s="324">
        <f t="shared" si="46"/>
        <v>0.27318735916201536</v>
      </c>
    </row>
    <row r="46" spans="2:18" ht="12.5">
      <c r="B46" s="322">
        <f t="shared" si="47"/>
        <v>4</v>
      </c>
      <c r="C46" s="327" t="s">
        <v>169</v>
      </c>
      <c r="D46" s="324">
        <f t="shared" si="46"/>
        <v>0.278937315607795</v>
      </c>
    </row>
    <row r="47" spans="2:18" ht="13" thickBot="1">
      <c r="B47" s="323">
        <f t="shared" si="47"/>
        <v>1</v>
      </c>
      <c r="C47" s="328" t="s">
        <v>170</v>
      </c>
      <c r="D47" s="325">
        <f t="shared" si="46"/>
        <v>0.56585068924982751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outlinePr summaryBelow="0" summaryRight="0"/>
  </sheetPr>
  <dimension ref="B1:R47"/>
  <sheetViews>
    <sheetView showGridLines="0" zoomScale="50" zoomScaleNormal="50" workbookViewId="0">
      <selection activeCell="G44" sqref="G44"/>
    </sheetView>
  </sheetViews>
  <sheetFormatPr defaultColWidth="12.54296875" defaultRowHeight="15.75" customHeight="1"/>
  <cols>
    <col min="1" max="1" width="1.54296875" customWidth="1"/>
    <col min="2" max="2" width="26.453125" bestFit="1" customWidth="1"/>
    <col min="3" max="3" width="24.1796875" bestFit="1" customWidth="1"/>
    <col min="4" max="4" width="18.26953125" bestFit="1" customWidth="1"/>
    <col min="5" max="5" width="10.7265625" bestFit="1" customWidth="1"/>
    <col min="6" max="6" width="28.7265625" bestFit="1" customWidth="1"/>
    <col min="7" max="7" width="30.7265625" bestFit="1" customWidth="1"/>
    <col min="8" max="8" width="13.81640625" bestFit="1" customWidth="1"/>
    <col min="9" max="9" width="12.26953125" bestFit="1" customWidth="1"/>
    <col min="10" max="10" width="10.7265625" bestFit="1" customWidth="1"/>
    <col min="11" max="11" width="14.81640625" bestFit="1" customWidth="1"/>
    <col min="12" max="12" width="15.26953125" bestFit="1" customWidth="1"/>
    <col min="13" max="13" width="11.81640625" bestFit="1" customWidth="1"/>
    <col min="14" max="14" width="15.81640625" bestFit="1" customWidth="1"/>
    <col min="15" max="15" width="18" bestFit="1" customWidth="1"/>
    <col min="16" max="17" width="15" bestFit="1" customWidth="1"/>
    <col min="18" max="18" width="18" bestFit="1" customWidth="1"/>
  </cols>
  <sheetData>
    <row r="1" spans="2:17" ht="15" thickBot="1">
      <c r="B1" s="273"/>
      <c r="C1" s="274" t="s">
        <v>852</v>
      </c>
      <c r="D1" s="274" t="s">
        <v>853</v>
      </c>
      <c r="E1" s="274" t="s">
        <v>853</v>
      </c>
      <c r="F1" s="274" t="s">
        <v>853</v>
      </c>
      <c r="G1" s="274" t="s">
        <v>853</v>
      </c>
      <c r="H1" s="274" t="s">
        <v>853</v>
      </c>
      <c r="I1" s="274" t="s">
        <v>853</v>
      </c>
      <c r="J1" s="274" t="s">
        <v>853</v>
      </c>
      <c r="K1" s="274" t="s">
        <v>853</v>
      </c>
      <c r="L1" s="274" t="s">
        <v>853</v>
      </c>
      <c r="M1" s="274" t="s">
        <v>853</v>
      </c>
      <c r="N1" s="274" t="s">
        <v>852</v>
      </c>
      <c r="O1" s="274" t="s">
        <v>852</v>
      </c>
      <c r="P1" s="274" t="s">
        <v>853</v>
      </c>
      <c r="Q1" s="274" t="s">
        <v>853</v>
      </c>
    </row>
    <row r="2" spans="2:17" ht="15" customHeight="1">
      <c r="B2" s="278" t="s">
        <v>106</v>
      </c>
      <c r="C2" s="279" t="s">
        <v>108</v>
      </c>
      <c r="D2" s="279" t="s">
        <v>109</v>
      </c>
      <c r="E2" s="279" t="s">
        <v>110</v>
      </c>
      <c r="F2" s="279" t="s">
        <v>111</v>
      </c>
      <c r="G2" s="279" t="s">
        <v>112</v>
      </c>
      <c r="H2" s="279" t="s">
        <v>113</v>
      </c>
      <c r="I2" s="279" t="s">
        <v>114</v>
      </c>
      <c r="J2" s="279" t="s">
        <v>115</v>
      </c>
      <c r="K2" s="279" t="s">
        <v>116</v>
      </c>
      <c r="L2" s="279" t="s">
        <v>117</v>
      </c>
      <c r="M2" s="279" t="s">
        <v>118</v>
      </c>
      <c r="N2" s="279" t="s">
        <v>119</v>
      </c>
      <c r="O2" s="279" t="s">
        <v>120</v>
      </c>
      <c r="P2" s="279" t="s">
        <v>121</v>
      </c>
      <c r="Q2" s="280" t="s">
        <v>122</v>
      </c>
    </row>
    <row r="3" spans="2:17" ht="14">
      <c r="B3" s="281" t="s">
        <v>159</v>
      </c>
      <c r="C3" s="275">
        <f>INDEX('Company data'!$C$5:$V$64,MATCH($B3,'Company data'!$B$5:$B$64,0),MATCH(C$2,'Company data'!$C$4:$V$4,0))</f>
        <v>274</v>
      </c>
      <c r="D3" s="275">
        <f>INDEX('Company data'!$C$5:$V$64,MATCH($B3,'Company data'!$B$5:$B$64,0),MATCH(D$2,'Company data'!$C$4:$V$4,0))</f>
        <v>43</v>
      </c>
      <c r="E3" s="275">
        <f>INDEX('Company data'!$C$5:$V$64,MATCH($B3,'Company data'!$B$5:$B$64,0),MATCH(E$2,'Company data'!$C$4:$V$4,0))</f>
        <v>50</v>
      </c>
      <c r="F3" s="275">
        <f>INDEX('Company data'!$C$5:$V$64,MATCH($B3,'Company data'!$B$5:$B$64,0),MATCH(F$2,'Company data'!$C$4:$V$4,0))</f>
        <v>55</v>
      </c>
      <c r="G3" s="276">
        <f>INDEX('Company data'!$C$5:$V$64,MATCH($B3,'Company data'!$B$5:$B$64,0),MATCH(G$2,'Company data'!$C$4:$V$4,0))</f>
        <v>0.05</v>
      </c>
      <c r="H3" s="275">
        <f>INDEX('Company data'!$C$5:$V$64,MATCH($B3,'Company data'!$B$5:$B$64,0),MATCH(H$2,'Company data'!$C$4:$V$4,0))</f>
        <v>26251</v>
      </c>
      <c r="I3" s="276">
        <f>INDEX('Company data'!$C$5:$V$64,MATCH($B3,'Company data'!$B$5:$B$64,0),MATCH(I$2,'Company data'!$C$4:$V$4,0))</f>
        <v>0.01</v>
      </c>
      <c r="J3" s="277">
        <f>INDEX('Company data'!$C$5:$V$64,MATCH($B3,'Company data'!$B$5:$B$64,0),MATCH(J$2,'Company data'!$C$4:$V$4,0))</f>
        <v>-0.17119999999999999</v>
      </c>
      <c r="K3" s="275">
        <f>INDEX('Company data'!$C$5:$V$64,MATCH($B3,'Company data'!$B$5:$B$64,0),MATCH(K$2,'Company data'!$C$4:$V$4,0))</f>
        <v>11871067</v>
      </c>
      <c r="L3" s="277">
        <f>INDEX('Company data'!$C$5:$V$64,MATCH($B3,'Company data'!$B$5:$B$64,0),MATCH(L$2,'Company data'!$C$4:$V$4,0))</f>
        <v>-2.8999999999999998E-3</v>
      </c>
      <c r="M3" s="275">
        <f>INDEX('Company data'!$C$5:$V$64,MATCH($B3,'Company data'!$B$5:$B$64,0),MATCH(M$2,'Company data'!$C$4:$V$4,0))</f>
        <v>14</v>
      </c>
      <c r="N3" s="275">
        <f>INDEX('Company data'!$C$5:$V$64,MATCH($B3,'Company data'!$B$5:$B$64,0),MATCH(N$2,'Company data'!$C$4:$V$4,0))</f>
        <v>282</v>
      </c>
      <c r="O3" s="275">
        <f>INDEX('Company data'!$C$5:$V$64,MATCH($B3,'Company data'!$B$5:$B$64,0),MATCH(O$2,'Company data'!$C$4:$V$4,0))</f>
        <v>0.03</v>
      </c>
      <c r="P3" s="277">
        <f>INDEX('Company data'!$C$5:$V$64,MATCH($B3,'Company data'!$B$5:$B$64,0),MATCH(P$2,'Company data'!$C$4:$V$4,0))</f>
        <v>7.1000000000000004E-3</v>
      </c>
      <c r="Q3" s="282">
        <f>INDEX('Company data'!$C$5:$V$64,MATCH($B3,'Company data'!$B$5:$B$64,0),MATCH(Q$2,'Company data'!$C$4:$V$4,0))</f>
        <v>24.7</v>
      </c>
    </row>
    <row r="4" spans="2:17" ht="14">
      <c r="B4" s="281" t="s">
        <v>161</v>
      </c>
      <c r="C4" s="275">
        <f>INDEX('Company data'!$C$5:$V$64,MATCH($B4,'Company data'!$B$5:$B$64,0),MATCH(C$2,'Company data'!$C$4:$V$4,0))</f>
        <v>549</v>
      </c>
      <c r="D4" s="275">
        <f>INDEX('Company data'!$C$5:$V$64,MATCH($B4,'Company data'!$B$5:$B$64,0),MATCH(D$2,'Company data'!$C$4:$V$4,0))</f>
        <v>41</v>
      </c>
      <c r="E4" s="275">
        <f>INDEX('Company data'!$C$5:$V$64,MATCH($B4,'Company data'!$B$5:$B$64,0),MATCH(E$2,'Company data'!$C$4:$V$4,0))</f>
        <v>49</v>
      </c>
      <c r="F4" s="275">
        <f>INDEX('Company data'!$C$5:$V$64,MATCH($B4,'Company data'!$B$5:$B$64,0),MATCH(F$2,'Company data'!$C$4:$V$4,0))</f>
        <v>57</v>
      </c>
      <c r="G4" s="276">
        <f>INDEX('Company data'!$C$5:$V$64,MATCH($B4,'Company data'!$B$5:$B$64,0),MATCH(G$2,'Company data'!$C$4:$V$4,0))</f>
        <v>0.1</v>
      </c>
      <c r="H4" s="275">
        <f>INDEX('Company data'!$C$5:$V$64,MATCH($B4,'Company data'!$B$5:$B$64,0),MATCH(H$2,'Company data'!$C$4:$V$4,0))</f>
        <v>21647</v>
      </c>
      <c r="I4" s="276">
        <f>INDEX('Company data'!$C$5:$V$64,MATCH($B4,'Company data'!$B$5:$B$64,0),MATCH(I$2,'Company data'!$C$4:$V$4,0))</f>
        <v>0.28000000000000003</v>
      </c>
      <c r="J4" s="277">
        <f>INDEX('Company data'!$C$5:$V$64,MATCH($B4,'Company data'!$B$5:$B$64,0),MATCH(J$2,'Company data'!$C$4:$V$4,0))</f>
        <v>0.10299999999999999</v>
      </c>
      <c r="K4" s="275">
        <f>INDEX('Company data'!$C$5:$V$64,MATCH($B4,'Company data'!$B$5:$B$64,0),MATCH(K$2,'Company data'!$C$4:$V$4,0))</f>
        <v>903082</v>
      </c>
      <c r="L4" s="277">
        <f>INDEX('Company data'!$C$5:$V$64,MATCH($B4,'Company data'!$B$5:$B$64,0),MATCH(L$2,'Company data'!$C$4:$V$4,0))</f>
        <v>-2.0799999999999999E-2</v>
      </c>
      <c r="M4" s="275">
        <f>INDEX('Company data'!$C$5:$V$64,MATCH($B4,'Company data'!$B$5:$B$64,0),MATCH(M$2,'Company data'!$C$4:$V$4,0))</f>
        <v>14</v>
      </c>
      <c r="N4" s="275">
        <f>INDEX('Company data'!$C$5:$V$64,MATCH($B4,'Company data'!$B$5:$B$64,0),MATCH(N$2,'Company data'!$C$4:$V$4,0))</f>
        <v>62.9</v>
      </c>
      <c r="O4" s="275">
        <f>INDEX('Company data'!$C$5:$V$64,MATCH($B4,'Company data'!$B$5:$B$64,0),MATCH(O$2,'Company data'!$C$4:$V$4,0))</f>
        <v>0.01</v>
      </c>
      <c r="P4" s="277">
        <f>INDEX('Company data'!$C$5:$V$64,MATCH($B4,'Company data'!$B$5:$B$64,0),MATCH(P$2,'Company data'!$C$4:$V$4,0))</f>
        <v>0.19600000000000001</v>
      </c>
      <c r="Q4" s="282">
        <f>INDEX('Company data'!$C$5:$V$64,MATCH($B4,'Company data'!$B$5:$B$64,0),MATCH(Q$2,'Company data'!$C$4:$V$4,0))</f>
        <v>7.49</v>
      </c>
    </row>
    <row r="5" spans="2:17" ht="14">
      <c r="B5" s="281" t="s">
        <v>162</v>
      </c>
      <c r="C5" s="275">
        <f>INDEX('Company data'!$C$5:$V$64,MATCH($B5,'Company data'!$B$5:$B$64,0),MATCH(C$2,'Company data'!$C$4:$V$4,0))</f>
        <v>1720</v>
      </c>
      <c r="D5" s="275">
        <f>INDEX('Company data'!$C$5:$V$64,MATCH($B5,'Company data'!$B$5:$B$64,0),MATCH(D$2,'Company data'!$C$4:$V$4,0))</f>
        <v>47</v>
      </c>
      <c r="E5" s="275">
        <f>INDEX('Company data'!$C$5:$V$64,MATCH($B5,'Company data'!$B$5:$B$64,0),MATCH(E$2,'Company data'!$C$4:$V$4,0))</f>
        <v>45</v>
      </c>
      <c r="F5" s="275">
        <f>INDEX('Company data'!$C$5:$V$64,MATCH($B5,'Company data'!$B$5:$B$64,0),MATCH(F$2,'Company data'!$C$4:$V$4,0))</f>
        <v>58</v>
      </c>
      <c r="G5" s="276">
        <f>INDEX('Company data'!$C$5:$V$64,MATCH($B5,'Company data'!$B$5:$B$64,0),MATCH(G$2,'Company data'!$C$4:$V$4,0))</f>
        <v>0.15</v>
      </c>
      <c r="H5" s="275">
        <f>INDEX('Company data'!$C$5:$V$64,MATCH($B5,'Company data'!$B$5:$B$64,0),MATCH(H$2,'Company data'!$C$4:$V$4,0))</f>
        <v>16852</v>
      </c>
      <c r="I5" s="276">
        <f>INDEX('Company data'!$C$5:$V$64,MATCH($B5,'Company data'!$B$5:$B$64,0),MATCH(I$2,'Company data'!$C$4:$V$4,0))</f>
        <v>0.12</v>
      </c>
      <c r="J5" s="277">
        <f>INDEX('Company data'!$C$5:$V$64,MATCH($B5,'Company data'!$B$5:$B$64,0),MATCH(J$2,'Company data'!$C$4:$V$4,0))</f>
        <v>-0.42499999999999999</v>
      </c>
      <c r="K5" s="275">
        <f>INDEX('Company data'!$C$5:$V$64,MATCH($B5,'Company data'!$B$5:$B$64,0),MATCH(K$2,'Company data'!$C$4:$V$4,0))</f>
        <v>755720</v>
      </c>
      <c r="L5" s="277">
        <f>INDEX('Company data'!$C$5:$V$64,MATCH($B5,'Company data'!$B$5:$B$64,0),MATCH(L$2,'Company data'!$C$4:$V$4,0))</f>
        <v>0.8095</v>
      </c>
      <c r="M5" s="275">
        <f>INDEX('Company data'!$C$5:$V$64,MATCH($B5,'Company data'!$B$5:$B$64,0),MATCH(M$2,'Company data'!$C$4:$V$4,0))</f>
        <v>13</v>
      </c>
      <c r="N5" s="275">
        <f>INDEX('Company data'!$C$5:$V$64,MATCH($B5,'Company data'!$B$5:$B$64,0),MATCH(N$2,'Company data'!$C$4:$V$4,0))</f>
        <v>8052</v>
      </c>
      <c r="O5" s="275">
        <f>INDEX('Company data'!$C$5:$V$64,MATCH($B5,'Company data'!$B$5:$B$64,0),MATCH(O$2,'Company data'!$C$4:$V$4,0))</f>
        <v>1.1000000000000001</v>
      </c>
      <c r="P5" s="277">
        <f>INDEX('Company data'!$C$5:$V$64,MATCH($B5,'Company data'!$B$5:$B$64,0),MATCH(P$2,'Company data'!$C$4:$V$4,0))</f>
        <v>-7.6100000000000001E-2</v>
      </c>
      <c r="Q5" s="282">
        <f>INDEX('Company data'!$C$5:$V$64,MATCH($B5,'Company data'!$B$5:$B$64,0),MATCH(Q$2,'Company data'!$C$4:$V$4,0))</f>
        <v>21.5</v>
      </c>
    </row>
    <row r="6" spans="2:17" ht="14">
      <c r="B6" s="281" t="s">
        <v>163</v>
      </c>
      <c r="C6" s="275">
        <f>INDEX('Company data'!$C$5:$V$64,MATCH($B6,'Company data'!$B$5:$B$64,0),MATCH(C$2,'Company data'!$C$4:$V$4,0))</f>
        <v>201</v>
      </c>
      <c r="D6" s="275">
        <f>INDEX('Company data'!$C$5:$V$64,MATCH($B6,'Company data'!$B$5:$B$64,0),MATCH(D$2,'Company data'!$C$4:$V$4,0))</f>
        <v>43</v>
      </c>
      <c r="E6" s="275">
        <f>INDEX('Company data'!$C$5:$V$64,MATCH($B6,'Company data'!$B$5:$B$64,0),MATCH(E$2,'Company data'!$C$4:$V$4,0))</f>
        <v>52</v>
      </c>
      <c r="F6" s="275">
        <f>INDEX('Company data'!$C$5:$V$64,MATCH($B6,'Company data'!$B$5:$B$64,0),MATCH(F$2,'Company data'!$C$4:$V$4,0))</f>
        <v>65</v>
      </c>
      <c r="G6" s="276">
        <f>INDEX('Company data'!$C$5:$V$64,MATCH($B6,'Company data'!$B$5:$B$64,0),MATCH(G$2,'Company data'!$C$4:$V$4,0))</f>
        <v>0.1</v>
      </c>
      <c r="H6" s="275">
        <f>INDEX('Company data'!$C$5:$V$64,MATCH($B6,'Company data'!$B$5:$B$64,0),MATCH(H$2,'Company data'!$C$4:$V$4,0))</f>
        <v>1204</v>
      </c>
      <c r="I6" s="276">
        <f>INDEX('Company data'!$C$5:$V$64,MATCH($B6,'Company data'!$B$5:$B$64,0),MATCH(I$2,'Company data'!$C$4:$V$4,0))</f>
        <v>0.02</v>
      </c>
      <c r="J6" s="277">
        <f>INDEX('Company data'!$C$5:$V$64,MATCH($B6,'Company data'!$B$5:$B$64,0),MATCH(J$2,'Company data'!$C$4:$V$4,0))</f>
        <v>-0.1206</v>
      </c>
      <c r="K6" s="275">
        <f>INDEX('Company data'!$C$5:$V$64,MATCH($B6,'Company data'!$B$5:$B$64,0),MATCH(K$2,'Company data'!$C$4:$V$4,0))</f>
        <v>203833</v>
      </c>
      <c r="L6" s="277">
        <f>INDEX('Company data'!$C$5:$V$64,MATCH($B6,'Company data'!$B$5:$B$64,0),MATCH(L$2,'Company data'!$C$4:$V$4,0))</f>
        <v>-6.5199999999999994E-2</v>
      </c>
      <c r="M6" s="275">
        <f>INDEX('Company data'!$C$5:$V$64,MATCH($B6,'Company data'!$B$5:$B$64,0),MATCH(M$2,'Company data'!$C$4:$V$4,0))</f>
        <v>11</v>
      </c>
      <c r="N6" s="275">
        <f>INDEX('Company data'!$C$5:$V$64,MATCH($B6,'Company data'!$B$5:$B$64,0),MATCH(N$2,'Company data'!$C$4:$V$4,0))</f>
        <v>34.200000000000003</v>
      </c>
      <c r="O6" s="275">
        <f>INDEX('Company data'!$C$5:$V$64,MATCH($B6,'Company data'!$B$5:$B$64,0),MATCH(O$2,'Company data'!$C$4:$V$4,0))</f>
        <v>0.04</v>
      </c>
      <c r="P6" s="277">
        <f>INDEX('Company data'!$C$5:$V$64,MATCH($B6,'Company data'!$B$5:$B$64,0),MATCH(P$2,'Company data'!$C$4:$V$4,0))</f>
        <v>9.5399999999999999E-2</v>
      </c>
      <c r="Q6" s="282">
        <f>INDEX('Company data'!$C$5:$V$64,MATCH($B6,'Company data'!$B$5:$B$64,0),MATCH(Q$2,'Company data'!$C$4:$V$4,0))</f>
        <v>8.3699999999999992</v>
      </c>
    </row>
    <row r="7" spans="2:17" ht="14.5" thickBot="1">
      <c r="B7" s="283" t="s">
        <v>164</v>
      </c>
      <c r="C7" s="284">
        <f>INDEX('Company data'!$C$5:$V$64,MATCH($B7,'Company data'!$B$5:$B$64,0),MATCH(C$2,'Company data'!$C$4:$V$4,0))</f>
        <v>63.5</v>
      </c>
      <c r="D7" s="284">
        <f>INDEX('Company data'!$C$5:$V$64,MATCH($B7,'Company data'!$B$5:$B$64,0),MATCH(D$2,'Company data'!$C$4:$V$4,0))</f>
        <v>42</v>
      </c>
      <c r="E7" s="284">
        <f>INDEX('Company data'!$C$5:$V$64,MATCH($B7,'Company data'!$B$5:$B$64,0),MATCH(E$2,'Company data'!$C$4:$V$4,0))</f>
        <v>47</v>
      </c>
      <c r="F7" s="284">
        <f>INDEX('Company data'!$C$5:$V$64,MATCH($B7,'Company data'!$B$5:$B$64,0),MATCH(F$2,'Company data'!$C$4:$V$4,0))</f>
        <v>67</v>
      </c>
      <c r="G7" s="285">
        <f>INDEX('Company data'!$C$5:$V$64,MATCH($B7,'Company data'!$B$5:$B$64,0),MATCH(G$2,'Company data'!$C$4:$V$4,0))</f>
        <v>0.15</v>
      </c>
      <c r="H7" s="284">
        <f>INDEX('Company data'!$C$5:$V$64,MATCH($B7,'Company data'!$B$5:$B$64,0),MATCH(H$2,'Company data'!$C$4:$V$4,0))</f>
        <v>6644</v>
      </c>
      <c r="I7" s="285">
        <f>INDEX('Company data'!$C$5:$V$64,MATCH($B7,'Company data'!$B$5:$B$64,0),MATCH(I$2,'Company data'!$C$4:$V$4,0))</f>
        <v>0.05</v>
      </c>
      <c r="J7" s="286">
        <f>INDEX('Company data'!$C$5:$V$64,MATCH($B7,'Company data'!$B$5:$B$64,0),MATCH(J$2,'Company data'!$C$4:$V$4,0))</f>
        <v>-1.7659</v>
      </c>
      <c r="K7" s="284">
        <f>INDEX('Company data'!$C$5:$V$64,MATCH($B7,'Company data'!$B$5:$B$64,0),MATCH(K$2,'Company data'!$C$4:$V$4,0))</f>
        <v>1716243</v>
      </c>
      <c r="L7" s="286">
        <f>INDEX('Company data'!$C$5:$V$64,MATCH($B7,'Company data'!$B$5:$B$64,0),MATCH(L$2,'Company data'!$C$4:$V$4,0))</f>
        <v>0.35239999999999999</v>
      </c>
      <c r="M7" s="284">
        <f>INDEX('Company data'!$C$5:$V$64,MATCH($B7,'Company data'!$B$5:$B$64,0),MATCH(M$2,'Company data'!$C$4:$V$4,0))</f>
        <v>11</v>
      </c>
      <c r="N7" s="284">
        <f>INDEX('Company data'!$C$5:$V$64,MATCH($B7,'Company data'!$B$5:$B$64,0),MATCH(N$2,'Company data'!$C$4:$V$4,0))</f>
        <v>6069</v>
      </c>
      <c r="O7" s="284">
        <f>INDEX('Company data'!$C$5:$V$64,MATCH($B7,'Company data'!$B$5:$B$64,0),MATCH(O$2,'Company data'!$C$4:$V$4,0))</f>
        <v>8.99</v>
      </c>
      <c r="P7" s="286">
        <f>INDEX('Company data'!$C$5:$V$64,MATCH($B7,'Company data'!$B$5:$B$64,0),MATCH(P$2,'Company data'!$C$4:$V$4,0))</f>
        <v>-2.2100000000000002E-2</v>
      </c>
      <c r="Q7" s="287">
        <f>INDEX('Company data'!$C$5:$V$64,MATCH($B7,'Company data'!$B$5:$B$64,0),MATCH(Q$2,'Company data'!$C$4:$V$4,0))</f>
        <v>34.5</v>
      </c>
    </row>
    <row r="8" spans="2:17" ht="13" thickBot="1"/>
    <row r="9" spans="2:17" ht="15" customHeight="1" thickBot="1">
      <c r="B9" s="288" t="s">
        <v>855</v>
      </c>
      <c r="C9" s="289">
        <f>Dashboard!C18</f>
        <v>8</v>
      </c>
      <c r="D9" s="289">
        <f>Dashboard!C19</f>
        <v>9</v>
      </c>
      <c r="E9" s="289">
        <f>Dashboard!C20</f>
        <v>9</v>
      </c>
      <c r="F9" s="289">
        <f>Dashboard!C21</f>
        <v>9</v>
      </c>
      <c r="G9" s="289">
        <f>Dashboard!C22</f>
        <v>6</v>
      </c>
      <c r="H9" s="289">
        <f>Dashboard!C23</f>
        <v>7</v>
      </c>
      <c r="I9" s="289">
        <f>Dashboard!C24</f>
        <v>4</v>
      </c>
      <c r="J9" s="289">
        <f>Dashboard!C25</f>
        <v>8</v>
      </c>
      <c r="K9" s="289">
        <f>Dashboard!C26</f>
        <v>3</v>
      </c>
      <c r="L9" s="289">
        <f>Dashboard!C27</f>
        <v>5</v>
      </c>
      <c r="M9" s="289">
        <f>Dashboard!C28</f>
        <v>8</v>
      </c>
      <c r="N9" s="289">
        <f>Dashboard!C29</f>
        <v>7</v>
      </c>
      <c r="O9" s="289">
        <f>Dashboard!C30</f>
        <v>4</v>
      </c>
      <c r="P9" s="289">
        <f>Dashboard!C31</f>
        <v>6</v>
      </c>
      <c r="Q9" s="290">
        <f>Dashboard!C32</f>
        <v>5</v>
      </c>
    </row>
    <row r="10" spans="2:17" ht="15" customHeight="1" thickBot="1">
      <c r="B10" s="293" t="s">
        <v>856</v>
      </c>
      <c r="C10" s="291">
        <f t="shared" ref="C10:Q10" si="0">C9/SUM($C$9:$Q$9)</f>
        <v>8.1632653061224483E-2</v>
      </c>
      <c r="D10" s="291">
        <f t="shared" si="0"/>
        <v>9.1836734693877556E-2</v>
      </c>
      <c r="E10" s="291">
        <f t="shared" si="0"/>
        <v>9.1836734693877556E-2</v>
      </c>
      <c r="F10" s="291">
        <f t="shared" si="0"/>
        <v>9.1836734693877556E-2</v>
      </c>
      <c r="G10" s="291">
        <f t="shared" si="0"/>
        <v>6.1224489795918366E-2</v>
      </c>
      <c r="H10" s="291">
        <f t="shared" si="0"/>
        <v>7.1428571428571425E-2</v>
      </c>
      <c r="I10" s="291">
        <f t="shared" si="0"/>
        <v>4.0816326530612242E-2</v>
      </c>
      <c r="J10" s="291">
        <f t="shared" si="0"/>
        <v>8.1632653061224483E-2</v>
      </c>
      <c r="K10" s="291">
        <f t="shared" si="0"/>
        <v>3.0612244897959183E-2</v>
      </c>
      <c r="L10" s="291">
        <f t="shared" si="0"/>
        <v>5.1020408163265307E-2</v>
      </c>
      <c r="M10" s="291">
        <f t="shared" si="0"/>
        <v>8.1632653061224483E-2</v>
      </c>
      <c r="N10" s="291">
        <f t="shared" si="0"/>
        <v>7.1428571428571425E-2</v>
      </c>
      <c r="O10" s="291">
        <f t="shared" si="0"/>
        <v>4.0816326530612242E-2</v>
      </c>
      <c r="P10" s="291">
        <f t="shared" si="0"/>
        <v>6.1224489795918366E-2</v>
      </c>
      <c r="Q10" s="292">
        <f t="shared" si="0"/>
        <v>5.1020408163265307E-2</v>
      </c>
    </row>
    <row r="11" spans="2:17" ht="13" thickBot="1"/>
    <row r="12" spans="2:17" ht="15" customHeight="1" thickBot="1">
      <c r="B12" s="296" t="s">
        <v>857</v>
      </c>
      <c r="C12" s="294">
        <f t="shared" ref="C12:Q12" si="1">SQRT(SUMSQ(C3:C7))</f>
        <v>1838.2900342437806</v>
      </c>
      <c r="D12" s="294">
        <f t="shared" si="1"/>
        <v>96.705739229892657</v>
      </c>
      <c r="E12" s="294">
        <f t="shared" si="1"/>
        <v>108.80716888146662</v>
      </c>
      <c r="F12" s="294">
        <f t="shared" si="1"/>
        <v>135.46955377500879</v>
      </c>
      <c r="G12" s="294">
        <f t="shared" si="1"/>
        <v>0.25980762113533162</v>
      </c>
      <c r="H12" s="294">
        <f t="shared" si="1"/>
        <v>38565.397262312756</v>
      </c>
      <c r="I12" s="294">
        <f t="shared" si="1"/>
        <v>0.30951575081084326</v>
      </c>
      <c r="J12" s="294">
        <f t="shared" si="1"/>
        <v>1.8312538354908638</v>
      </c>
      <c r="K12" s="294">
        <f t="shared" si="1"/>
        <v>12053876.532574531</v>
      </c>
      <c r="L12" s="294">
        <f t="shared" si="1"/>
        <v>0.88553266455845658</v>
      </c>
      <c r="M12" s="294">
        <f t="shared" si="1"/>
        <v>28.337254630609507</v>
      </c>
      <c r="N12" s="294">
        <f t="shared" si="1"/>
        <v>10087.225339507391</v>
      </c>
      <c r="O12" s="294">
        <f t="shared" si="1"/>
        <v>9.0571905136195525</v>
      </c>
      <c r="P12" s="294">
        <f t="shared" si="1"/>
        <v>0.232049973066148</v>
      </c>
      <c r="Q12" s="295">
        <f t="shared" si="1"/>
        <v>48.874809462544199</v>
      </c>
    </row>
    <row r="13" spans="2:17" ht="13" thickBot="1"/>
    <row r="14" spans="2:17" ht="15" customHeight="1" thickBot="1">
      <c r="B14" s="296" t="s">
        <v>858</v>
      </c>
      <c r="C14" s="311">
        <f t="shared" ref="C14:Q14" si="2">C3/C$12</f>
        <v>0.14905156144890688</v>
      </c>
      <c r="D14" s="312">
        <f t="shared" si="2"/>
        <v>0.44464786001768442</v>
      </c>
      <c r="E14" s="312">
        <f t="shared" si="2"/>
        <v>0.45952854498465512</v>
      </c>
      <c r="F14" s="312">
        <f t="shared" si="2"/>
        <v>0.40599528430827614</v>
      </c>
      <c r="G14" s="312">
        <f t="shared" si="2"/>
        <v>0.19245008972987523</v>
      </c>
      <c r="H14" s="312">
        <f t="shared" si="2"/>
        <v>0.6806879187953615</v>
      </c>
      <c r="I14" s="312">
        <f t="shared" si="2"/>
        <v>3.2308533487561922E-2</v>
      </c>
      <c r="J14" s="312">
        <f t="shared" si="2"/>
        <v>-9.3487858800366794E-2</v>
      </c>
      <c r="K14" s="312">
        <f t="shared" si="2"/>
        <v>0.98483396340749763</v>
      </c>
      <c r="L14" s="312">
        <f t="shared" si="2"/>
        <v>-3.2748650795913835E-3</v>
      </c>
      <c r="M14" s="312">
        <f t="shared" si="2"/>
        <v>0.49404927126840986</v>
      </c>
      <c r="N14" s="312">
        <f t="shared" si="2"/>
        <v>2.7956151519241409E-2</v>
      </c>
      <c r="O14" s="312">
        <f t="shared" si="2"/>
        <v>3.3122854106787478E-3</v>
      </c>
      <c r="P14" s="312">
        <f t="shared" si="2"/>
        <v>3.0596857677617915E-2</v>
      </c>
      <c r="Q14" s="313">
        <f t="shared" si="2"/>
        <v>0.5053728141677799</v>
      </c>
    </row>
    <row r="15" spans="2:17" ht="15" customHeight="1">
      <c r="C15" s="314">
        <f t="shared" ref="C15:Q15" si="3">C4/C$12</f>
        <v>0.29864710669872219</v>
      </c>
      <c r="D15" s="315">
        <f t="shared" si="3"/>
        <v>0.42396656420290835</v>
      </c>
      <c r="E15" s="315">
        <f t="shared" si="3"/>
        <v>0.45033797408496201</v>
      </c>
      <c r="F15" s="315">
        <f t="shared" si="3"/>
        <v>0.42075874919221345</v>
      </c>
      <c r="G15" s="315">
        <f t="shared" si="3"/>
        <v>0.38490017945975047</v>
      </c>
      <c r="H15" s="315">
        <f t="shared" si="3"/>
        <v>0.56130628845237096</v>
      </c>
      <c r="I15" s="315">
        <f t="shared" si="3"/>
        <v>0.90463893765173387</v>
      </c>
      <c r="J15" s="315">
        <f t="shared" si="3"/>
        <v>5.624561598386553E-2</v>
      </c>
      <c r="K15" s="315">
        <f t="shared" si="3"/>
        <v>7.4920462106899899E-2</v>
      </c>
      <c r="L15" s="315">
        <f t="shared" si="3"/>
        <v>-2.348868746741406E-2</v>
      </c>
      <c r="M15" s="315">
        <f t="shared" si="3"/>
        <v>0.49404927126840986</v>
      </c>
      <c r="N15" s="315">
        <f t="shared" si="3"/>
        <v>6.2356096828378891E-3</v>
      </c>
      <c r="O15" s="315">
        <f t="shared" si="3"/>
        <v>1.1040951368929161E-3</v>
      </c>
      <c r="P15" s="315">
        <f t="shared" si="3"/>
        <v>0.84464564856522695</v>
      </c>
      <c r="Q15" s="316">
        <f t="shared" si="3"/>
        <v>0.1532486792759786</v>
      </c>
    </row>
    <row r="16" spans="2:17" ht="15" customHeight="1">
      <c r="C16" s="314">
        <f t="shared" ref="C16:Q16" si="4">C5/C$12</f>
        <v>0.93565213756248111</v>
      </c>
      <c r="D16" s="315">
        <f t="shared" si="4"/>
        <v>0.48601045164723644</v>
      </c>
      <c r="E16" s="315">
        <f t="shared" si="4"/>
        <v>0.41357569048618958</v>
      </c>
      <c r="F16" s="315">
        <f t="shared" si="4"/>
        <v>0.42814048163418211</v>
      </c>
      <c r="G16" s="315">
        <f t="shared" si="4"/>
        <v>0.57735026918962573</v>
      </c>
      <c r="H16" s="315">
        <f t="shared" si="4"/>
        <v>0.43697203182886102</v>
      </c>
      <c r="I16" s="315">
        <f t="shared" si="4"/>
        <v>0.38770240185074301</v>
      </c>
      <c r="J16" s="315">
        <f t="shared" si="4"/>
        <v>-0.23208142517614419</v>
      </c>
      <c r="K16" s="315">
        <f t="shared" si="4"/>
        <v>6.2695183409066269E-2</v>
      </c>
      <c r="L16" s="315">
        <f t="shared" si="4"/>
        <v>0.91413906273421552</v>
      </c>
      <c r="M16" s="315">
        <f t="shared" si="4"/>
        <v>0.45876003760638057</v>
      </c>
      <c r="N16" s="315">
        <f t="shared" si="4"/>
        <v>0.79823734763451004</v>
      </c>
      <c r="O16" s="315">
        <f t="shared" si="4"/>
        <v>0.12145046505822077</v>
      </c>
      <c r="P16" s="315">
        <f t="shared" si="4"/>
        <v>-0.32794660130517228</v>
      </c>
      <c r="Q16" s="316">
        <f t="shared" si="4"/>
        <v>0.43989941314199466</v>
      </c>
    </row>
    <row r="17" spans="2:18" ht="15" customHeight="1">
      <c r="C17" s="314">
        <f t="shared" ref="C17:Q17" si="5">C6/C$12</f>
        <v>0.10934074398259228</v>
      </c>
      <c r="D17" s="315">
        <f t="shared" si="5"/>
        <v>0.44464786001768442</v>
      </c>
      <c r="E17" s="315">
        <f t="shared" si="5"/>
        <v>0.47790968678404133</v>
      </c>
      <c r="F17" s="315">
        <f t="shared" si="5"/>
        <v>0.47981260872796272</v>
      </c>
      <c r="G17" s="315">
        <f t="shared" si="5"/>
        <v>0.38490017945975047</v>
      </c>
      <c r="H17" s="315">
        <f t="shared" si="5"/>
        <v>3.1219696553640441E-2</v>
      </c>
      <c r="I17" s="315">
        <f t="shared" si="5"/>
        <v>6.4617066975123844E-2</v>
      </c>
      <c r="J17" s="315">
        <f t="shared" si="5"/>
        <v>-6.5856517355865854E-2</v>
      </c>
      <c r="K17" s="315">
        <f t="shared" si="5"/>
        <v>1.6910161594003343E-2</v>
      </c>
      <c r="L17" s="315">
        <f t="shared" si="5"/>
        <v>-7.3628001099778684E-2</v>
      </c>
      <c r="M17" s="315">
        <f t="shared" si="5"/>
        <v>0.38818157028232203</v>
      </c>
      <c r="N17" s="315">
        <f t="shared" si="5"/>
        <v>3.390426886376086E-3</v>
      </c>
      <c r="O17" s="315">
        <f t="shared" si="5"/>
        <v>4.4163805475716644E-3</v>
      </c>
      <c r="P17" s="315">
        <f t="shared" si="5"/>
        <v>0.41111834118940122</v>
      </c>
      <c r="Q17" s="316">
        <f t="shared" si="5"/>
        <v>0.17125386455806954</v>
      </c>
    </row>
    <row r="18" spans="2:18" ht="15" customHeight="1" thickBot="1">
      <c r="C18" s="317">
        <f t="shared" ref="C18:Q18" si="6">C7/C$12</f>
        <v>3.4542971357684624E-2</v>
      </c>
      <c r="D18" s="318">
        <f t="shared" si="6"/>
        <v>0.43430721211029638</v>
      </c>
      <c r="E18" s="318">
        <f t="shared" si="6"/>
        <v>0.4319568322855758</v>
      </c>
      <c r="F18" s="318">
        <f t="shared" si="6"/>
        <v>0.49457607361190004</v>
      </c>
      <c r="G18" s="318">
        <f t="shared" si="6"/>
        <v>0.57735026918962573</v>
      </c>
      <c r="H18" s="318">
        <f t="shared" si="6"/>
        <v>0.17227879061660056</v>
      </c>
      <c r="I18" s="318">
        <f t="shared" si="6"/>
        <v>0.16154266743780962</v>
      </c>
      <c r="J18" s="318">
        <f t="shared" si="6"/>
        <v>-0.96431197345541897</v>
      </c>
      <c r="K18" s="318">
        <f t="shared" si="6"/>
        <v>0.14238100044927504</v>
      </c>
      <c r="L18" s="318">
        <f t="shared" si="6"/>
        <v>0.39795257036138054</v>
      </c>
      <c r="M18" s="318">
        <f t="shared" si="6"/>
        <v>0.38818157028232203</v>
      </c>
      <c r="N18" s="318">
        <f t="shared" si="6"/>
        <v>0.6016520693981422</v>
      </c>
      <c r="O18" s="318">
        <f t="shared" si="6"/>
        <v>0.9925815280667315</v>
      </c>
      <c r="P18" s="318">
        <f t="shared" si="6"/>
        <v>-9.5238106292303643E-2</v>
      </c>
      <c r="Q18" s="319">
        <f t="shared" si="6"/>
        <v>0.70588510480924727</v>
      </c>
    </row>
    <row r="19" spans="2:18" ht="13" thickBot="1"/>
    <row r="20" spans="2:18" ht="15" customHeight="1" thickBot="1">
      <c r="B20" s="320" t="s">
        <v>859</v>
      </c>
      <c r="C20" s="297">
        <f t="shared" ref="C20:Q20" si="7">C$10*C14</f>
        <v>1.2167474403992398E-2</v>
      </c>
      <c r="D20" s="298">
        <f t="shared" si="7"/>
        <v>4.0835007552644492E-2</v>
      </c>
      <c r="E20" s="298">
        <f t="shared" si="7"/>
        <v>4.220160107001935E-2</v>
      </c>
      <c r="F20" s="298">
        <f t="shared" si="7"/>
        <v>3.7285281211984544E-2</v>
      </c>
      <c r="G20" s="298">
        <f t="shared" si="7"/>
        <v>1.1782658554890321E-2</v>
      </c>
      <c r="H20" s="298">
        <f t="shared" si="7"/>
        <v>4.8620565628240103E-2</v>
      </c>
      <c r="I20" s="298">
        <f t="shared" si="7"/>
        <v>1.3187156525535477E-3</v>
      </c>
      <c r="J20" s="298">
        <f t="shared" si="7"/>
        <v>-7.6316619428870849E-3</v>
      </c>
      <c r="K20" s="298">
        <f t="shared" si="7"/>
        <v>3.014797847165809E-2</v>
      </c>
      <c r="L20" s="298">
        <f t="shared" si="7"/>
        <v>-1.6708495304037672E-4</v>
      </c>
      <c r="M20" s="298">
        <f t="shared" si="7"/>
        <v>4.0330552756604882E-2</v>
      </c>
      <c r="N20" s="298">
        <f t="shared" si="7"/>
        <v>1.9968679656601003E-3</v>
      </c>
      <c r="O20" s="298">
        <f t="shared" si="7"/>
        <v>1.3519532288484685E-4</v>
      </c>
      <c r="P20" s="298">
        <f t="shared" si="7"/>
        <v>1.8732770006704845E-3</v>
      </c>
      <c r="Q20" s="299">
        <f t="shared" si="7"/>
        <v>2.578432725345816E-2</v>
      </c>
    </row>
    <row r="21" spans="2:18" ht="12.5">
      <c r="C21" s="300">
        <f t="shared" ref="C21:Q21" si="8">C$10*C15</f>
        <v>2.4379355648875278E-2</v>
      </c>
      <c r="D21" s="301">
        <f t="shared" si="8"/>
        <v>3.8935704875777299E-2</v>
      </c>
      <c r="E21" s="301">
        <f t="shared" si="8"/>
        <v>4.135756904861896E-2</v>
      </c>
      <c r="F21" s="301">
        <f t="shared" si="8"/>
        <v>3.8641109619693075E-2</v>
      </c>
      <c r="G21" s="301">
        <f t="shared" si="8"/>
        <v>2.3565317109780642E-2</v>
      </c>
      <c r="H21" s="301">
        <f t="shared" si="8"/>
        <v>4.0093306318026496E-2</v>
      </c>
      <c r="I21" s="301">
        <f t="shared" si="8"/>
        <v>3.6924038271499336E-2</v>
      </c>
      <c r="J21" s="301">
        <f t="shared" si="8"/>
        <v>4.591478855825757E-3</v>
      </c>
      <c r="K21" s="301">
        <f t="shared" si="8"/>
        <v>2.2934835338846906E-3</v>
      </c>
      <c r="L21" s="301">
        <f t="shared" si="8"/>
        <v>-1.1984024218068398E-3</v>
      </c>
      <c r="M21" s="301">
        <f t="shared" si="8"/>
        <v>4.0330552756604882E-2</v>
      </c>
      <c r="N21" s="301">
        <f t="shared" si="8"/>
        <v>4.4540069163127779E-4</v>
      </c>
      <c r="O21" s="301">
        <f t="shared" si="8"/>
        <v>4.5065107628282286E-5</v>
      </c>
      <c r="P21" s="301">
        <f t="shared" si="8"/>
        <v>5.1712998891748588E-2</v>
      </c>
      <c r="Q21" s="302">
        <f t="shared" si="8"/>
        <v>7.8188101671417647E-3</v>
      </c>
    </row>
    <row r="22" spans="2:18" ht="12.5">
      <c r="C22" s="300">
        <f t="shared" ref="C22:Q22" si="9">C$10*C16</f>
        <v>7.6379766331631099E-2</v>
      </c>
      <c r="D22" s="301">
        <f t="shared" si="9"/>
        <v>4.4633612906378857E-2</v>
      </c>
      <c r="E22" s="301">
        <f t="shared" si="9"/>
        <v>3.7981440963017414E-2</v>
      </c>
      <c r="F22" s="301">
        <f t="shared" si="9"/>
        <v>3.9319023823547336E-2</v>
      </c>
      <c r="G22" s="301">
        <f t="shared" si="9"/>
        <v>3.5347975664670961E-2</v>
      </c>
      <c r="H22" s="301">
        <f t="shared" si="9"/>
        <v>3.1212287987775787E-2</v>
      </c>
      <c r="I22" s="301">
        <f t="shared" si="9"/>
        <v>1.582458783064257E-2</v>
      </c>
      <c r="J22" s="301">
        <f t="shared" si="9"/>
        <v>-1.8945422463358709E-2</v>
      </c>
      <c r="K22" s="301">
        <f t="shared" si="9"/>
        <v>1.9192403084408042E-3</v>
      </c>
      <c r="L22" s="301">
        <f t="shared" si="9"/>
        <v>4.6639748098684465E-2</v>
      </c>
      <c r="M22" s="301">
        <f t="shared" si="9"/>
        <v>3.744979898827596E-2</v>
      </c>
      <c r="N22" s="301">
        <f t="shared" si="9"/>
        <v>5.7016953402465001E-2</v>
      </c>
      <c r="O22" s="301">
        <f t="shared" si="9"/>
        <v>4.9571618391110513E-3</v>
      </c>
      <c r="P22" s="301">
        <f t="shared" si="9"/>
        <v>-2.007836334521463E-2</v>
      </c>
      <c r="Q22" s="302">
        <f t="shared" si="9"/>
        <v>2.2443847609285441E-2</v>
      </c>
    </row>
    <row r="23" spans="2:18" ht="12.5">
      <c r="C23" s="300">
        <f t="shared" ref="C23:Q23" si="10">C$10*C17</f>
        <v>8.925775018987123E-3</v>
      </c>
      <c r="D23" s="301">
        <f t="shared" si="10"/>
        <v>4.0835007552644492E-2</v>
      </c>
      <c r="E23" s="301">
        <f t="shared" si="10"/>
        <v>4.3889665112820123E-2</v>
      </c>
      <c r="F23" s="301">
        <f t="shared" si="10"/>
        <v>4.4064423250527188E-2</v>
      </c>
      <c r="G23" s="301">
        <f t="shared" si="10"/>
        <v>2.3565317109780642E-2</v>
      </c>
      <c r="H23" s="301">
        <f t="shared" si="10"/>
        <v>2.2299783252600312E-3</v>
      </c>
      <c r="I23" s="301">
        <f t="shared" si="10"/>
        <v>2.6374313051070954E-3</v>
      </c>
      <c r="J23" s="301">
        <f t="shared" si="10"/>
        <v>-5.3760422331319063E-3</v>
      </c>
      <c r="K23" s="301">
        <f t="shared" si="10"/>
        <v>5.1765800797969421E-4</v>
      </c>
      <c r="L23" s="301">
        <f t="shared" si="10"/>
        <v>-3.7565306683560555E-3</v>
      </c>
      <c r="M23" s="301">
        <f t="shared" si="10"/>
        <v>3.1688291451618125E-2</v>
      </c>
      <c r="N23" s="301">
        <f t="shared" si="10"/>
        <v>2.4217334902686328E-4</v>
      </c>
      <c r="O23" s="301">
        <f t="shared" si="10"/>
        <v>1.8026043051312915E-4</v>
      </c>
      <c r="P23" s="301">
        <f t="shared" si="10"/>
        <v>2.517051068506538E-2</v>
      </c>
      <c r="Q23" s="302">
        <f t="shared" si="10"/>
        <v>8.7374420692892616E-3</v>
      </c>
    </row>
    <row r="24" spans="2:18" ht="13" thickBot="1">
      <c r="C24" s="303">
        <f t="shared" ref="C24:Q24" si="11">C$10*C18</f>
        <v>2.8198343965456832E-3</v>
      </c>
      <c r="D24" s="304">
        <f t="shared" si="11"/>
        <v>3.9885356214210896E-2</v>
      </c>
      <c r="E24" s="304">
        <f t="shared" si="11"/>
        <v>3.9669505005818187E-2</v>
      </c>
      <c r="F24" s="304">
        <f t="shared" si="11"/>
        <v>4.5420251658235718E-2</v>
      </c>
      <c r="G24" s="304">
        <f t="shared" si="11"/>
        <v>3.5347975664670961E-2</v>
      </c>
      <c r="H24" s="304">
        <f t="shared" si="11"/>
        <v>1.2305627901185754E-2</v>
      </c>
      <c r="I24" s="304">
        <f t="shared" si="11"/>
        <v>6.5935782627677391E-3</v>
      </c>
      <c r="J24" s="304">
        <f t="shared" si="11"/>
        <v>-7.8719344771870925E-2</v>
      </c>
      <c r="K24" s="304">
        <f t="shared" si="11"/>
        <v>4.3586020545696444E-3</v>
      </c>
      <c r="L24" s="304">
        <f t="shared" si="11"/>
        <v>2.0303702569458192E-2</v>
      </c>
      <c r="M24" s="304">
        <f t="shared" si="11"/>
        <v>3.1688291451618125E-2</v>
      </c>
      <c r="N24" s="304">
        <f t="shared" si="11"/>
        <v>4.2975147814153014E-2</v>
      </c>
      <c r="O24" s="304">
        <f t="shared" si="11"/>
        <v>4.0513531757825773E-2</v>
      </c>
      <c r="P24" s="304">
        <f t="shared" si="11"/>
        <v>-5.830904466875733E-3</v>
      </c>
      <c r="Q24" s="305">
        <f t="shared" si="11"/>
        <v>3.6014546163737109E-2</v>
      </c>
    </row>
    <row r="26" spans="2:18" ht="13" thickBot="1">
      <c r="R26" s="307" t="s">
        <v>860</v>
      </c>
    </row>
    <row r="27" spans="2:18" ht="13.5" thickBot="1">
      <c r="B27" s="293" t="s">
        <v>861</v>
      </c>
      <c r="C27" s="311">
        <f t="shared" ref="C27:C31" si="12">C20-MAX($C$20:$C$24)</f>
        <v>-6.4212291927638707E-2</v>
      </c>
      <c r="D27" s="312">
        <f t="shared" ref="D27:M27" si="13">D20-MIN(D$20:D$24)</f>
        <v>1.8993026768671928E-3</v>
      </c>
      <c r="E27" s="312">
        <f t="shared" si="13"/>
        <v>4.2201601070019357E-3</v>
      </c>
      <c r="F27" s="312">
        <f t="shared" si="13"/>
        <v>0</v>
      </c>
      <c r="G27" s="312">
        <f t="shared" si="13"/>
        <v>0</v>
      </c>
      <c r="H27" s="312">
        <f t="shared" si="13"/>
        <v>4.6390587302980069E-2</v>
      </c>
      <c r="I27" s="312">
        <f t="shared" si="13"/>
        <v>0</v>
      </c>
      <c r="J27" s="312">
        <f t="shared" si="13"/>
        <v>7.1087682828983839E-2</v>
      </c>
      <c r="K27" s="312">
        <f t="shared" si="13"/>
        <v>2.9630320463678396E-2</v>
      </c>
      <c r="L27" s="312">
        <f t="shared" si="13"/>
        <v>3.5894457153156788E-3</v>
      </c>
      <c r="M27" s="312">
        <f t="shared" si="13"/>
        <v>8.6422613049867564E-3</v>
      </c>
      <c r="N27" s="312">
        <f t="shared" ref="N27:O27" si="14">N20-MAX(N$20:N$24)</f>
        <v>-5.5020085436804901E-2</v>
      </c>
      <c r="O27" s="312">
        <f t="shared" si="14"/>
        <v>-4.0378336434940924E-2</v>
      </c>
      <c r="P27" s="312">
        <f t="shared" ref="P27:Q27" si="15">P20-MIN(P$20:P$24)</f>
        <v>2.1951640345885114E-2</v>
      </c>
      <c r="Q27" s="313">
        <f t="shared" si="15"/>
        <v>1.7965517086316395E-2</v>
      </c>
      <c r="R27" s="308">
        <f t="shared" ref="R27:R31" si="16">SQRT(SUMSQ(C27:Q27))</f>
        <v>0.13333403032033703</v>
      </c>
    </row>
    <row r="28" spans="2:18" ht="12.5">
      <c r="C28" s="314">
        <f t="shared" si="12"/>
        <v>-5.2000410682755821E-2</v>
      </c>
      <c r="D28" s="315">
        <f t="shared" ref="D28:M28" si="17">D21-MIN(D$20:D$24)</f>
        <v>0</v>
      </c>
      <c r="E28" s="315">
        <f t="shared" si="17"/>
        <v>3.3761280856015458E-3</v>
      </c>
      <c r="F28" s="315">
        <f t="shared" si="17"/>
        <v>1.35582840770853E-3</v>
      </c>
      <c r="G28" s="315">
        <f t="shared" si="17"/>
        <v>1.1782658554890321E-2</v>
      </c>
      <c r="H28" s="315">
        <f t="shared" si="17"/>
        <v>3.7863327992766468E-2</v>
      </c>
      <c r="I28" s="315">
        <f t="shared" si="17"/>
        <v>3.5605322618945785E-2</v>
      </c>
      <c r="J28" s="315">
        <f t="shared" si="17"/>
        <v>8.3310823627696678E-2</v>
      </c>
      <c r="K28" s="315">
        <f t="shared" si="17"/>
        <v>1.7758255259049964E-3</v>
      </c>
      <c r="L28" s="315">
        <f t="shared" si="17"/>
        <v>2.5581282465492157E-3</v>
      </c>
      <c r="M28" s="315">
        <f t="shared" si="17"/>
        <v>8.6422613049867564E-3</v>
      </c>
      <c r="N28" s="315">
        <f t="shared" ref="N28:O28" si="18">N21-MAX(N$20:N$24)</f>
        <v>-5.6571552710833722E-2</v>
      </c>
      <c r="O28" s="315">
        <f t="shared" si="18"/>
        <v>-4.0468466650197488E-2</v>
      </c>
      <c r="P28" s="315">
        <f t="shared" ref="P28:Q28" si="19">P21-MIN(P$20:P$24)</f>
        <v>7.1791362236963224E-2</v>
      </c>
      <c r="Q28" s="316">
        <f t="shared" si="19"/>
        <v>0</v>
      </c>
      <c r="R28" s="309">
        <f t="shared" si="16"/>
        <v>0.15024845264490985</v>
      </c>
    </row>
    <row r="29" spans="2:18" ht="12.5">
      <c r="C29" s="314">
        <f t="shared" si="12"/>
        <v>0</v>
      </c>
      <c r="D29" s="315">
        <f t="shared" ref="D29:M29" si="20">D22-MIN(D$20:D$24)</f>
        <v>5.6979080306015575E-3</v>
      </c>
      <c r="E29" s="315">
        <f t="shared" si="20"/>
        <v>0</v>
      </c>
      <c r="F29" s="315">
        <f t="shared" si="20"/>
        <v>2.0337426115627916E-3</v>
      </c>
      <c r="G29" s="315">
        <f t="shared" si="20"/>
        <v>2.3565317109780638E-2</v>
      </c>
      <c r="H29" s="315">
        <f t="shared" si="20"/>
        <v>2.8982309662515755E-2</v>
      </c>
      <c r="I29" s="315">
        <f t="shared" si="20"/>
        <v>1.4505872178089022E-2</v>
      </c>
      <c r="J29" s="315">
        <f t="shared" si="20"/>
        <v>5.9773922308512216E-2</v>
      </c>
      <c r="K29" s="315">
        <f t="shared" si="20"/>
        <v>1.4015823004611099E-3</v>
      </c>
      <c r="L29" s="315">
        <f t="shared" si="20"/>
        <v>5.0396278767040517E-2</v>
      </c>
      <c r="M29" s="315">
        <f t="shared" si="20"/>
        <v>5.7615075366578353E-3</v>
      </c>
      <c r="N29" s="315">
        <f t="shared" ref="N29:O29" si="21">N22-MAX(N$20:N$24)</f>
        <v>0</v>
      </c>
      <c r="O29" s="315">
        <f t="shared" si="21"/>
        <v>-3.555636991871472E-2</v>
      </c>
      <c r="P29" s="315">
        <f t="shared" ref="P29:Q29" si="22">P22-MIN(P$20:P$24)</f>
        <v>0</v>
      </c>
      <c r="Q29" s="316">
        <f t="shared" si="22"/>
        <v>1.4625037442143676E-2</v>
      </c>
      <c r="R29" s="309">
        <f t="shared" si="16"/>
        <v>9.6272188622522972E-2</v>
      </c>
    </row>
    <row r="30" spans="2:18" ht="12.5">
      <c r="C30" s="314">
        <f t="shared" si="12"/>
        <v>-6.7453991312643971E-2</v>
      </c>
      <c r="D30" s="315">
        <f t="shared" ref="D30:M30" si="23">D23-MIN(D$20:D$24)</f>
        <v>1.8993026768671928E-3</v>
      </c>
      <c r="E30" s="315">
        <f t="shared" si="23"/>
        <v>5.9082241498027085E-3</v>
      </c>
      <c r="F30" s="315">
        <f t="shared" si="23"/>
        <v>6.7791420385426432E-3</v>
      </c>
      <c r="G30" s="315">
        <f t="shared" si="23"/>
        <v>1.1782658554890321E-2</v>
      </c>
      <c r="H30" s="315">
        <f t="shared" si="23"/>
        <v>0</v>
      </c>
      <c r="I30" s="315">
        <f t="shared" si="23"/>
        <v>1.3187156525535477E-3</v>
      </c>
      <c r="J30" s="315">
        <f t="shared" si="23"/>
        <v>7.3343302538739025E-2</v>
      </c>
      <c r="K30" s="315">
        <f t="shared" si="23"/>
        <v>0</v>
      </c>
      <c r="L30" s="315">
        <f t="shared" si="23"/>
        <v>0</v>
      </c>
      <c r="M30" s="315">
        <f t="shared" si="23"/>
        <v>0</v>
      </c>
      <c r="N30" s="315">
        <f t="shared" ref="N30:O30" si="24">N23-MAX(N$20:N$24)</f>
        <v>-5.677478005343814E-2</v>
      </c>
      <c r="O30" s="315">
        <f t="shared" si="24"/>
        <v>-4.0333271327312646E-2</v>
      </c>
      <c r="P30" s="315">
        <f t="shared" ref="P30:Q30" si="25">P23-MIN(P$20:P$24)</f>
        <v>4.5248874030280009E-2</v>
      </c>
      <c r="Q30" s="316">
        <f t="shared" si="25"/>
        <v>9.1863190214749695E-4</v>
      </c>
      <c r="R30" s="309">
        <f t="shared" si="16"/>
        <v>0.130586274801714</v>
      </c>
    </row>
    <row r="31" spans="2:18" ht="13" thickBot="1">
      <c r="C31" s="317">
        <f t="shared" si="12"/>
        <v>-7.3559931935085421E-2</v>
      </c>
      <c r="D31" s="318">
        <f t="shared" ref="D31:M31" si="26">D24-MIN(D$20:D$24)</f>
        <v>9.4965133843359639E-4</v>
      </c>
      <c r="E31" s="318">
        <f t="shared" si="26"/>
        <v>1.6880640428007729E-3</v>
      </c>
      <c r="F31" s="318">
        <f t="shared" si="26"/>
        <v>8.1349704462511732E-3</v>
      </c>
      <c r="G31" s="318">
        <f t="shared" si="26"/>
        <v>2.3565317109780638E-2</v>
      </c>
      <c r="H31" s="318">
        <f t="shared" si="26"/>
        <v>1.0075649575925723E-2</v>
      </c>
      <c r="I31" s="318">
        <f t="shared" si="26"/>
        <v>5.2748626102141916E-3</v>
      </c>
      <c r="J31" s="318">
        <f t="shared" si="26"/>
        <v>0</v>
      </c>
      <c r="K31" s="318">
        <f t="shared" si="26"/>
        <v>3.8409440465899504E-3</v>
      </c>
      <c r="L31" s="318">
        <f t="shared" si="26"/>
        <v>2.4060233237814248E-2</v>
      </c>
      <c r="M31" s="318">
        <f t="shared" si="26"/>
        <v>0</v>
      </c>
      <c r="N31" s="318">
        <f t="shared" ref="N31:O31" si="27">N24-MAX(N$20:N$24)</f>
        <v>-1.4041805588311987E-2</v>
      </c>
      <c r="O31" s="318">
        <f t="shared" si="27"/>
        <v>0</v>
      </c>
      <c r="P31" s="318">
        <f t="shared" ref="P31:Q31" si="28">P24-MIN(P$20:P$24)</f>
        <v>1.4247458878338896E-2</v>
      </c>
      <c r="Q31" s="319">
        <f t="shared" si="28"/>
        <v>2.8195735996595344E-2</v>
      </c>
      <c r="R31" s="310">
        <f t="shared" si="16"/>
        <v>8.9187832020055507E-2</v>
      </c>
    </row>
    <row r="33" spans="2:18" ht="13" thickBot="1">
      <c r="R33" s="307" t="s">
        <v>862</v>
      </c>
    </row>
    <row r="34" spans="2:18" ht="13.5" thickBot="1">
      <c r="B34" s="306" t="s">
        <v>863</v>
      </c>
      <c r="C34" s="335">
        <f t="shared" ref="C34:C38" si="29">C20-MIN(C$20:C$24)</f>
        <v>9.3476400074467142E-3</v>
      </c>
      <c r="D34" s="336">
        <f t="shared" ref="D34:M34" si="30">D20-MAX(D$20:D$24)</f>
        <v>-3.7986053537343648E-3</v>
      </c>
      <c r="E34" s="336">
        <f t="shared" si="30"/>
        <v>-1.6880640428007729E-3</v>
      </c>
      <c r="F34" s="336">
        <f t="shared" si="30"/>
        <v>-8.1349704462511732E-3</v>
      </c>
      <c r="G34" s="336">
        <f t="shared" si="30"/>
        <v>-2.3565317109780638E-2</v>
      </c>
      <c r="H34" s="336">
        <f t="shared" si="30"/>
        <v>0</v>
      </c>
      <c r="I34" s="336">
        <f t="shared" si="30"/>
        <v>-3.5605322618945785E-2</v>
      </c>
      <c r="J34" s="336">
        <f t="shared" si="30"/>
        <v>-1.2223140798712843E-2</v>
      </c>
      <c r="K34" s="336">
        <f t="shared" si="30"/>
        <v>0</v>
      </c>
      <c r="L34" s="336">
        <f t="shared" si="30"/>
        <v>-4.6806833051724839E-2</v>
      </c>
      <c r="M34" s="336">
        <f t="shared" si="30"/>
        <v>0</v>
      </c>
      <c r="N34" s="336">
        <f t="shared" ref="N34:O34" si="31">N20-MIN(N$20:N$24)</f>
        <v>1.7546946166332371E-3</v>
      </c>
      <c r="O34" s="336">
        <f t="shared" si="31"/>
        <v>9.0130215256564559E-5</v>
      </c>
      <c r="P34" s="336">
        <f t="shared" ref="P34:Q34" si="32">P20-MAX(P$20:P$24)</f>
        <v>-4.9839721891078104E-2</v>
      </c>
      <c r="Q34" s="337">
        <f t="shared" si="32"/>
        <v>-1.0230218910278949E-2</v>
      </c>
      <c r="R34" s="308">
        <f t="shared" ref="R34:R38" si="33">SQRT(SUMSQ(C34:Q34))</f>
        <v>8.3222144739863127E-2</v>
      </c>
    </row>
    <row r="35" spans="2:18" ht="12.5">
      <c r="C35" s="338">
        <f t="shared" si="29"/>
        <v>2.1559521252329596E-2</v>
      </c>
      <c r="D35" s="339">
        <f t="shared" ref="D35:M35" si="34">D21-MAX(D$20:D$24)</f>
        <v>-5.6979080306015575E-3</v>
      </c>
      <c r="E35" s="339">
        <f t="shared" si="34"/>
        <v>-2.5320960642011628E-3</v>
      </c>
      <c r="F35" s="339">
        <f t="shared" si="34"/>
        <v>-6.7791420385426432E-3</v>
      </c>
      <c r="G35" s="339">
        <f t="shared" si="34"/>
        <v>-1.1782658554890319E-2</v>
      </c>
      <c r="H35" s="339">
        <f t="shared" si="34"/>
        <v>-8.5272593102136071E-3</v>
      </c>
      <c r="I35" s="339">
        <f t="shared" si="34"/>
        <v>0</v>
      </c>
      <c r="J35" s="339">
        <f t="shared" si="34"/>
        <v>0</v>
      </c>
      <c r="K35" s="339">
        <f t="shared" si="34"/>
        <v>-2.7854494937773401E-2</v>
      </c>
      <c r="L35" s="339">
        <f t="shared" si="34"/>
        <v>-4.7838150520491306E-2</v>
      </c>
      <c r="M35" s="339">
        <f t="shared" si="34"/>
        <v>0</v>
      </c>
      <c r="N35" s="339">
        <f t="shared" ref="N35:O35" si="35">N21-MIN(N$20:N$24)</f>
        <v>2.0322734260441451E-4</v>
      </c>
      <c r="O35" s="339">
        <f t="shared" si="35"/>
        <v>0</v>
      </c>
      <c r="P35" s="339">
        <f t="shared" ref="P35:Q35" si="36">P21-MAX(P$20:P$24)</f>
        <v>0</v>
      </c>
      <c r="Q35" s="340">
        <f t="shared" si="36"/>
        <v>-2.8195735996595344E-2</v>
      </c>
      <c r="R35" s="309">
        <f t="shared" si="33"/>
        <v>6.7974958234476246E-2</v>
      </c>
    </row>
    <row r="36" spans="2:18" ht="12.5">
      <c r="C36" s="338">
        <f t="shared" si="29"/>
        <v>7.3559931935085421E-2</v>
      </c>
      <c r="D36" s="339">
        <f t="shared" ref="D36:M36" si="37">D22-MAX(D$20:D$24)</f>
        <v>0</v>
      </c>
      <c r="E36" s="339">
        <f t="shared" si="37"/>
        <v>-5.9082241498027085E-3</v>
      </c>
      <c r="F36" s="339">
        <f t="shared" si="37"/>
        <v>-6.1012278346883816E-3</v>
      </c>
      <c r="G36" s="339">
        <f t="shared" si="37"/>
        <v>0</v>
      </c>
      <c r="H36" s="339">
        <f t="shared" si="37"/>
        <v>-1.7408277640464317E-2</v>
      </c>
      <c r="I36" s="339">
        <f t="shared" si="37"/>
        <v>-2.1099450440856767E-2</v>
      </c>
      <c r="J36" s="339">
        <f t="shared" si="37"/>
        <v>-2.3536901319184466E-2</v>
      </c>
      <c r="K36" s="339">
        <f t="shared" si="37"/>
        <v>-2.8228738163217287E-2</v>
      </c>
      <c r="L36" s="339">
        <f t="shared" si="37"/>
        <v>0</v>
      </c>
      <c r="M36" s="339">
        <f t="shared" si="37"/>
        <v>-2.8807537683289211E-3</v>
      </c>
      <c r="N36" s="339">
        <f t="shared" ref="N36:O36" si="38">N22-MIN(N$20:N$24)</f>
        <v>5.677478005343814E-2</v>
      </c>
      <c r="O36" s="339">
        <f t="shared" si="38"/>
        <v>4.9120967314827688E-3</v>
      </c>
      <c r="P36" s="339">
        <f t="shared" ref="P36:Q36" si="39">P22-MAX(P$20:P$24)</f>
        <v>-7.1791362236963224E-2</v>
      </c>
      <c r="Q36" s="340">
        <f t="shared" si="39"/>
        <v>-1.3570698554451668E-2</v>
      </c>
      <c r="R36" s="309">
        <f t="shared" si="33"/>
        <v>0.12718586650679306</v>
      </c>
    </row>
    <row r="37" spans="2:18" ht="12.5">
      <c r="C37" s="338">
        <f t="shared" si="29"/>
        <v>6.1059406224414393E-3</v>
      </c>
      <c r="D37" s="339">
        <f t="shared" ref="D37:M37" si="40">D23-MAX(D$20:D$24)</f>
        <v>-3.7986053537343648E-3</v>
      </c>
      <c r="E37" s="339">
        <f t="shared" si="40"/>
        <v>0</v>
      </c>
      <c r="F37" s="339">
        <f t="shared" si="40"/>
        <v>-1.35582840770853E-3</v>
      </c>
      <c r="G37" s="339">
        <f t="shared" si="40"/>
        <v>-1.1782658554890319E-2</v>
      </c>
      <c r="H37" s="339">
        <f t="shared" si="40"/>
        <v>-4.6390587302980069E-2</v>
      </c>
      <c r="I37" s="339">
        <f t="shared" si="40"/>
        <v>-3.4286606966392241E-2</v>
      </c>
      <c r="J37" s="339">
        <f t="shared" si="40"/>
        <v>-9.9675210889576642E-3</v>
      </c>
      <c r="K37" s="339">
        <f t="shared" si="40"/>
        <v>-2.9630320463678396E-2</v>
      </c>
      <c r="L37" s="339">
        <f t="shared" si="40"/>
        <v>-5.0396278767040517E-2</v>
      </c>
      <c r="M37" s="339">
        <f t="shared" si="40"/>
        <v>-8.6422613049867564E-3</v>
      </c>
      <c r="N37" s="339">
        <f t="shared" ref="N37:O37" si="41">N23-MIN(N$20:N$24)</f>
        <v>0</v>
      </c>
      <c r="O37" s="339">
        <f t="shared" si="41"/>
        <v>1.3519532288484685E-4</v>
      </c>
      <c r="P37" s="339">
        <f t="shared" ref="P37:Q37" si="42">P23-MAX(P$20:P$24)</f>
        <v>-2.6542488206683208E-2</v>
      </c>
      <c r="Q37" s="340">
        <f t="shared" si="42"/>
        <v>-2.7277104094447849E-2</v>
      </c>
      <c r="R37" s="309">
        <f t="shared" si="33"/>
        <v>9.2522335474297057E-2</v>
      </c>
    </row>
    <row r="38" spans="2:18" ht="13" thickBot="1">
      <c r="C38" s="341">
        <f t="shared" si="29"/>
        <v>0</v>
      </c>
      <c r="D38" s="342">
        <f t="shared" ref="D38:M38" si="43">D24-MAX(D$20:D$24)</f>
        <v>-4.7482566921679611E-3</v>
      </c>
      <c r="E38" s="342">
        <f t="shared" si="43"/>
        <v>-4.2201601070019357E-3</v>
      </c>
      <c r="F38" s="342">
        <f t="shared" si="43"/>
        <v>0</v>
      </c>
      <c r="G38" s="342">
        <f t="shared" si="43"/>
        <v>0</v>
      </c>
      <c r="H38" s="342">
        <f t="shared" si="43"/>
        <v>-3.6314937727054353E-2</v>
      </c>
      <c r="I38" s="342">
        <f t="shared" si="43"/>
        <v>-3.0330460008731595E-2</v>
      </c>
      <c r="J38" s="342">
        <f t="shared" si="43"/>
        <v>-8.3310823627696678E-2</v>
      </c>
      <c r="K38" s="342">
        <f t="shared" si="43"/>
        <v>-2.5789376417088446E-2</v>
      </c>
      <c r="L38" s="342">
        <f t="shared" si="43"/>
        <v>-2.6336045529226273E-2</v>
      </c>
      <c r="M38" s="342">
        <f t="shared" si="43"/>
        <v>-8.6422613049867564E-3</v>
      </c>
      <c r="N38" s="342">
        <f t="shared" ref="N38:O38" si="44">N24-MIN(N$20:N$24)</f>
        <v>4.2732974465126153E-2</v>
      </c>
      <c r="O38" s="342">
        <f t="shared" si="44"/>
        <v>4.0468466650197488E-2</v>
      </c>
      <c r="P38" s="342">
        <f t="shared" ref="P38:Q38" si="45">P24-MAX(P$20:P$24)</f>
        <v>-5.7543903358624318E-2</v>
      </c>
      <c r="Q38" s="343">
        <f t="shared" si="45"/>
        <v>0</v>
      </c>
      <c r="R38" s="310">
        <f t="shared" si="33"/>
        <v>0.13201603371142132</v>
      </c>
    </row>
    <row r="40" spans="2:18" ht="13" thickBot="1"/>
    <row r="41" spans="2:18" ht="13.5" thickBot="1">
      <c r="E41" s="344"/>
      <c r="F41" s="345" t="s">
        <v>889</v>
      </c>
    </row>
    <row r="42" spans="2:18" ht="13">
      <c r="B42" s="326" t="s">
        <v>888</v>
      </c>
      <c r="C42" s="321" t="s">
        <v>854</v>
      </c>
      <c r="D42" s="329" t="s">
        <v>864</v>
      </c>
      <c r="E42" s="331">
        <v>1</v>
      </c>
      <c r="F42" s="332" t="str">
        <f>VLOOKUP(E42,B43:D47,2,0)</f>
        <v>Sun TV Network Ltd</v>
      </c>
    </row>
    <row r="43" spans="2:18" ht="12.5">
      <c r="B43" s="322">
        <f>_xlfn.RANK.AVG(D43,$D$43:$D$47)</f>
        <v>2</v>
      </c>
      <c r="C43" s="327" t="s">
        <v>159</v>
      </c>
      <c r="D43" s="330">
        <f t="shared" ref="D43:D47" si="46">R27/(R27+R34)</f>
        <v>0.61570181632212373</v>
      </c>
      <c r="E43" s="331">
        <v>2</v>
      </c>
      <c r="F43" s="332" t="str">
        <f>VLOOKUP(E43,B43:D47,2,0)</f>
        <v>Zee Entertainment Enterprises Ltd</v>
      </c>
    </row>
    <row r="44" spans="2:18" ht="13" thickBot="1">
      <c r="B44" s="322">
        <f t="shared" ref="B44:B47" si="47">_xlfn.RANK.AVG(D44,$D$43:$D$47)</f>
        <v>1</v>
      </c>
      <c r="C44" s="327" t="s">
        <v>161</v>
      </c>
      <c r="D44" s="330">
        <f t="shared" si="46"/>
        <v>0.68850748890527347</v>
      </c>
      <c r="E44" s="333">
        <v>3</v>
      </c>
      <c r="F44" s="334" t="str">
        <f>VLOOKUP(E44,B43:D47,2,0)</f>
        <v>TV Today Network Limited</v>
      </c>
    </row>
    <row r="45" spans="2:18" ht="12.5">
      <c r="B45" s="322">
        <f t="shared" si="47"/>
        <v>4</v>
      </c>
      <c r="C45" s="327" t="s">
        <v>162</v>
      </c>
      <c r="D45" s="324">
        <f t="shared" si="46"/>
        <v>0.43082890239427657</v>
      </c>
    </row>
    <row r="46" spans="2:18" ht="12.5">
      <c r="B46" s="322">
        <f t="shared" si="47"/>
        <v>3</v>
      </c>
      <c r="C46" s="327" t="s">
        <v>163</v>
      </c>
      <c r="D46" s="324">
        <f t="shared" si="46"/>
        <v>0.58530360903670964</v>
      </c>
    </row>
    <row r="47" spans="2:18" ht="13" thickBot="1">
      <c r="B47" s="323">
        <f t="shared" si="47"/>
        <v>5</v>
      </c>
      <c r="C47" s="328" t="s">
        <v>164</v>
      </c>
      <c r="D47" s="325">
        <f t="shared" si="46"/>
        <v>0.40319291765145798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outlinePr summaryBelow="0" summaryRight="0"/>
  </sheetPr>
  <dimension ref="A1:R47"/>
  <sheetViews>
    <sheetView showGridLines="0" zoomScale="50" zoomScaleNormal="50" workbookViewId="0">
      <selection activeCell="G44" sqref="G44"/>
    </sheetView>
  </sheetViews>
  <sheetFormatPr defaultColWidth="12.54296875" defaultRowHeight="15.75" customHeight="1"/>
  <cols>
    <col min="1" max="1" width="1.54296875" customWidth="1"/>
    <col min="2" max="2" width="26.453125" bestFit="1" customWidth="1"/>
    <col min="3" max="3" width="24.1796875" bestFit="1" customWidth="1"/>
    <col min="4" max="4" width="18.26953125" bestFit="1" customWidth="1"/>
    <col min="5" max="5" width="10.7265625" bestFit="1" customWidth="1"/>
    <col min="6" max="6" width="28.7265625" bestFit="1" customWidth="1"/>
    <col min="7" max="7" width="30.7265625" bestFit="1" customWidth="1"/>
    <col min="8" max="8" width="13.81640625" bestFit="1" customWidth="1"/>
    <col min="9" max="9" width="12.26953125" bestFit="1" customWidth="1"/>
    <col min="10" max="10" width="10.7265625" bestFit="1" customWidth="1"/>
    <col min="11" max="11" width="14.81640625" bestFit="1" customWidth="1"/>
    <col min="12" max="12" width="15.26953125" bestFit="1" customWidth="1"/>
    <col min="13" max="13" width="11.81640625" bestFit="1" customWidth="1"/>
    <col min="14" max="14" width="15.81640625" bestFit="1" customWidth="1"/>
    <col min="15" max="15" width="18" bestFit="1" customWidth="1"/>
    <col min="16" max="17" width="15" bestFit="1" customWidth="1"/>
    <col min="18" max="18" width="18" bestFit="1" customWidth="1"/>
  </cols>
  <sheetData>
    <row r="1" spans="1:17" ht="15" thickBot="1">
      <c r="A1" s="19"/>
      <c r="B1" s="273"/>
      <c r="C1" s="274" t="s">
        <v>852</v>
      </c>
      <c r="D1" s="274" t="s">
        <v>853</v>
      </c>
      <c r="E1" s="274" t="s">
        <v>853</v>
      </c>
      <c r="F1" s="274" t="s">
        <v>853</v>
      </c>
      <c r="G1" s="274" t="s">
        <v>853</v>
      </c>
      <c r="H1" s="274" t="s">
        <v>853</v>
      </c>
      <c r="I1" s="274" t="s">
        <v>853</v>
      </c>
      <c r="J1" s="274" t="s">
        <v>853</v>
      </c>
      <c r="K1" s="274" t="s">
        <v>853</v>
      </c>
      <c r="L1" s="274" t="s">
        <v>853</v>
      </c>
      <c r="M1" s="274" t="s">
        <v>853</v>
      </c>
      <c r="N1" s="274" t="s">
        <v>852</v>
      </c>
      <c r="O1" s="274" t="s">
        <v>852</v>
      </c>
      <c r="P1" s="274" t="s">
        <v>853</v>
      </c>
      <c r="Q1" s="274" t="s">
        <v>853</v>
      </c>
    </row>
    <row r="2" spans="1:17" ht="15" customHeight="1">
      <c r="B2" s="278" t="s">
        <v>106</v>
      </c>
      <c r="C2" s="279" t="s">
        <v>108</v>
      </c>
      <c r="D2" s="279" t="s">
        <v>109</v>
      </c>
      <c r="E2" s="279" t="s">
        <v>110</v>
      </c>
      <c r="F2" s="279" t="s">
        <v>111</v>
      </c>
      <c r="G2" s="279" t="s">
        <v>112</v>
      </c>
      <c r="H2" s="279" t="s">
        <v>113</v>
      </c>
      <c r="I2" s="279" t="s">
        <v>114</v>
      </c>
      <c r="J2" s="279" t="s">
        <v>115</v>
      </c>
      <c r="K2" s="279" t="s">
        <v>116</v>
      </c>
      <c r="L2" s="279" t="s">
        <v>117</v>
      </c>
      <c r="M2" s="279" t="s">
        <v>118</v>
      </c>
      <c r="N2" s="279" t="s">
        <v>119</v>
      </c>
      <c r="O2" s="279" t="s">
        <v>120</v>
      </c>
      <c r="P2" s="279" t="s">
        <v>121</v>
      </c>
      <c r="Q2" s="280" t="s">
        <v>122</v>
      </c>
    </row>
    <row r="3" spans="1:17" ht="14">
      <c r="B3" s="281" t="s">
        <v>128</v>
      </c>
      <c r="C3" s="275">
        <f>INDEX('Company data'!$C$5:$V$64,MATCH($B3,'Company data'!$B$5:$B$64,0),MATCH(C$2,'Company data'!$C$4:$V$4,0))</f>
        <v>1782</v>
      </c>
      <c r="D3" s="275">
        <f>INDEX('Company data'!$C$5:$V$64,MATCH($B3,'Company data'!$B$5:$B$64,0),MATCH(D$2,'Company data'!$C$4:$V$4,0))</f>
        <v>75</v>
      </c>
      <c r="E3" s="275">
        <f>INDEX('Company data'!$C$5:$V$64,MATCH($B3,'Company data'!$B$5:$B$64,0),MATCH(E$2,'Company data'!$C$4:$V$4,0))</f>
        <v>61</v>
      </c>
      <c r="F3" s="275">
        <f>INDEX('Company data'!$C$5:$V$64,MATCH($B3,'Company data'!$B$5:$B$64,0),MATCH(F$2,'Company data'!$C$4:$V$4,0))</f>
        <v>79</v>
      </c>
      <c r="G3" s="276">
        <f>INDEX('Company data'!$C$5:$V$64,MATCH($B3,'Company data'!$B$5:$B$64,0),MATCH(G$2,'Company data'!$C$4:$V$4,0))</f>
        <v>0.12</v>
      </c>
      <c r="H3" s="275">
        <f>INDEX('Company data'!$C$5:$V$64,MATCH($B3,'Company data'!$B$5:$B$64,0),MATCH(H$2,'Company data'!$C$4:$V$4,0))</f>
        <v>351000</v>
      </c>
      <c r="I3" s="276">
        <f>INDEX('Company data'!$C$5:$V$64,MATCH($B3,'Company data'!$B$5:$B$64,0),MATCH(I$2,'Company data'!$C$4:$V$4,0))</f>
        <v>7.0000000000000007E-2</v>
      </c>
      <c r="J3" s="277">
        <f>INDEX('Company data'!$C$5:$V$64,MATCH($B3,'Company data'!$B$5:$B$64,0),MATCH(J$2,'Company data'!$C$4:$V$4,0))</f>
        <v>0.18779999999999999</v>
      </c>
      <c r="K3" s="275">
        <f>INDEX('Company data'!$C$5:$V$64,MATCH($B3,'Company data'!$B$5:$B$64,0),MATCH(K$2,'Company data'!$C$4:$V$4,0))</f>
        <v>4095965</v>
      </c>
      <c r="L3" s="277">
        <f>INDEX('Company data'!$C$5:$V$64,MATCH($B3,'Company data'!$B$5:$B$64,0),MATCH(L$2,'Company data'!$C$4:$V$4,0))</f>
        <v>0.31530000000000002</v>
      </c>
      <c r="M3" s="275">
        <f>INDEX('Company data'!$C$5:$V$64,MATCH($B3,'Company data'!$B$5:$B$64,0),MATCH(M$2,'Company data'!$C$4:$V$4,0))</f>
        <v>20</v>
      </c>
      <c r="N3" s="275">
        <f>INDEX('Company data'!$C$5:$V$64,MATCH($B3,'Company data'!$B$5:$B$64,0),MATCH(N$2,'Company data'!$C$4:$V$4,0))</f>
        <v>418306.54</v>
      </c>
      <c r="O3" s="275">
        <f>INDEX('Company data'!$C$5:$V$64,MATCH($B3,'Company data'!$B$5:$B$64,0),MATCH(O$2,'Company data'!$C$4:$V$4,0))</f>
        <v>3.72</v>
      </c>
      <c r="P3" s="277">
        <f>INDEX('Company data'!$C$5:$V$64,MATCH($B3,'Company data'!$B$5:$B$64,0),MATCH(P$2,'Company data'!$C$4:$V$4,0))</f>
        <v>14.24</v>
      </c>
      <c r="Q3" s="282">
        <f>INDEX('Company data'!$C$5:$V$64,MATCH($B3,'Company data'!$B$5:$B$64,0),MATCH(Q$2,'Company data'!$C$4:$V$4,0))</f>
        <v>19.14</v>
      </c>
    </row>
    <row r="4" spans="1:17" ht="14">
      <c r="B4" s="281" t="s">
        <v>129</v>
      </c>
      <c r="C4" s="275">
        <f>INDEX('Company data'!$C$5:$V$64,MATCH($B4,'Company data'!$B$5:$B$64,0),MATCH(C$2,'Company data'!$C$4:$V$4,0))</f>
        <v>1597</v>
      </c>
      <c r="D4" s="275">
        <f>INDEX('Company data'!$C$5:$V$64,MATCH($B4,'Company data'!$B$5:$B$64,0),MATCH(D$2,'Company data'!$C$4:$V$4,0))</f>
        <v>65</v>
      </c>
      <c r="E4" s="275">
        <f>INDEX('Company data'!$C$5:$V$64,MATCH($B4,'Company data'!$B$5:$B$64,0),MATCH(E$2,'Company data'!$C$4:$V$4,0))</f>
        <v>67</v>
      </c>
      <c r="F4" s="275">
        <f>INDEX('Company data'!$C$5:$V$64,MATCH($B4,'Company data'!$B$5:$B$64,0),MATCH(F$2,'Company data'!$C$4:$V$4,0))</f>
        <v>81</v>
      </c>
      <c r="G4" s="276">
        <f>INDEX('Company data'!$C$5:$V$64,MATCH($B4,'Company data'!$B$5:$B$64,0),MATCH(G$2,'Company data'!$C$4:$V$4,0))</f>
        <v>0.1</v>
      </c>
      <c r="H4" s="275">
        <f>INDEX('Company data'!$C$5:$V$64,MATCH($B4,'Company data'!$B$5:$B$64,0),MATCH(H$2,'Company data'!$C$4:$V$4,0))</f>
        <v>1205214.33</v>
      </c>
      <c r="I4" s="276">
        <f>INDEX('Company data'!$C$5:$V$64,MATCH($B4,'Company data'!$B$5:$B$64,0),MATCH(I$2,'Company data'!$C$4:$V$4,0))</f>
        <v>0.25</v>
      </c>
      <c r="J4" s="277">
        <f>INDEX('Company data'!$C$5:$V$64,MATCH($B4,'Company data'!$B$5:$B$64,0),MATCH(J$2,'Company data'!$C$4:$V$4,0))</f>
        <v>0.18340000000000001</v>
      </c>
      <c r="K4" s="275">
        <f>INDEX('Company data'!$C$5:$V$64,MATCH($B4,'Company data'!$B$5:$B$64,0),MATCH(K$2,'Company data'!$C$4:$V$4,0))</f>
        <v>11773166</v>
      </c>
      <c r="L4" s="277">
        <f>INDEX('Company data'!$C$5:$V$64,MATCH($B4,'Company data'!$B$5:$B$64,0),MATCH(L$2,'Company data'!$C$4:$V$4,0))</f>
        <v>31</v>
      </c>
      <c r="M4" s="275">
        <f>INDEX('Company data'!$C$5:$V$64,MATCH($B4,'Company data'!$B$5:$B$64,0),MATCH(M$2,'Company data'!$C$4:$V$4,0))</f>
        <v>20</v>
      </c>
      <c r="N4" s="275">
        <f>INDEX('Company data'!$C$5:$V$64,MATCH($B4,'Company data'!$B$5:$B$64,0),MATCH(N$2,'Company data'!$C$4:$V$4,0))</f>
        <v>2139211.91</v>
      </c>
      <c r="O4" s="275">
        <f>INDEX('Company data'!$C$5:$V$64,MATCH($B4,'Company data'!$B$5:$B$64,0),MATCH(O$2,'Company data'!$C$4:$V$4,0))</f>
        <v>7.39</v>
      </c>
      <c r="P4" s="277">
        <f>INDEX('Company data'!$C$5:$V$64,MATCH($B4,'Company data'!$B$5:$B$64,0),MATCH(P$2,'Company data'!$C$4:$V$4,0))</f>
        <v>17.11</v>
      </c>
      <c r="Q4" s="282">
        <f>INDEX('Company data'!$C$5:$V$64,MATCH($B4,'Company data'!$B$5:$B$64,0),MATCH(Q$2,'Company data'!$C$4:$V$4,0))</f>
        <v>20.62</v>
      </c>
    </row>
    <row r="5" spans="1:17" ht="14">
      <c r="B5" s="281" t="s">
        <v>130</v>
      </c>
      <c r="C5" s="275">
        <f>INDEX('Company data'!$C$5:$V$64,MATCH($B5,'Company data'!$B$5:$B$64,0),MATCH(C$2,'Company data'!$C$4:$V$4,0))</f>
        <v>935</v>
      </c>
      <c r="D5" s="275">
        <f>INDEX('Company data'!$C$5:$V$64,MATCH($B5,'Company data'!$B$5:$B$64,0),MATCH(D$2,'Company data'!$C$4:$V$4,0))</f>
        <v>68</v>
      </c>
      <c r="E5" s="275">
        <f>INDEX('Company data'!$C$5:$V$64,MATCH($B5,'Company data'!$B$5:$B$64,0),MATCH(E$2,'Company data'!$C$4:$V$4,0))</f>
        <v>63</v>
      </c>
      <c r="F5" s="275">
        <f>INDEX('Company data'!$C$5:$V$64,MATCH($B5,'Company data'!$B$5:$B$64,0),MATCH(F$2,'Company data'!$C$4:$V$4,0))</f>
        <v>79</v>
      </c>
      <c r="G5" s="276">
        <f>INDEX('Company data'!$C$5:$V$64,MATCH($B5,'Company data'!$B$5:$B$64,0),MATCH(G$2,'Company data'!$C$4:$V$4,0))</f>
        <v>0.08</v>
      </c>
      <c r="H5" s="275">
        <f>INDEX('Company data'!$C$5:$V$64,MATCH($B5,'Company data'!$B$5:$B$64,0),MATCH(H$2,'Company data'!$C$4:$V$4,0))</f>
        <v>288538.59999999998</v>
      </c>
      <c r="I5" s="276">
        <f>INDEX('Company data'!$C$5:$V$64,MATCH($B5,'Company data'!$B$5:$B$64,0),MATCH(I$2,'Company data'!$C$4:$V$4,0))</f>
        <v>0.1</v>
      </c>
      <c r="J5" s="277">
        <f>INDEX('Company data'!$C$5:$V$64,MATCH($B5,'Company data'!$B$5:$B$64,0),MATCH(J$2,'Company data'!$C$4:$V$4,0))</f>
        <v>1.0737000000000001</v>
      </c>
      <c r="K5" s="275">
        <f>INDEX('Company data'!$C$5:$V$64,MATCH($B5,'Company data'!$B$5:$B$64,0),MATCH(K$2,'Company data'!$C$4:$V$4,0))</f>
        <v>10928428</v>
      </c>
      <c r="L5" s="277">
        <f>INDEX('Company data'!$C$5:$V$64,MATCH($B5,'Company data'!$B$5:$B$64,0),MATCH(L$2,'Company data'!$C$4:$V$4,0))</f>
        <v>31.73</v>
      </c>
      <c r="M5" s="275">
        <f>INDEX('Company data'!$C$5:$V$64,MATCH($B5,'Company data'!$B$5:$B$64,0),MATCH(M$2,'Company data'!$C$4:$V$4,0))</f>
        <v>19</v>
      </c>
      <c r="N5" s="275">
        <f>INDEX('Company data'!$C$5:$V$64,MATCH($B5,'Company data'!$B$5:$B$64,0),MATCH(N$2,'Company data'!$C$4:$V$4,0))</f>
        <v>1152038.29</v>
      </c>
      <c r="O5" s="275">
        <f>INDEX('Company data'!$C$5:$V$64,MATCH($B5,'Company data'!$B$5:$B$64,0),MATCH(O$2,'Company data'!$C$4:$V$4,0))</f>
        <v>8.8800000000000008</v>
      </c>
      <c r="P5" s="277">
        <f>INDEX('Company data'!$C$5:$V$64,MATCH($B5,'Company data'!$B$5:$B$64,0),MATCH(P$2,'Company data'!$C$4:$V$4,0))</f>
        <v>14.54</v>
      </c>
      <c r="Q5" s="282">
        <f>INDEX('Company data'!$C$5:$V$64,MATCH($B5,'Company data'!$B$5:$B$64,0),MATCH(Q$2,'Company data'!$C$4:$V$4,0))</f>
        <v>16.399999999999999</v>
      </c>
    </row>
    <row r="6" spans="1:17" ht="14">
      <c r="B6" s="281" t="s">
        <v>131</v>
      </c>
      <c r="C6" s="275">
        <f>INDEX('Company data'!$C$5:$V$64,MATCH($B6,'Company data'!$B$5:$B$64,0),MATCH(C$2,'Company data'!$C$4:$V$4,0))</f>
        <v>88.45</v>
      </c>
      <c r="D6" s="275">
        <f>INDEX('Company data'!$C$5:$V$64,MATCH($B6,'Company data'!$B$5:$B$64,0),MATCH(D$2,'Company data'!$C$4:$V$4,0))</f>
        <v>57</v>
      </c>
      <c r="E6" s="275">
        <f>INDEX('Company data'!$C$5:$V$64,MATCH($B6,'Company data'!$B$5:$B$64,0),MATCH(E$2,'Company data'!$C$4:$V$4,0))</f>
        <v>59</v>
      </c>
      <c r="F6" s="275">
        <f>INDEX('Company data'!$C$5:$V$64,MATCH($B6,'Company data'!$B$5:$B$64,0),MATCH(F$2,'Company data'!$C$4:$V$4,0))</f>
        <v>78</v>
      </c>
      <c r="G6" s="276">
        <f>INDEX('Company data'!$C$5:$V$64,MATCH($B6,'Company data'!$B$5:$B$64,0),MATCH(G$2,'Company data'!$C$4:$V$4,0))</f>
        <v>0.15</v>
      </c>
      <c r="H6" s="275">
        <f>INDEX('Company data'!$C$5:$V$64,MATCH($B6,'Company data'!$B$5:$B$64,0),MATCH(H$2,'Company data'!$C$4:$V$4,0))</f>
        <v>58699</v>
      </c>
      <c r="I6" s="276">
        <f>INDEX('Company data'!$C$5:$V$64,MATCH($B6,'Company data'!$B$5:$B$64,0),MATCH(I$2,'Company data'!$C$4:$V$4,0))</f>
        <v>0.02</v>
      </c>
      <c r="J6" s="277">
        <f>INDEX('Company data'!$C$5:$V$64,MATCH($B6,'Company data'!$B$5:$B$64,0),MATCH(J$2,'Company data'!$C$4:$V$4,0))</f>
        <v>0.38119999999999998</v>
      </c>
      <c r="K6" s="275">
        <f>INDEX('Company data'!$C$5:$V$64,MATCH($B6,'Company data'!$B$5:$B$64,0),MATCH(K$2,'Company data'!$C$4:$V$4,0))</f>
        <v>38068956</v>
      </c>
      <c r="L6" s="277">
        <f>INDEX('Company data'!$C$5:$V$64,MATCH($B6,'Company data'!$B$5:$B$64,0),MATCH(L$2,'Company data'!$C$4:$V$4,0))</f>
        <v>37.04</v>
      </c>
      <c r="M6" s="275">
        <f>INDEX('Company data'!$C$5:$V$64,MATCH($B6,'Company data'!$B$5:$B$64,0),MATCH(M$2,'Company data'!$C$4:$V$4,0))</f>
        <v>19</v>
      </c>
      <c r="N6" s="275">
        <f>INDEX('Company data'!$C$5:$V$64,MATCH($B6,'Company data'!$B$5:$B$64,0),MATCH(N$2,'Company data'!$C$4:$V$4,0))</f>
        <v>201681.59</v>
      </c>
      <c r="O6" s="275">
        <f>INDEX('Company data'!$C$5:$V$64,MATCH($B6,'Company data'!$B$5:$B$64,0),MATCH(O$2,'Company data'!$C$4:$V$4,0))</f>
        <v>7.8</v>
      </c>
      <c r="P6" s="277">
        <f>INDEX('Company data'!$C$5:$V$64,MATCH($B6,'Company data'!$B$5:$B$64,0),MATCH(P$2,'Company data'!$C$4:$V$4,0))</f>
        <v>10.59</v>
      </c>
      <c r="Q6" s="282">
        <f>INDEX('Company data'!$C$5:$V$64,MATCH($B6,'Company data'!$B$5:$B$64,0),MATCH(Q$2,'Company data'!$C$4:$V$4,0))</f>
        <v>16.75</v>
      </c>
    </row>
    <row r="7" spans="1:17" ht="14.5" thickBot="1">
      <c r="B7" s="283" t="s">
        <v>132</v>
      </c>
      <c r="C7" s="284">
        <f>INDEX('Company data'!$C$5:$V$64,MATCH($B7,'Company data'!$B$5:$B$64,0),MATCH(C$2,'Company data'!$C$4:$V$4,0))</f>
        <v>702</v>
      </c>
      <c r="D7" s="284">
        <f>INDEX('Company data'!$C$5:$V$64,MATCH($B7,'Company data'!$B$5:$B$64,0),MATCH(D$2,'Company data'!$C$4:$V$4,0))</f>
        <v>60</v>
      </c>
      <c r="E7" s="284">
        <f>INDEX('Company data'!$C$5:$V$64,MATCH($B7,'Company data'!$B$5:$B$64,0),MATCH(E$2,'Company data'!$C$4:$V$4,0))</f>
        <v>63</v>
      </c>
      <c r="F7" s="284">
        <f>INDEX('Company data'!$C$5:$V$64,MATCH($B7,'Company data'!$B$5:$B$64,0),MATCH(F$2,'Company data'!$C$4:$V$4,0))</f>
        <v>75</v>
      </c>
      <c r="G7" s="285">
        <f>INDEX('Company data'!$C$5:$V$64,MATCH($B7,'Company data'!$B$5:$B$64,0),MATCH(G$2,'Company data'!$C$4:$V$4,0))</f>
        <v>0.12</v>
      </c>
      <c r="H7" s="284">
        <f>INDEX('Company data'!$C$5:$V$64,MATCH($B7,'Company data'!$B$5:$B$64,0),MATCH(H$2,'Company data'!$C$4:$V$4,0))</f>
        <v>9070</v>
      </c>
      <c r="I7" s="285">
        <f>INDEX('Company data'!$C$5:$V$64,MATCH($B7,'Company data'!$B$5:$B$64,0),MATCH(I$2,'Company data'!$C$4:$V$4,0))</f>
        <v>0.01</v>
      </c>
      <c r="J7" s="286">
        <f>INDEX('Company data'!$C$5:$V$64,MATCH($B7,'Company data'!$B$5:$B$64,0),MATCH(J$2,'Company data'!$C$4:$V$4,0))</f>
        <v>0.2515</v>
      </c>
      <c r="K7" s="284">
        <f>INDEX('Company data'!$C$5:$V$64,MATCH($B7,'Company data'!$B$5:$B$64,0),MATCH(K$2,'Company data'!$C$4:$V$4,0))</f>
        <v>4066709</v>
      </c>
      <c r="L7" s="286">
        <f>INDEX('Company data'!$C$5:$V$64,MATCH($B7,'Company data'!$B$5:$B$64,0),MATCH(L$2,'Company data'!$C$4:$V$4,0))</f>
        <v>16.03</v>
      </c>
      <c r="M7" s="284">
        <f>INDEX('Company data'!$C$5:$V$64,MATCH($B7,'Company data'!$B$5:$B$64,0),MATCH(M$2,'Company data'!$C$4:$V$4,0))</f>
        <v>16</v>
      </c>
      <c r="N7" s="284">
        <f>INDEX('Company data'!$C$5:$V$64,MATCH($B7,'Company data'!$B$5:$B$64,0),MATCH(N$2,'Company data'!$C$4:$V$4,0))</f>
        <v>57085.95</v>
      </c>
      <c r="O7" s="284">
        <f>INDEX('Company data'!$C$5:$V$64,MATCH($B7,'Company data'!$B$5:$B$64,0),MATCH(O$2,'Company data'!$C$4:$V$4,0))</f>
        <v>7.66</v>
      </c>
      <c r="P7" s="286">
        <f>INDEX('Company data'!$C$5:$V$64,MATCH($B7,'Company data'!$B$5:$B$64,0),MATCH(P$2,'Company data'!$C$4:$V$4,0))</f>
        <v>13.35</v>
      </c>
      <c r="Q7" s="287">
        <f>INDEX('Company data'!$C$5:$V$64,MATCH($B7,'Company data'!$B$5:$B$64,0),MATCH(Q$2,'Company data'!$C$4:$V$4,0))</f>
        <v>15.4</v>
      </c>
    </row>
    <row r="8" spans="1:17" ht="13" thickBot="1"/>
    <row r="9" spans="1:17" ht="15" customHeight="1" thickBot="1">
      <c r="B9" s="288" t="s">
        <v>855</v>
      </c>
      <c r="C9" s="289">
        <f>Dashboard!C18</f>
        <v>8</v>
      </c>
      <c r="D9" s="289">
        <f>Dashboard!C19</f>
        <v>9</v>
      </c>
      <c r="E9" s="289">
        <f>Dashboard!C20</f>
        <v>9</v>
      </c>
      <c r="F9" s="289">
        <f>Dashboard!C21</f>
        <v>9</v>
      </c>
      <c r="G9" s="289">
        <f>Dashboard!C22</f>
        <v>6</v>
      </c>
      <c r="H9" s="289">
        <f>Dashboard!C23</f>
        <v>7</v>
      </c>
      <c r="I9" s="289">
        <f>Dashboard!C24</f>
        <v>4</v>
      </c>
      <c r="J9" s="289">
        <f>Dashboard!C25</f>
        <v>8</v>
      </c>
      <c r="K9" s="289">
        <f>Dashboard!C26</f>
        <v>3</v>
      </c>
      <c r="L9" s="289">
        <f>Dashboard!C27</f>
        <v>5</v>
      </c>
      <c r="M9" s="289">
        <f>Dashboard!C28</f>
        <v>8</v>
      </c>
      <c r="N9" s="289">
        <f>Dashboard!C29</f>
        <v>7</v>
      </c>
      <c r="O9" s="289">
        <f>Dashboard!C30</f>
        <v>4</v>
      </c>
      <c r="P9" s="289">
        <f>Dashboard!C31</f>
        <v>6</v>
      </c>
      <c r="Q9" s="290">
        <f>Dashboard!C32</f>
        <v>5</v>
      </c>
    </row>
    <row r="10" spans="1:17" ht="15" customHeight="1" thickBot="1">
      <c r="B10" s="293" t="s">
        <v>856</v>
      </c>
      <c r="C10" s="291">
        <f t="shared" ref="C10:Q10" si="0">C9/SUM($C$9:$Q$9)</f>
        <v>8.1632653061224483E-2</v>
      </c>
      <c r="D10" s="291">
        <f t="shared" si="0"/>
        <v>9.1836734693877556E-2</v>
      </c>
      <c r="E10" s="291">
        <f t="shared" si="0"/>
        <v>9.1836734693877556E-2</v>
      </c>
      <c r="F10" s="291">
        <f t="shared" si="0"/>
        <v>9.1836734693877556E-2</v>
      </c>
      <c r="G10" s="291">
        <f t="shared" si="0"/>
        <v>6.1224489795918366E-2</v>
      </c>
      <c r="H10" s="291">
        <f t="shared" si="0"/>
        <v>7.1428571428571425E-2</v>
      </c>
      <c r="I10" s="291">
        <f t="shared" si="0"/>
        <v>4.0816326530612242E-2</v>
      </c>
      <c r="J10" s="291">
        <f t="shared" si="0"/>
        <v>8.1632653061224483E-2</v>
      </c>
      <c r="K10" s="291">
        <f t="shared" si="0"/>
        <v>3.0612244897959183E-2</v>
      </c>
      <c r="L10" s="291">
        <f t="shared" si="0"/>
        <v>5.1020408163265307E-2</v>
      </c>
      <c r="M10" s="291">
        <f t="shared" si="0"/>
        <v>8.1632653061224483E-2</v>
      </c>
      <c r="N10" s="291">
        <f t="shared" si="0"/>
        <v>7.1428571428571425E-2</v>
      </c>
      <c r="O10" s="291">
        <f t="shared" si="0"/>
        <v>4.0816326530612242E-2</v>
      </c>
      <c r="P10" s="291">
        <f t="shared" si="0"/>
        <v>6.1224489795918366E-2</v>
      </c>
      <c r="Q10" s="292">
        <f t="shared" si="0"/>
        <v>5.1020408163265307E-2</v>
      </c>
    </row>
    <row r="11" spans="1:17" ht="13" thickBot="1"/>
    <row r="12" spans="1:17" ht="15" customHeight="1" thickBot="1">
      <c r="B12" s="296" t="s">
        <v>857</v>
      </c>
      <c r="C12" s="294">
        <f t="shared" ref="C12:Q12" si="1">SQRT(SUMSQ(C3:C7))</f>
        <v>2664.7298929722688</v>
      </c>
      <c r="D12" s="294">
        <f t="shared" si="1"/>
        <v>146.02397063496116</v>
      </c>
      <c r="E12" s="294">
        <f t="shared" si="1"/>
        <v>140.10353314602742</v>
      </c>
      <c r="F12" s="294">
        <f t="shared" si="1"/>
        <v>175.36248173426378</v>
      </c>
      <c r="G12" s="294">
        <f t="shared" si="1"/>
        <v>0.26019223662515373</v>
      </c>
      <c r="H12" s="294">
        <f t="shared" si="1"/>
        <v>1289389.3680453198</v>
      </c>
      <c r="I12" s="294">
        <f t="shared" si="1"/>
        <v>0.27910571473905726</v>
      </c>
      <c r="J12" s="294">
        <f t="shared" si="1"/>
        <v>1.1959522482106049</v>
      </c>
      <c r="K12" s="294">
        <f t="shared" si="1"/>
        <v>41720479.845234066</v>
      </c>
      <c r="L12" s="294">
        <f t="shared" si="1"/>
        <v>59.973450910298638</v>
      </c>
      <c r="M12" s="294">
        <f t="shared" si="1"/>
        <v>42.166337284616027</v>
      </c>
      <c r="N12" s="294">
        <f t="shared" si="1"/>
        <v>2474335.1527937911</v>
      </c>
      <c r="O12" s="294">
        <f t="shared" si="1"/>
        <v>16.334641104107554</v>
      </c>
      <c r="P12" s="294">
        <f t="shared" si="1"/>
        <v>31.580245407532853</v>
      </c>
      <c r="Q12" s="295">
        <f t="shared" si="1"/>
        <v>39.7266472282774</v>
      </c>
    </row>
    <row r="13" spans="1:17" ht="13" thickBot="1"/>
    <row r="14" spans="1:17" ht="15" customHeight="1" thickBot="1">
      <c r="B14" s="296" t="s">
        <v>858</v>
      </c>
      <c r="C14" s="311">
        <f t="shared" ref="C14:Q14" si="2">C3/C$12</f>
        <v>0.66873569613929529</v>
      </c>
      <c r="D14" s="312">
        <f t="shared" si="2"/>
        <v>0.5136143036918861</v>
      </c>
      <c r="E14" s="312">
        <f t="shared" si="2"/>
        <v>0.43539230332200679</v>
      </c>
      <c r="F14" s="312">
        <f t="shared" si="2"/>
        <v>0.45049544930433272</v>
      </c>
      <c r="G14" s="312">
        <f t="shared" si="2"/>
        <v>0.46119746521445276</v>
      </c>
      <c r="H14" s="312">
        <f t="shared" si="2"/>
        <v>0.27222188168970768</v>
      </c>
      <c r="I14" s="312">
        <f t="shared" si="2"/>
        <v>0.25080102736500653</v>
      </c>
      <c r="J14" s="312">
        <f t="shared" si="2"/>
        <v>0.15702968097680167</v>
      </c>
      <c r="K14" s="312">
        <f t="shared" si="2"/>
        <v>9.817636362751235E-2</v>
      </c>
      <c r="L14" s="312">
        <f t="shared" si="2"/>
        <v>5.2573262871197686E-3</v>
      </c>
      <c r="M14" s="312">
        <f t="shared" si="2"/>
        <v>0.47431200545124896</v>
      </c>
      <c r="N14" s="312">
        <f t="shared" si="2"/>
        <v>0.16905815670431179</v>
      </c>
      <c r="O14" s="312">
        <f t="shared" si="2"/>
        <v>0.22773686769674778</v>
      </c>
      <c r="P14" s="312">
        <f t="shared" si="2"/>
        <v>0.45091479867358236</v>
      </c>
      <c r="Q14" s="313">
        <f t="shared" si="2"/>
        <v>0.48179248276396608</v>
      </c>
    </row>
    <row r="15" spans="1:17" ht="15" customHeight="1">
      <c r="C15" s="314">
        <f t="shared" ref="C15:Q15" si="3">C4/C$12</f>
        <v>0.59931027313942453</v>
      </c>
      <c r="D15" s="315">
        <f t="shared" si="3"/>
        <v>0.44513239653296793</v>
      </c>
      <c r="E15" s="315">
        <f t="shared" si="3"/>
        <v>0.47821777577990909</v>
      </c>
      <c r="F15" s="315">
        <f t="shared" si="3"/>
        <v>0.46190039738798672</v>
      </c>
      <c r="G15" s="315">
        <f t="shared" si="3"/>
        <v>0.38433122101204398</v>
      </c>
      <c r="H15" s="315">
        <f t="shared" si="3"/>
        <v>0.93471713034757931</v>
      </c>
      <c r="I15" s="315">
        <f t="shared" si="3"/>
        <v>0.89571795487502326</v>
      </c>
      <c r="J15" s="315">
        <f t="shared" si="3"/>
        <v>0.15335060431919822</v>
      </c>
      <c r="K15" s="315">
        <f t="shared" si="3"/>
        <v>0.28219152904457562</v>
      </c>
      <c r="L15" s="315">
        <f t="shared" si="3"/>
        <v>0.51689538503239074</v>
      </c>
      <c r="M15" s="315">
        <f t="shared" si="3"/>
        <v>0.47431200545124896</v>
      </c>
      <c r="N15" s="315">
        <f t="shared" si="3"/>
        <v>0.86456028706725496</v>
      </c>
      <c r="O15" s="315">
        <f t="shared" si="3"/>
        <v>0.45241275598896935</v>
      </c>
      <c r="P15" s="315">
        <f t="shared" si="3"/>
        <v>0.54179439643995742</v>
      </c>
      <c r="Q15" s="316">
        <f t="shared" si="3"/>
        <v>0.51904707390767924</v>
      </c>
    </row>
    <row r="16" spans="1:17" ht="15" customHeight="1">
      <c r="C16" s="314">
        <f t="shared" ref="C16:Q16" si="4">C5/C$12</f>
        <v>0.35087984056691418</v>
      </c>
      <c r="D16" s="315">
        <f t="shared" si="4"/>
        <v>0.4656769686806434</v>
      </c>
      <c r="E16" s="315">
        <f t="shared" si="4"/>
        <v>0.44966746080797421</v>
      </c>
      <c r="F16" s="315">
        <f t="shared" si="4"/>
        <v>0.45049544930433272</v>
      </c>
      <c r="G16" s="315">
        <f t="shared" si="4"/>
        <v>0.30746497680963519</v>
      </c>
      <c r="H16" s="315">
        <f t="shared" si="4"/>
        <v>0.2237792610601535</v>
      </c>
      <c r="I16" s="315">
        <f t="shared" si="4"/>
        <v>0.3582871819500093</v>
      </c>
      <c r="J16" s="315">
        <f t="shared" si="4"/>
        <v>0.89777831983382306</v>
      </c>
      <c r="K16" s="315">
        <f t="shared" si="4"/>
        <v>0.26194396710057033</v>
      </c>
      <c r="L16" s="315">
        <f t="shared" si="4"/>
        <v>0.52906743764766961</v>
      </c>
      <c r="M16" s="315">
        <f t="shared" si="4"/>
        <v>0.45059640517868654</v>
      </c>
      <c r="N16" s="315">
        <f t="shared" si="4"/>
        <v>0.46559508670408883</v>
      </c>
      <c r="O16" s="315">
        <f t="shared" si="4"/>
        <v>0.54362994224384953</v>
      </c>
      <c r="P16" s="315">
        <f t="shared" si="4"/>
        <v>0.46041440819619994</v>
      </c>
      <c r="Q16" s="316">
        <f t="shared" si="4"/>
        <v>0.41282114510601059</v>
      </c>
    </row>
    <row r="17" spans="2:18" ht="15" customHeight="1">
      <c r="C17" s="314">
        <f t="shared" ref="C17:Q17" si="5">C6/C$12</f>
        <v>3.3192857645073327E-2</v>
      </c>
      <c r="D17" s="315">
        <f t="shared" si="5"/>
        <v>0.39034687080583347</v>
      </c>
      <c r="E17" s="315">
        <f t="shared" si="5"/>
        <v>0.42111714583603932</v>
      </c>
      <c r="F17" s="315">
        <f t="shared" si="5"/>
        <v>0.44479297526250572</v>
      </c>
      <c r="G17" s="315">
        <f t="shared" si="5"/>
        <v>0.57649683151806597</v>
      </c>
      <c r="H17" s="315">
        <f t="shared" si="5"/>
        <v>4.5524650237333764E-2</v>
      </c>
      <c r="I17" s="315">
        <f t="shared" si="5"/>
        <v>7.1657436390001855E-2</v>
      </c>
      <c r="J17" s="315">
        <f t="shared" si="5"/>
        <v>0.31874182315418953</v>
      </c>
      <c r="K17" s="315">
        <f t="shared" si="5"/>
        <v>0.91247646578419694</v>
      </c>
      <c r="L17" s="315">
        <f t="shared" si="5"/>
        <v>0.61760661489031465</v>
      </c>
      <c r="M17" s="315">
        <f t="shared" si="5"/>
        <v>0.45059640517868654</v>
      </c>
      <c r="N17" s="315">
        <f t="shared" si="5"/>
        <v>8.1509406586363103E-2</v>
      </c>
      <c r="O17" s="315">
        <f t="shared" si="5"/>
        <v>0.47751278710608402</v>
      </c>
      <c r="P17" s="315">
        <f t="shared" si="5"/>
        <v>0.33533621614840148</v>
      </c>
      <c r="Q17" s="316">
        <f t="shared" si="5"/>
        <v>0.42163135247107791</v>
      </c>
    </row>
    <row r="18" spans="2:18" ht="15" customHeight="1" thickBot="1">
      <c r="C18" s="317">
        <f t="shared" ref="C18:Q18" si="6">C7/C$12</f>
        <v>0.26344133484275267</v>
      </c>
      <c r="D18" s="318">
        <f t="shared" si="6"/>
        <v>0.41089144295350888</v>
      </c>
      <c r="E18" s="318">
        <f t="shared" si="6"/>
        <v>0.44966746080797421</v>
      </c>
      <c r="F18" s="318">
        <f t="shared" si="6"/>
        <v>0.42768555313702472</v>
      </c>
      <c r="G18" s="318">
        <f t="shared" si="6"/>
        <v>0.46119746521445276</v>
      </c>
      <c r="H18" s="318">
        <f t="shared" si="6"/>
        <v>7.0343375126086854E-3</v>
      </c>
      <c r="I18" s="318">
        <f t="shared" si="6"/>
        <v>3.5828718195000928E-2</v>
      </c>
      <c r="J18" s="318">
        <f t="shared" si="6"/>
        <v>0.21029267713346975</v>
      </c>
      <c r="K18" s="318">
        <f t="shared" si="6"/>
        <v>9.7475125288247616E-2</v>
      </c>
      <c r="L18" s="318">
        <f t="shared" si="6"/>
        <v>0.26728493619578142</v>
      </c>
      <c r="M18" s="318">
        <f t="shared" si="6"/>
        <v>0.37944960436099917</v>
      </c>
      <c r="N18" s="318">
        <f t="shared" si="6"/>
        <v>2.3071227814689454E-2</v>
      </c>
      <c r="O18" s="318">
        <f t="shared" si="6"/>
        <v>0.46894204477341073</v>
      </c>
      <c r="P18" s="318">
        <f t="shared" si="6"/>
        <v>0.42273262375648346</v>
      </c>
      <c r="Q18" s="319">
        <f t="shared" si="6"/>
        <v>0.3876491240629612</v>
      </c>
    </row>
    <row r="19" spans="2:18" ht="13" thickBot="1"/>
    <row r="20" spans="2:18" ht="15" customHeight="1" thickBot="1">
      <c r="B20" s="320" t="s">
        <v>859</v>
      </c>
      <c r="C20" s="297">
        <f t="shared" ref="C20:Q20" si="7">C$10*C14</f>
        <v>5.4590669072595528E-2</v>
      </c>
      <c r="D20" s="298">
        <f t="shared" si="7"/>
        <v>4.7168660543132401E-2</v>
      </c>
      <c r="E20" s="298">
        <f t="shared" si="7"/>
        <v>3.9985007447939404E-2</v>
      </c>
      <c r="F20" s="298">
        <f t="shared" si="7"/>
        <v>4.1372031058561173E-2</v>
      </c>
      <c r="G20" s="298">
        <f t="shared" si="7"/>
        <v>2.8236579502925678E-2</v>
      </c>
      <c r="H20" s="298">
        <f t="shared" si="7"/>
        <v>1.9444420120693404E-2</v>
      </c>
      <c r="I20" s="298">
        <f t="shared" si="7"/>
        <v>1.0236776627143123E-2</v>
      </c>
      <c r="J20" s="298">
        <f t="shared" si="7"/>
        <v>1.2818749467494013E-2</v>
      </c>
      <c r="K20" s="298">
        <f t="shared" si="7"/>
        <v>3.0053988865565004E-3</v>
      </c>
      <c r="L20" s="298">
        <f t="shared" si="7"/>
        <v>2.6823093301631471E-4</v>
      </c>
      <c r="M20" s="298">
        <f t="shared" si="7"/>
        <v>3.8719347383775422E-2</v>
      </c>
      <c r="N20" s="298">
        <f t="shared" si="7"/>
        <v>1.2075582621736556E-2</v>
      </c>
      <c r="O20" s="298">
        <f t="shared" si="7"/>
        <v>9.2953823549692966E-3</v>
      </c>
      <c r="P20" s="298">
        <f t="shared" si="7"/>
        <v>2.7607028490219329E-2</v>
      </c>
      <c r="Q20" s="299">
        <f t="shared" si="7"/>
        <v>2.4581249120610514E-2</v>
      </c>
    </row>
    <row r="21" spans="2:18" ht="12.5">
      <c r="C21" s="300">
        <f t="shared" ref="C21:Q21" si="8">C$10*C15</f>
        <v>4.8923287603218325E-2</v>
      </c>
      <c r="D21" s="301">
        <f t="shared" si="8"/>
        <v>4.0879505804048075E-2</v>
      </c>
      <c r="E21" s="301">
        <f t="shared" si="8"/>
        <v>4.3917959000195739E-2</v>
      </c>
      <c r="F21" s="301">
        <f t="shared" si="8"/>
        <v>4.2419424249917147E-2</v>
      </c>
      <c r="G21" s="301">
        <f t="shared" si="8"/>
        <v>2.3530482919104732E-2</v>
      </c>
      <c r="H21" s="301">
        <f t="shared" si="8"/>
        <v>6.6765509310541371E-2</v>
      </c>
      <c r="I21" s="301">
        <f t="shared" si="8"/>
        <v>3.6559916525511153E-2</v>
      </c>
      <c r="J21" s="301">
        <f t="shared" si="8"/>
        <v>1.2518416679118221E-2</v>
      </c>
      <c r="K21" s="301">
        <f t="shared" si="8"/>
        <v>8.6385161952421113E-3</v>
      </c>
      <c r="L21" s="301">
        <f t="shared" si="8"/>
        <v>2.6372213522060754E-2</v>
      </c>
      <c r="M21" s="301">
        <f t="shared" si="8"/>
        <v>3.8719347383775422E-2</v>
      </c>
      <c r="N21" s="301">
        <f t="shared" si="8"/>
        <v>6.1754306219089637E-2</v>
      </c>
      <c r="O21" s="301">
        <f t="shared" si="8"/>
        <v>1.8465826775059972E-2</v>
      </c>
      <c r="P21" s="301">
        <f t="shared" si="8"/>
        <v>3.3171085496323922E-2</v>
      </c>
      <c r="Q21" s="302">
        <f t="shared" si="8"/>
        <v>2.6481993566718327E-2</v>
      </c>
    </row>
    <row r="22" spans="2:18" ht="12.5">
      <c r="C22" s="300">
        <f t="shared" ref="C22:Q22" si="9">C$10*C16</f>
        <v>2.8643252291176667E-2</v>
      </c>
      <c r="D22" s="301">
        <f t="shared" si="9"/>
        <v>4.2766252225773377E-2</v>
      </c>
      <c r="E22" s="301">
        <f t="shared" si="9"/>
        <v>4.1295991298691513E-2</v>
      </c>
      <c r="F22" s="301">
        <f t="shared" si="9"/>
        <v>4.1372031058561173E-2</v>
      </c>
      <c r="G22" s="301">
        <f t="shared" si="9"/>
        <v>1.8824386335283785E-2</v>
      </c>
      <c r="H22" s="301">
        <f t="shared" si="9"/>
        <v>1.5984232932868107E-2</v>
      </c>
      <c r="I22" s="301">
        <f t="shared" si="9"/>
        <v>1.462396661020446E-2</v>
      </c>
      <c r="J22" s="301">
        <f t="shared" si="9"/>
        <v>7.3288026108883506E-2</v>
      </c>
      <c r="K22" s="301">
        <f t="shared" si="9"/>
        <v>8.0186928704256213E-3</v>
      </c>
      <c r="L22" s="301">
        <f t="shared" si="9"/>
        <v>2.6993236614677021E-2</v>
      </c>
      <c r="M22" s="301">
        <f t="shared" si="9"/>
        <v>3.6783380014586656E-2</v>
      </c>
      <c r="N22" s="301">
        <f t="shared" si="9"/>
        <v>3.3256791907434913E-2</v>
      </c>
      <c r="O22" s="301">
        <f t="shared" si="9"/>
        <v>2.2188977234442835E-2</v>
      </c>
      <c r="P22" s="301">
        <f t="shared" si="9"/>
        <v>2.8188637236502036E-2</v>
      </c>
      <c r="Q22" s="302">
        <f t="shared" si="9"/>
        <v>2.1062303321735233E-2</v>
      </c>
    </row>
    <row r="23" spans="2:18" ht="12.5">
      <c r="C23" s="300">
        <f t="shared" ref="C23:Q23" si="10">C$10*C17</f>
        <v>2.7096210322508836E-3</v>
      </c>
      <c r="D23" s="301">
        <f t="shared" si="10"/>
        <v>3.5848182012780623E-2</v>
      </c>
      <c r="E23" s="301">
        <f t="shared" si="10"/>
        <v>3.8674023597187288E-2</v>
      </c>
      <c r="F23" s="301">
        <f t="shared" si="10"/>
        <v>4.0848334462883183E-2</v>
      </c>
      <c r="G23" s="301">
        <f t="shared" si="10"/>
        <v>3.5295724378657099E-2</v>
      </c>
      <c r="H23" s="301">
        <f t="shared" si="10"/>
        <v>3.2517607312381258E-3</v>
      </c>
      <c r="I23" s="301">
        <f t="shared" si="10"/>
        <v>2.924793322040892E-3</v>
      </c>
      <c r="J23" s="301">
        <f t="shared" si="10"/>
        <v>2.6019740665648123E-2</v>
      </c>
      <c r="K23" s="301">
        <f t="shared" si="10"/>
        <v>2.793295303421011E-2</v>
      </c>
      <c r="L23" s="301">
        <f t="shared" si="10"/>
        <v>3.1510541576036465E-2</v>
      </c>
      <c r="M23" s="301">
        <f t="shared" si="10"/>
        <v>3.6783380014586656E-2</v>
      </c>
      <c r="N23" s="301">
        <f t="shared" si="10"/>
        <v>5.8221004704545071E-3</v>
      </c>
      <c r="O23" s="301">
        <f t="shared" si="10"/>
        <v>1.9490317841064652E-2</v>
      </c>
      <c r="P23" s="301">
        <f t="shared" si="10"/>
        <v>2.0530788743779681E-2</v>
      </c>
      <c r="Q23" s="302">
        <f t="shared" si="10"/>
        <v>2.1511803697503974E-2</v>
      </c>
    </row>
    <row r="24" spans="2:18" ht="13" thickBot="1">
      <c r="C24" s="303">
        <f t="shared" ref="C24:Q24" si="11">C$10*C18</f>
        <v>2.1505415089204297E-2</v>
      </c>
      <c r="D24" s="304">
        <f t="shared" si="11"/>
        <v>3.7734928434505918E-2</v>
      </c>
      <c r="E24" s="304">
        <f t="shared" si="11"/>
        <v>4.1295991298691513E-2</v>
      </c>
      <c r="F24" s="304">
        <f t="shared" si="11"/>
        <v>3.9277244675849213E-2</v>
      </c>
      <c r="G24" s="304">
        <f t="shared" si="11"/>
        <v>2.8236579502925678E-2</v>
      </c>
      <c r="H24" s="304">
        <f t="shared" si="11"/>
        <v>5.0245267947204896E-4</v>
      </c>
      <c r="I24" s="304">
        <f t="shared" si="11"/>
        <v>1.462396661020446E-3</v>
      </c>
      <c r="J24" s="304">
        <f t="shared" si="11"/>
        <v>1.7166749153752631E-2</v>
      </c>
      <c r="K24" s="304">
        <f t="shared" si="11"/>
        <v>2.9839324067830902E-3</v>
      </c>
      <c r="L24" s="304">
        <f t="shared" si="11"/>
        <v>1.3636986540601094E-2</v>
      </c>
      <c r="M24" s="304">
        <f t="shared" si="11"/>
        <v>3.0975477907020339E-2</v>
      </c>
      <c r="N24" s="304">
        <f t="shared" si="11"/>
        <v>1.6479448439063896E-3</v>
      </c>
      <c r="O24" s="304">
        <f t="shared" si="11"/>
        <v>1.9140491623404518E-2</v>
      </c>
      <c r="P24" s="304">
        <f t="shared" si="11"/>
        <v>2.588158920958062E-2</v>
      </c>
      <c r="Q24" s="305">
        <f t="shared" si="11"/>
        <v>1.9778016533824553E-2</v>
      </c>
    </row>
    <row r="26" spans="2:18" ht="13" thickBot="1">
      <c r="R26" s="307" t="s">
        <v>860</v>
      </c>
    </row>
    <row r="27" spans="2:18" ht="13.5" thickBot="1">
      <c r="B27" s="293" t="s">
        <v>861</v>
      </c>
      <c r="C27" s="311">
        <f t="shared" ref="C27:C31" si="12">C20-MAX($C$20:$C$24)</f>
        <v>0</v>
      </c>
      <c r="D27" s="312">
        <f t="shared" ref="D27:M27" si="13">D20-MIN(D$20:D$24)</f>
        <v>1.1320478530351778E-2</v>
      </c>
      <c r="E27" s="312">
        <f t="shared" si="13"/>
        <v>1.3109838507521163E-3</v>
      </c>
      <c r="F27" s="312">
        <f t="shared" si="13"/>
        <v>2.0947863827119606E-3</v>
      </c>
      <c r="G27" s="312">
        <f t="shared" si="13"/>
        <v>9.4121931676418927E-3</v>
      </c>
      <c r="H27" s="312">
        <f t="shared" si="13"/>
        <v>1.8941967441221355E-2</v>
      </c>
      <c r="I27" s="312">
        <f t="shared" si="13"/>
        <v>8.7743799661226772E-3</v>
      </c>
      <c r="J27" s="312">
        <f t="shared" si="13"/>
        <v>3.0033278837579211E-4</v>
      </c>
      <c r="K27" s="312">
        <f t="shared" si="13"/>
        <v>2.1466479773410169E-5</v>
      </c>
      <c r="L27" s="312">
        <f t="shared" si="13"/>
        <v>0</v>
      </c>
      <c r="M27" s="312">
        <f t="shared" si="13"/>
        <v>7.7438694767550838E-3</v>
      </c>
      <c r="N27" s="312">
        <f t="shared" ref="N27:O27" si="14">N20-MAX(N$20:N$24)</f>
        <v>-4.9678723597353078E-2</v>
      </c>
      <c r="O27" s="312">
        <f t="shared" si="14"/>
        <v>-1.2893594879473539E-2</v>
      </c>
      <c r="P27" s="312">
        <f t="shared" ref="P27:Q27" si="15">P20-MIN(P$20:P$24)</f>
        <v>7.0762397464396477E-3</v>
      </c>
      <c r="Q27" s="313">
        <f t="shared" si="15"/>
        <v>4.8032325867859611E-3</v>
      </c>
      <c r="R27" s="308">
        <f t="shared" ref="R27:R31" si="16">SQRT(SUMSQ(C27:Q27))</f>
        <v>5.8532555486994299E-2</v>
      </c>
    </row>
    <row r="28" spans="2:18" ht="12.5">
      <c r="C28" s="314">
        <f t="shared" si="12"/>
        <v>-5.6673814693772029E-3</v>
      </c>
      <c r="D28" s="315">
        <f t="shared" ref="D28:M28" si="17">D21-MIN(D$20:D$24)</f>
        <v>5.0313237912674516E-3</v>
      </c>
      <c r="E28" s="315">
        <f t="shared" si="17"/>
        <v>5.2439354030084512E-3</v>
      </c>
      <c r="F28" s="315">
        <f t="shared" si="17"/>
        <v>3.142179574067934E-3</v>
      </c>
      <c r="G28" s="315">
        <f t="shared" si="17"/>
        <v>4.7060965838209463E-3</v>
      </c>
      <c r="H28" s="315">
        <f t="shared" si="17"/>
        <v>6.6263056631069323E-2</v>
      </c>
      <c r="I28" s="315">
        <f t="shared" si="17"/>
        <v>3.5097519864490709E-2</v>
      </c>
      <c r="J28" s="315">
        <f t="shared" si="17"/>
        <v>0</v>
      </c>
      <c r="K28" s="315">
        <f t="shared" si="17"/>
        <v>5.6545837884590215E-3</v>
      </c>
      <c r="L28" s="315">
        <f t="shared" si="17"/>
        <v>2.6103982589044439E-2</v>
      </c>
      <c r="M28" s="315">
        <f t="shared" si="17"/>
        <v>7.7438694767550838E-3</v>
      </c>
      <c r="N28" s="315">
        <f t="shared" ref="N28:O28" si="18">N21-MAX(N$20:N$24)</f>
        <v>0</v>
      </c>
      <c r="O28" s="315">
        <f t="shared" si="18"/>
        <v>-3.7231504593828631E-3</v>
      </c>
      <c r="P28" s="315">
        <f t="shared" ref="P28:Q28" si="19">P21-MIN(P$20:P$24)</f>
        <v>1.2640296752544241E-2</v>
      </c>
      <c r="Q28" s="316">
        <f t="shared" si="19"/>
        <v>6.7039770328937744E-3</v>
      </c>
      <c r="R28" s="309">
        <f t="shared" si="16"/>
        <v>8.2045862182571455E-2</v>
      </c>
    </row>
    <row r="29" spans="2:18" ht="12.5">
      <c r="C29" s="314">
        <f t="shared" si="12"/>
        <v>-2.5947416781418861E-2</v>
      </c>
      <c r="D29" s="315">
        <f t="shared" ref="D29:M29" si="20">D22-MIN(D$20:D$24)</f>
        <v>6.9180702129927538E-3</v>
      </c>
      <c r="E29" s="315">
        <f t="shared" si="20"/>
        <v>2.6219677015042256E-3</v>
      </c>
      <c r="F29" s="315">
        <f t="shared" si="20"/>
        <v>2.0947863827119606E-3</v>
      </c>
      <c r="G29" s="315">
        <f t="shared" si="20"/>
        <v>0</v>
      </c>
      <c r="H29" s="315">
        <f t="shared" si="20"/>
        <v>1.5481780253396058E-2</v>
      </c>
      <c r="I29" s="315">
        <f t="shared" si="20"/>
        <v>1.3161569949184014E-2</v>
      </c>
      <c r="J29" s="315">
        <f t="shared" si="20"/>
        <v>6.0769609429765281E-2</v>
      </c>
      <c r="K29" s="315">
        <f t="shared" si="20"/>
        <v>5.0347604636425316E-3</v>
      </c>
      <c r="L29" s="315">
        <f t="shared" si="20"/>
        <v>2.6725005681660707E-2</v>
      </c>
      <c r="M29" s="315">
        <f t="shared" si="20"/>
        <v>5.8079021075663172E-3</v>
      </c>
      <c r="N29" s="315">
        <f t="shared" ref="N29:O29" si="21">N22-MAX(N$20:N$24)</f>
        <v>-2.8497514311654724E-2</v>
      </c>
      <c r="O29" s="315">
        <f t="shared" si="21"/>
        <v>0</v>
      </c>
      <c r="P29" s="315">
        <f t="shared" ref="P29:Q29" si="22">P22-MIN(P$20:P$24)</f>
        <v>7.6578484927223543E-3</v>
      </c>
      <c r="Q29" s="316">
        <f t="shared" si="22"/>
        <v>1.2842867879106802E-3</v>
      </c>
      <c r="R29" s="309">
        <f t="shared" si="16"/>
        <v>8.052301334302879E-2</v>
      </c>
    </row>
    <row r="30" spans="2:18" ht="12.5">
      <c r="C30" s="314">
        <f t="shared" si="12"/>
        <v>-5.1881048040344643E-2</v>
      </c>
      <c r="D30" s="315">
        <f t="shared" ref="D30:M30" si="23">D23-MIN(D$20:D$24)</f>
        <v>0</v>
      </c>
      <c r="E30" s="315">
        <f t="shared" si="23"/>
        <v>0</v>
      </c>
      <c r="F30" s="315">
        <f t="shared" si="23"/>
        <v>1.5710897870339705E-3</v>
      </c>
      <c r="G30" s="315">
        <f t="shared" si="23"/>
        <v>1.6471338043373314E-2</v>
      </c>
      <c r="H30" s="315">
        <f t="shared" si="23"/>
        <v>2.7493080517660769E-3</v>
      </c>
      <c r="I30" s="315">
        <f t="shared" si="23"/>
        <v>1.462396661020446E-3</v>
      </c>
      <c r="J30" s="315">
        <f t="shared" si="23"/>
        <v>1.3501323986529902E-2</v>
      </c>
      <c r="K30" s="315">
        <f t="shared" si="23"/>
        <v>2.4949020627427019E-2</v>
      </c>
      <c r="L30" s="315">
        <f t="shared" si="23"/>
        <v>3.124231064302015E-2</v>
      </c>
      <c r="M30" s="315">
        <f t="shared" si="23"/>
        <v>5.8079021075663172E-3</v>
      </c>
      <c r="N30" s="315">
        <f t="shared" ref="N30:O30" si="24">N23-MAX(N$20:N$24)</f>
        <v>-5.5932205748635132E-2</v>
      </c>
      <c r="O30" s="315">
        <f t="shared" si="24"/>
        <v>-2.6986593933781833E-3</v>
      </c>
      <c r="P30" s="315">
        <f t="shared" ref="P30:Q30" si="25">P23-MIN(P$20:P$24)</f>
        <v>0</v>
      </c>
      <c r="Q30" s="316">
        <f t="shared" si="25"/>
        <v>1.7337871636794212E-3</v>
      </c>
      <c r="R30" s="309">
        <f t="shared" si="16"/>
        <v>8.9041379401946313E-2</v>
      </c>
    </row>
    <row r="31" spans="2:18" ht="13" thickBot="1">
      <c r="C31" s="317">
        <f t="shared" si="12"/>
        <v>-3.3085253983391232E-2</v>
      </c>
      <c r="D31" s="318">
        <f t="shared" ref="D31:M31" si="26">D24-MIN(D$20:D$24)</f>
        <v>1.8867464217252952E-3</v>
      </c>
      <c r="E31" s="318">
        <f t="shared" si="26"/>
        <v>2.6219677015042256E-3</v>
      </c>
      <c r="F31" s="318">
        <f t="shared" si="26"/>
        <v>0</v>
      </c>
      <c r="G31" s="318">
        <f t="shared" si="26"/>
        <v>9.4121931676418927E-3</v>
      </c>
      <c r="H31" s="318">
        <f t="shared" si="26"/>
        <v>0</v>
      </c>
      <c r="I31" s="318">
        <f t="shared" si="26"/>
        <v>0</v>
      </c>
      <c r="J31" s="318">
        <f t="shared" si="26"/>
        <v>4.6483324746344097E-3</v>
      </c>
      <c r="K31" s="318">
        <f t="shared" si="26"/>
        <v>0</v>
      </c>
      <c r="L31" s="318">
        <f t="shared" si="26"/>
        <v>1.3368755607584779E-2</v>
      </c>
      <c r="M31" s="318">
        <f t="shared" si="26"/>
        <v>0</v>
      </c>
      <c r="N31" s="318">
        <f t="shared" ref="N31:O31" si="27">N24-MAX(N$20:N$24)</f>
        <v>-6.010636137518325E-2</v>
      </c>
      <c r="O31" s="318">
        <f t="shared" si="27"/>
        <v>-3.0484856110383173E-3</v>
      </c>
      <c r="P31" s="318">
        <f t="shared" ref="P31:Q31" si="28">P24-MIN(P$20:P$24)</f>
        <v>5.3508004658009388E-3</v>
      </c>
      <c r="Q31" s="319">
        <f t="shared" si="28"/>
        <v>0</v>
      </c>
      <c r="R31" s="310">
        <f t="shared" si="16"/>
        <v>7.1025964036103381E-2</v>
      </c>
    </row>
    <row r="33" spans="2:18" ht="13" thickBot="1">
      <c r="R33" s="307" t="s">
        <v>862</v>
      </c>
    </row>
    <row r="34" spans="2:18" ht="13.5" thickBot="1">
      <c r="B34" s="306" t="s">
        <v>863</v>
      </c>
      <c r="C34" s="335">
        <f t="shared" ref="C34:C38" si="29">C20-MIN(C$20:C$24)</f>
        <v>5.1881048040344643E-2</v>
      </c>
      <c r="D34" s="336">
        <f t="shared" ref="D34:M34" si="30">D20-MAX(D$20:D$24)</f>
        <v>0</v>
      </c>
      <c r="E34" s="336">
        <f t="shared" si="30"/>
        <v>-3.9329515522563349E-3</v>
      </c>
      <c r="F34" s="336">
        <f t="shared" si="30"/>
        <v>-1.0473931913559734E-3</v>
      </c>
      <c r="G34" s="336">
        <f t="shared" si="30"/>
        <v>-7.0591448757314212E-3</v>
      </c>
      <c r="H34" s="336">
        <f t="shared" si="30"/>
        <v>-4.7321089189847967E-2</v>
      </c>
      <c r="I34" s="336">
        <f t="shared" si="30"/>
        <v>-2.6323139898368028E-2</v>
      </c>
      <c r="J34" s="336">
        <f t="shared" si="30"/>
        <v>-6.0469276641389492E-2</v>
      </c>
      <c r="K34" s="336">
        <f t="shared" si="30"/>
        <v>-2.4927554147653609E-2</v>
      </c>
      <c r="L34" s="336">
        <f t="shared" si="30"/>
        <v>-3.124231064302015E-2</v>
      </c>
      <c r="M34" s="336">
        <f t="shared" si="30"/>
        <v>0</v>
      </c>
      <c r="N34" s="336">
        <f t="shared" ref="N34:O34" si="31">N20-MIN(N$20:N$24)</f>
        <v>1.0427637777830167E-2</v>
      </c>
      <c r="O34" s="336">
        <f t="shared" si="31"/>
        <v>0</v>
      </c>
      <c r="P34" s="336">
        <f t="shared" ref="P34:Q34" si="32">P20-MAX(P$20:P$24)</f>
        <v>-5.5640570061045933E-3</v>
      </c>
      <c r="Q34" s="337">
        <f t="shared" si="32"/>
        <v>-1.9007444461078132E-3</v>
      </c>
      <c r="R34" s="308">
        <f t="shared" ref="R34:R38" si="33">SQRT(SUMSQ(C34:Q34))</f>
        <v>0.10529738138172144</v>
      </c>
    </row>
    <row r="35" spans="2:18" ht="12.5">
      <c r="C35" s="338">
        <f t="shared" si="29"/>
        <v>4.621366657096744E-2</v>
      </c>
      <c r="D35" s="339">
        <f t="shared" ref="D35:M35" si="34">D21-MAX(D$20:D$24)</f>
        <v>-6.2891547390843267E-3</v>
      </c>
      <c r="E35" s="339">
        <f t="shared" si="34"/>
        <v>0</v>
      </c>
      <c r="F35" s="339">
        <f t="shared" si="34"/>
        <v>0</v>
      </c>
      <c r="G35" s="339">
        <f t="shared" si="34"/>
        <v>-1.1765241459552368E-2</v>
      </c>
      <c r="H35" s="339">
        <f t="shared" si="34"/>
        <v>0</v>
      </c>
      <c r="I35" s="339">
        <f t="shared" si="34"/>
        <v>0</v>
      </c>
      <c r="J35" s="339">
        <f t="shared" si="34"/>
        <v>-6.0769609429765281E-2</v>
      </c>
      <c r="K35" s="339">
        <f t="shared" si="34"/>
        <v>-1.9294436838967997E-2</v>
      </c>
      <c r="L35" s="339">
        <f t="shared" si="34"/>
        <v>-5.1383280539757104E-3</v>
      </c>
      <c r="M35" s="339">
        <f t="shared" si="34"/>
        <v>0</v>
      </c>
      <c r="N35" s="339">
        <f t="shared" ref="N35:O35" si="35">N21-MIN(N$20:N$24)</f>
        <v>6.010636137518325E-2</v>
      </c>
      <c r="O35" s="339">
        <f t="shared" si="35"/>
        <v>9.1704444200906756E-3</v>
      </c>
      <c r="P35" s="339">
        <f t="shared" ref="P35:Q35" si="36">P21-MAX(P$20:P$24)</f>
        <v>0</v>
      </c>
      <c r="Q35" s="340">
        <f t="shared" si="36"/>
        <v>0</v>
      </c>
      <c r="R35" s="309">
        <f t="shared" si="33"/>
        <v>0.10050956282295621</v>
      </c>
    </row>
    <row r="36" spans="2:18" ht="12.5">
      <c r="C36" s="338">
        <f t="shared" si="29"/>
        <v>2.5933631258925782E-2</v>
      </c>
      <c r="D36" s="339">
        <f t="shared" ref="D36:M36" si="37">D22-MAX(D$20:D$24)</f>
        <v>-4.4024083173590245E-3</v>
      </c>
      <c r="E36" s="339">
        <f t="shared" si="37"/>
        <v>-2.6219677015042256E-3</v>
      </c>
      <c r="F36" s="339">
        <f t="shared" si="37"/>
        <v>-1.0473931913559734E-3</v>
      </c>
      <c r="G36" s="339">
        <f t="shared" si="37"/>
        <v>-1.6471338043373314E-2</v>
      </c>
      <c r="H36" s="339">
        <f t="shared" si="37"/>
        <v>-5.0781276377673268E-2</v>
      </c>
      <c r="I36" s="339">
        <f t="shared" si="37"/>
        <v>-2.1935949915306695E-2</v>
      </c>
      <c r="J36" s="339">
        <f t="shared" si="37"/>
        <v>0</v>
      </c>
      <c r="K36" s="339">
        <f t="shared" si="37"/>
        <v>-1.9914260163784489E-2</v>
      </c>
      <c r="L36" s="339">
        <f t="shared" si="37"/>
        <v>-4.5173049613594432E-3</v>
      </c>
      <c r="M36" s="339">
        <f t="shared" si="37"/>
        <v>-1.9359673691887666E-3</v>
      </c>
      <c r="N36" s="339">
        <f t="shared" ref="N36:O36" si="38">N22-MIN(N$20:N$24)</f>
        <v>3.1608847063528525E-2</v>
      </c>
      <c r="O36" s="339">
        <f t="shared" si="38"/>
        <v>1.2893594879473539E-2</v>
      </c>
      <c r="P36" s="339">
        <f t="shared" ref="P36:Q36" si="39">P22-MAX(P$20:P$24)</f>
        <v>-4.9824482598218867E-3</v>
      </c>
      <c r="Q36" s="340">
        <f t="shared" si="39"/>
        <v>-5.4196902449830942E-3</v>
      </c>
      <c r="R36" s="309">
        <f t="shared" si="33"/>
        <v>7.5308888511367245E-2</v>
      </c>
    </row>
    <row r="37" spans="2:18" ht="12.5">
      <c r="C37" s="338">
        <f t="shared" si="29"/>
        <v>0</v>
      </c>
      <c r="D37" s="339">
        <f t="shared" ref="D37:M37" si="40">D23-MAX(D$20:D$24)</f>
        <v>-1.1320478530351778E-2</v>
      </c>
      <c r="E37" s="339">
        <f t="shared" si="40"/>
        <v>-5.2439354030084512E-3</v>
      </c>
      <c r="F37" s="339">
        <f t="shared" si="40"/>
        <v>-1.5710897870339635E-3</v>
      </c>
      <c r="G37" s="339">
        <f t="shared" si="40"/>
        <v>0</v>
      </c>
      <c r="H37" s="339">
        <f t="shared" si="40"/>
        <v>-6.3513748579303239E-2</v>
      </c>
      <c r="I37" s="339">
        <f t="shared" si="40"/>
        <v>-3.3635123203470264E-2</v>
      </c>
      <c r="J37" s="339">
        <f t="shared" si="40"/>
        <v>-4.7268285443235386E-2</v>
      </c>
      <c r="K37" s="339">
        <f t="shared" si="40"/>
        <v>0</v>
      </c>
      <c r="L37" s="339">
        <f t="shared" si="40"/>
        <v>0</v>
      </c>
      <c r="M37" s="339">
        <f t="shared" si="40"/>
        <v>-1.9359673691887666E-3</v>
      </c>
      <c r="N37" s="339">
        <f t="shared" ref="N37:O37" si="41">N23-MIN(N$20:N$24)</f>
        <v>4.1741556265481178E-3</v>
      </c>
      <c r="O37" s="339">
        <f t="shared" si="41"/>
        <v>1.0194935486095355E-2</v>
      </c>
      <c r="P37" s="339">
        <f t="shared" ref="P37:Q37" si="42">P23-MAX(P$20:P$24)</f>
        <v>-1.2640296752544241E-2</v>
      </c>
      <c r="Q37" s="340">
        <f t="shared" si="42"/>
        <v>-4.9701898692143531E-3</v>
      </c>
      <c r="R37" s="309">
        <f t="shared" si="33"/>
        <v>8.8697898170024436E-2</v>
      </c>
    </row>
    <row r="38" spans="2:18" ht="13" thickBot="1">
      <c r="C38" s="341">
        <f t="shared" si="29"/>
        <v>1.8795794056953412E-2</v>
      </c>
      <c r="D38" s="342">
        <f t="shared" ref="D38:M38" si="43">D24-MAX(D$20:D$24)</f>
        <v>-9.433732108626483E-3</v>
      </c>
      <c r="E38" s="342">
        <f t="shared" si="43"/>
        <v>-2.6219677015042256E-3</v>
      </c>
      <c r="F38" s="342">
        <f t="shared" si="43"/>
        <v>-3.142179574067934E-3</v>
      </c>
      <c r="G38" s="342">
        <f t="shared" si="43"/>
        <v>-7.0591448757314212E-3</v>
      </c>
      <c r="H38" s="342">
        <f t="shared" si="43"/>
        <v>-6.6263056631069323E-2</v>
      </c>
      <c r="I38" s="342">
        <f t="shared" si="43"/>
        <v>-3.5097519864490709E-2</v>
      </c>
      <c r="J38" s="342">
        <f t="shared" si="43"/>
        <v>-5.6121276955130875E-2</v>
      </c>
      <c r="K38" s="342">
        <f t="shared" si="43"/>
        <v>-2.4949020627427019E-2</v>
      </c>
      <c r="L38" s="342">
        <f t="shared" si="43"/>
        <v>-1.7873555035435369E-2</v>
      </c>
      <c r="M38" s="342">
        <f t="shared" si="43"/>
        <v>-7.7438694767550838E-3</v>
      </c>
      <c r="N38" s="342">
        <f t="shared" ref="N38:O38" si="44">N24-MIN(N$20:N$24)</f>
        <v>0</v>
      </c>
      <c r="O38" s="342">
        <f t="shared" si="44"/>
        <v>9.8451092684352214E-3</v>
      </c>
      <c r="P38" s="342">
        <f t="shared" ref="P38:Q38" si="45">P24-MAX(P$20:P$24)</f>
        <v>-7.2894962867433022E-3</v>
      </c>
      <c r="Q38" s="343">
        <f t="shared" si="45"/>
        <v>-6.7039770328937744E-3</v>
      </c>
      <c r="R38" s="310">
        <f t="shared" si="33"/>
        <v>0.1023619771499106</v>
      </c>
    </row>
    <row r="40" spans="2:18" ht="13" thickBot="1"/>
    <row r="41" spans="2:18" ht="13.5" thickBot="1">
      <c r="E41" s="344"/>
      <c r="F41" s="345" t="s">
        <v>889</v>
      </c>
    </row>
    <row r="42" spans="2:18" ht="13">
      <c r="B42" s="326" t="s">
        <v>888</v>
      </c>
      <c r="C42" s="321" t="s">
        <v>854</v>
      </c>
      <c r="D42" s="329" t="s">
        <v>864</v>
      </c>
      <c r="E42" s="331">
        <v>1</v>
      </c>
      <c r="F42" s="332" t="str">
        <f>VLOOKUP(E42,B43:D47,2,0)</f>
        <v>Axis Bank Limited</v>
      </c>
    </row>
    <row r="43" spans="2:18" ht="12.5">
      <c r="B43" s="322">
        <f>_xlfn.RANK.AVG(D43,$D$43:$D$47)</f>
        <v>5</v>
      </c>
      <c r="C43" s="327" t="s">
        <v>128</v>
      </c>
      <c r="D43" s="330">
        <f t="shared" ref="D43:D47" si="46">R27/(R27+R34)</f>
        <v>0.357276311068221</v>
      </c>
      <c r="E43" s="331">
        <v>2</v>
      </c>
      <c r="F43" s="332" t="str">
        <f>VLOOKUP(E43,B43:D47,2,0)</f>
        <v>IDFC FIRST Bank Limited</v>
      </c>
    </row>
    <row r="44" spans="2:18" ht="13" thickBot="1">
      <c r="B44" s="322">
        <f t="shared" ref="B44:B47" si="47">_xlfn.RANK.AVG(D44,$D$43:$D$47)</f>
        <v>3</v>
      </c>
      <c r="C44" s="327" t="s">
        <v>129</v>
      </c>
      <c r="D44" s="330">
        <f t="shared" si="46"/>
        <v>0.44942987687211788</v>
      </c>
      <c r="E44" s="333">
        <v>3</v>
      </c>
      <c r="F44" s="334" t="str">
        <f>VLOOKUP(E44,B43:D47,2,0)</f>
        <v>HDFC Bank Limited</v>
      </c>
    </row>
    <row r="45" spans="2:18" ht="12.5">
      <c r="B45" s="322">
        <f t="shared" si="47"/>
        <v>1</v>
      </c>
      <c r="C45" s="327" t="s">
        <v>130</v>
      </c>
      <c r="D45" s="324">
        <f t="shared" si="46"/>
        <v>0.51672996597491772</v>
      </c>
    </row>
    <row r="46" spans="2:18" ht="12.5">
      <c r="B46" s="322">
        <f t="shared" si="47"/>
        <v>2</v>
      </c>
      <c r="C46" s="327" t="s">
        <v>131</v>
      </c>
      <c r="D46" s="324">
        <f t="shared" si="46"/>
        <v>0.50096625021946206</v>
      </c>
    </row>
    <row r="47" spans="2:18" ht="13" thickBot="1">
      <c r="B47" s="323">
        <f t="shared" si="47"/>
        <v>4</v>
      </c>
      <c r="C47" s="328" t="s">
        <v>132</v>
      </c>
      <c r="D47" s="325">
        <f t="shared" si="46"/>
        <v>0.40963612319443449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outlinePr summaryBelow="0" summaryRight="0"/>
  </sheetPr>
  <dimension ref="B1:R47"/>
  <sheetViews>
    <sheetView showGridLines="0" zoomScale="50" zoomScaleNormal="50" workbookViewId="0">
      <selection activeCell="G44" sqref="G44"/>
    </sheetView>
  </sheetViews>
  <sheetFormatPr defaultColWidth="12.54296875" defaultRowHeight="15.75" customHeight="1"/>
  <cols>
    <col min="1" max="1" width="1.54296875" customWidth="1"/>
    <col min="2" max="2" width="26.453125" bestFit="1" customWidth="1"/>
    <col min="3" max="3" width="24.1796875" bestFit="1" customWidth="1"/>
    <col min="4" max="4" width="18.26953125" bestFit="1" customWidth="1"/>
    <col min="5" max="5" width="10.7265625" bestFit="1" customWidth="1"/>
    <col min="6" max="6" width="28.7265625" bestFit="1" customWidth="1"/>
    <col min="7" max="7" width="30.7265625" bestFit="1" customWidth="1"/>
    <col min="8" max="8" width="13.81640625" bestFit="1" customWidth="1"/>
    <col min="9" max="9" width="12.26953125" bestFit="1" customWidth="1"/>
    <col min="10" max="10" width="10.7265625" bestFit="1" customWidth="1"/>
    <col min="11" max="11" width="14.81640625" bestFit="1" customWidth="1"/>
    <col min="12" max="12" width="15.26953125" bestFit="1" customWidth="1"/>
    <col min="13" max="13" width="11.81640625" bestFit="1" customWidth="1"/>
    <col min="14" max="14" width="15.81640625" bestFit="1" customWidth="1"/>
    <col min="15" max="15" width="18" bestFit="1" customWidth="1"/>
    <col min="16" max="17" width="15" bestFit="1" customWidth="1"/>
    <col min="18" max="18" width="18" bestFit="1" customWidth="1"/>
  </cols>
  <sheetData>
    <row r="1" spans="2:17" ht="15" thickBot="1">
      <c r="B1" s="273"/>
      <c r="C1" s="274" t="s">
        <v>852</v>
      </c>
      <c r="D1" s="274" t="s">
        <v>853</v>
      </c>
      <c r="E1" s="274" t="s">
        <v>853</v>
      </c>
      <c r="F1" s="274" t="s">
        <v>853</v>
      </c>
      <c r="G1" s="274" t="s">
        <v>853</v>
      </c>
      <c r="H1" s="274" t="s">
        <v>853</v>
      </c>
      <c r="I1" s="274" t="s">
        <v>853</v>
      </c>
      <c r="J1" s="274" t="s">
        <v>853</v>
      </c>
      <c r="K1" s="274" t="s">
        <v>853</v>
      </c>
      <c r="L1" s="274" t="s">
        <v>853</v>
      </c>
      <c r="M1" s="274" t="s">
        <v>853</v>
      </c>
      <c r="N1" s="274" t="s">
        <v>852</v>
      </c>
      <c r="O1" s="274" t="s">
        <v>852</v>
      </c>
      <c r="P1" s="274" t="s">
        <v>853</v>
      </c>
      <c r="Q1" s="274" t="s">
        <v>853</v>
      </c>
    </row>
    <row r="2" spans="2:17" ht="15" customHeight="1">
      <c r="B2" s="278" t="s">
        <v>106</v>
      </c>
      <c r="C2" s="279" t="s">
        <v>108</v>
      </c>
      <c r="D2" s="279" t="s">
        <v>109</v>
      </c>
      <c r="E2" s="279" t="s">
        <v>110</v>
      </c>
      <c r="F2" s="279" t="s">
        <v>111</v>
      </c>
      <c r="G2" s="279" t="s">
        <v>112</v>
      </c>
      <c r="H2" s="279" t="s">
        <v>113</v>
      </c>
      <c r="I2" s="279" t="s">
        <v>114</v>
      </c>
      <c r="J2" s="279" t="s">
        <v>115</v>
      </c>
      <c r="K2" s="279" t="s">
        <v>116</v>
      </c>
      <c r="L2" s="279" t="s">
        <v>117</v>
      </c>
      <c r="M2" s="279" t="s">
        <v>118</v>
      </c>
      <c r="N2" s="279" t="s">
        <v>119</v>
      </c>
      <c r="O2" s="279" t="s">
        <v>120</v>
      </c>
      <c r="P2" s="279" t="s">
        <v>121</v>
      </c>
      <c r="Q2" s="280" t="s">
        <v>122</v>
      </c>
    </row>
    <row r="3" spans="2:17" ht="14">
      <c r="B3" s="281" t="s">
        <v>143</v>
      </c>
      <c r="C3" s="275">
        <f>INDEX('Company data'!$C$5:$V$64,MATCH($B3,'Company data'!$B$5:$B$64,0),MATCH(C$2,'Company data'!$C$4:$V$4,0))</f>
        <v>933</v>
      </c>
      <c r="D3" s="275">
        <f>INDEX('Company data'!$C$5:$V$64,MATCH($B3,'Company data'!$B$5:$B$64,0),MATCH(D$2,'Company data'!$C$4:$V$4,0))</f>
        <v>74</v>
      </c>
      <c r="E3" s="275">
        <f>INDEX('Company data'!$C$5:$V$64,MATCH($B3,'Company data'!$B$5:$B$64,0),MATCH(E$2,'Company data'!$C$4:$V$4,0))</f>
        <v>57</v>
      </c>
      <c r="F3" s="275">
        <f>INDEX('Company data'!$C$5:$V$64,MATCH($B3,'Company data'!$B$5:$B$64,0),MATCH(F$2,'Company data'!$C$4:$V$4,0))</f>
        <v>64</v>
      </c>
      <c r="G3" s="276">
        <f>INDEX('Company data'!$C$5:$V$64,MATCH($B3,'Company data'!$B$5:$B$64,0),MATCH(G$2,'Company data'!$C$4:$V$4,0))</f>
        <v>0.25</v>
      </c>
      <c r="H3" s="275">
        <f>INDEX('Company data'!$C$5:$V$64,MATCH($B3,'Company data'!$B$5:$B$64,0),MATCH(H$2,'Company data'!$C$4:$V$4,0))</f>
        <v>147790.26</v>
      </c>
      <c r="I3" s="276">
        <f>INDEX('Company data'!$C$5:$V$64,MATCH($B3,'Company data'!$B$5:$B$64,0),MATCH(I$2,'Company data'!$C$4:$V$4,0))</f>
        <v>0.22</v>
      </c>
      <c r="J3" s="277">
        <f>INDEX('Company data'!$C$5:$V$64,MATCH($B3,'Company data'!$B$5:$B$64,0),MATCH(J$2,'Company data'!$C$4:$V$4,0))</f>
        <v>1.9108000000000001</v>
      </c>
      <c r="K3" s="275">
        <f>INDEX('Company data'!$C$5:$V$64,MATCH($B3,'Company data'!$B$5:$B$64,0),MATCH(K$2,'Company data'!$C$4:$V$4,0))</f>
        <v>2738646</v>
      </c>
      <c r="L3" s="277">
        <f>INDEX('Company data'!$C$5:$V$64,MATCH($B3,'Company data'!$B$5:$B$64,0),MATCH(L$2,'Company data'!$C$4:$V$4,0))</f>
        <v>0.439</v>
      </c>
      <c r="M3" s="275">
        <f>INDEX('Company data'!$C$5:$V$64,MATCH($B3,'Company data'!$B$5:$B$64,0),MATCH(M$2,'Company data'!$C$4:$V$4,0))</f>
        <v>18</v>
      </c>
      <c r="N3" s="275">
        <f>INDEX('Company data'!$C$5:$V$64,MATCH($B3,'Company data'!$B$5:$B$64,0),MATCH(N$2,'Company data'!$C$4:$V$4,0))</f>
        <v>54223</v>
      </c>
      <c r="O3" s="275">
        <f>INDEX('Company data'!$C$5:$V$64,MATCH($B3,'Company data'!$B$5:$B$64,0),MATCH(O$2,'Company data'!$C$4:$V$4,0))</f>
        <v>7.42</v>
      </c>
      <c r="P3" s="277">
        <f>INDEX('Company data'!$C$5:$V$64,MATCH($B3,'Company data'!$B$5:$B$64,0),MATCH(P$2,'Company data'!$C$4:$V$4,0))</f>
        <v>22.83</v>
      </c>
      <c r="Q3" s="282">
        <f>INDEX('Company data'!$C$5:$V$64,MATCH($B3,'Company data'!$B$5:$B$64,0),MATCH(Q$2,'Company data'!$C$4:$V$4,0))</f>
        <v>28.3</v>
      </c>
    </row>
    <row r="4" spans="2:17" ht="14">
      <c r="B4" s="281" t="s">
        <v>145</v>
      </c>
      <c r="C4" s="275">
        <f>INDEX('Company data'!$C$5:$V$64,MATCH($B4,'Company data'!$B$5:$B$64,0),MATCH(C$2,'Company data'!$C$4:$V$4,0))</f>
        <v>232.35</v>
      </c>
      <c r="D4" s="275">
        <f>INDEX('Company data'!$C$5:$V$64,MATCH($B4,'Company data'!$B$5:$B$64,0),MATCH(D$2,'Company data'!$C$4:$V$4,0))</f>
        <v>59</v>
      </c>
      <c r="E4" s="275">
        <f>INDEX('Company data'!$C$5:$V$64,MATCH($B4,'Company data'!$B$5:$B$64,0),MATCH(E$2,'Company data'!$C$4:$V$4,0))</f>
        <v>60</v>
      </c>
      <c r="F4" s="275">
        <f>INDEX('Company data'!$C$5:$V$64,MATCH($B4,'Company data'!$B$5:$B$64,0),MATCH(F$2,'Company data'!$C$4:$V$4,0))</f>
        <v>73</v>
      </c>
      <c r="G4" s="276">
        <f>INDEX('Company data'!$C$5:$V$64,MATCH($B4,'Company data'!$B$5:$B$64,0),MATCH(G$2,'Company data'!$C$4:$V$4,0))</f>
        <v>0.1</v>
      </c>
      <c r="H4" s="275">
        <f>INDEX('Company data'!$C$5:$V$64,MATCH($B4,'Company data'!$B$5:$B$64,0),MATCH(H$2,'Company data'!$C$4:$V$4,0))</f>
        <v>74243.78</v>
      </c>
      <c r="I4" s="276">
        <f>INDEX('Company data'!$C$5:$V$64,MATCH($B4,'Company data'!$B$5:$B$64,0),MATCH(I$2,'Company data'!$C$4:$V$4,0))</f>
        <v>0.1</v>
      </c>
      <c r="J4" s="277">
        <f>INDEX('Company data'!$C$5:$V$64,MATCH($B4,'Company data'!$B$5:$B$64,0),MATCH(J$2,'Company data'!$C$4:$V$4,0))</f>
        <v>1.2037</v>
      </c>
      <c r="K4" s="275">
        <f>INDEX('Company data'!$C$5:$V$64,MATCH($B4,'Company data'!$B$5:$B$64,0),MATCH(K$2,'Company data'!$C$4:$V$4,0))</f>
        <v>11526628</v>
      </c>
      <c r="L4" s="277">
        <f>INDEX('Company data'!$C$5:$V$64,MATCH($B4,'Company data'!$B$5:$B$64,0),MATCH(L$2,'Company data'!$C$4:$V$4,0))</f>
        <v>0.18329999999999999</v>
      </c>
      <c r="M4" s="275">
        <f>INDEX('Company data'!$C$5:$V$64,MATCH($B4,'Company data'!$B$5:$B$64,0),MATCH(M$2,'Company data'!$C$4:$V$4,0))</f>
        <v>18</v>
      </c>
      <c r="N4" s="275">
        <f>INDEX('Company data'!$C$5:$V$64,MATCH($B4,'Company data'!$B$5:$B$64,0),MATCH(N$2,'Company data'!$C$4:$V$4,0))</f>
        <v>52923</v>
      </c>
      <c r="O4" s="275">
        <f>INDEX('Company data'!$C$5:$V$64,MATCH($B4,'Company data'!$B$5:$B$64,0),MATCH(O$2,'Company data'!$C$4:$V$4,0))</f>
        <v>1.84</v>
      </c>
      <c r="P4" s="277">
        <f>INDEX('Company data'!$C$5:$V$64,MATCH($B4,'Company data'!$B$5:$B$64,0),MATCH(P$2,'Company data'!$C$4:$V$4,0))</f>
        <v>12.62</v>
      </c>
      <c r="Q4" s="282">
        <f>INDEX('Company data'!$C$5:$V$64,MATCH($B4,'Company data'!$B$5:$B$64,0),MATCH(Q$2,'Company data'!$C$4:$V$4,0))</f>
        <v>8.4600000000000009</v>
      </c>
    </row>
    <row r="5" spans="2:17" ht="14">
      <c r="B5" s="281" t="s">
        <v>146</v>
      </c>
      <c r="C5" s="275">
        <f>INDEX('Company data'!$C$5:$V$64,MATCH($B5,'Company data'!$B$5:$B$64,0),MATCH(C$2,'Company data'!$C$4:$V$4,0))</f>
        <v>49.7</v>
      </c>
      <c r="D5" s="275">
        <f>INDEX('Company data'!$C$5:$V$64,MATCH($B5,'Company data'!$B$5:$B$64,0),MATCH(D$2,'Company data'!$C$4:$V$4,0))</f>
        <v>65</v>
      </c>
      <c r="E5" s="275">
        <f>INDEX('Company data'!$C$5:$V$64,MATCH($B5,'Company data'!$B$5:$B$64,0),MATCH(E$2,'Company data'!$C$4:$V$4,0))</f>
        <v>64</v>
      </c>
      <c r="F5" s="275">
        <f>INDEX('Company data'!$C$5:$V$64,MATCH($B5,'Company data'!$B$5:$B$64,0),MATCH(F$2,'Company data'!$C$4:$V$4,0))</f>
        <v>56</v>
      </c>
      <c r="G5" s="276">
        <f>INDEX('Company data'!$C$5:$V$64,MATCH($B5,'Company data'!$B$5:$B$64,0),MATCH(G$2,'Company data'!$C$4:$V$4,0))</f>
        <v>0.12</v>
      </c>
      <c r="H5" s="275">
        <f>INDEX('Company data'!$C$5:$V$64,MATCH($B5,'Company data'!$B$5:$B$64,0),MATCH(H$2,'Company data'!$C$4:$V$4,0))</f>
        <v>49923.839999999997</v>
      </c>
      <c r="I5" s="276">
        <f>INDEX('Company data'!$C$5:$V$64,MATCH($B5,'Company data'!$B$5:$B$64,0),MATCH(I$2,'Company data'!$C$4:$V$4,0))</f>
        <v>0.13</v>
      </c>
      <c r="J5" s="277">
        <f>INDEX('Company data'!$C$5:$V$64,MATCH($B5,'Company data'!$B$5:$B$64,0),MATCH(J$2,'Company data'!$C$4:$V$4,0))</f>
        <v>6.08E-2</v>
      </c>
      <c r="K5" s="275">
        <f>INDEX('Company data'!$C$5:$V$64,MATCH($B5,'Company data'!$B$5:$B$64,0),MATCH(K$2,'Company data'!$C$4:$V$4,0))</f>
        <v>16061658</v>
      </c>
      <c r="L5" s="277">
        <f>INDEX('Company data'!$C$5:$V$64,MATCH($B5,'Company data'!$B$5:$B$64,0),MATCH(L$2,'Company data'!$C$4:$V$4,0))</f>
        <v>0.12330000000000001</v>
      </c>
      <c r="M5" s="275">
        <f>INDEX('Company data'!$C$5:$V$64,MATCH($B5,'Company data'!$B$5:$B$64,0),MATCH(M$2,'Company data'!$C$4:$V$4,0))</f>
        <v>20</v>
      </c>
      <c r="N5" s="275">
        <f>INDEX('Company data'!$C$5:$V$64,MATCH($B5,'Company data'!$B$5:$B$64,0),MATCH(N$2,'Company data'!$C$4:$V$4,0))</f>
        <v>29539.84</v>
      </c>
      <c r="O5" s="275">
        <f>INDEX('Company data'!$C$5:$V$64,MATCH($B5,'Company data'!$B$5:$B$64,0),MATCH(O$2,'Company data'!$C$4:$V$4,0))</f>
        <v>0.8</v>
      </c>
      <c r="P5" s="277">
        <f>INDEX('Company data'!$C$5:$V$64,MATCH($B5,'Company data'!$B$5:$B$64,0),MATCH(P$2,'Company data'!$C$4:$V$4,0))</f>
        <v>10.83</v>
      </c>
      <c r="Q5" s="282">
        <f>INDEX('Company data'!$C$5:$V$64,MATCH($B5,'Company data'!$B$5:$B$64,0),MATCH(Q$2,'Company data'!$C$4:$V$4,0))</f>
        <v>11.02</v>
      </c>
    </row>
    <row r="6" spans="2:17" ht="14">
      <c r="B6" s="281" t="s">
        <v>147</v>
      </c>
      <c r="C6" s="275">
        <f>INDEX('Company data'!$C$5:$V$64,MATCH($B6,'Company data'!$B$5:$B$64,0),MATCH(C$2,'Company data'!$C$4:$V$4,0))</f>
        <v>116.65</v>
      </c>
      <c r="D6" s="275">
        <f>INDEX('Company data'!$C$5:$V$64,MATCH($B6,'Company data'!$B$5:$B$64,0),MATCH(D$2,'Company data'!$C$4:$V$4,0))</f>
        <v>26</v>
      </c>
      <c r="E6" s="275">
        <f>INDEX('Company data'!$C$5:$V$64,MATCH($B6,'Company data'!$B$5:$B$64,0),MATCH(E$2,'Company data'!$C$4:$V$4,0))</f>
        <v>39</v>
      </c>
      <c r="F6" s="275">
        <f>INDEX('Company data'!$C$5:$V$64,MATCH($B6,'Company data'!$B$5:$B$64,0),MATCH(F$2,'Company data'!$C$4:$V$4,0))</f>
        <v>60</v>
      </c>
      <c r="G6" s="276">
        <f>INDEX('Company data'!$C$5:$V$64,MATCH($B6,'Company data'!$B$5:$B$64,0),MATCH(G$2,'Company data'!$C$4:$V$4,0))</f>
        <v>0.1</v>
      </c>
      <c r="H6" s="275">
        <f>INDEX('Company data'!$C$5:$V$64,MATCH($B6,'Company data'!$B$5:$B$64,0),MATCH(H$2,'Company data'!$C$4:$V$4,0))</f>
        <v>1764.37</v>
      </c>
      <c r="I6" s="276">
        <f>INDEX('Company data'!$C$5:$V$64,MATCH($B6,'Company data'!$B$5:$B$64,0),MATCH(I$2,'Company data'!$C$4:$V$4,0))</f>
        <v>0.03</v>
      </c>
      <c r="J6" s="277">
        <f>INDEX('Company data'!$C$5:$V$64,MATCH($B6,'Company data'!$B$5:$B$64,0),MATCH(J$2,'Company data'!$C$4:$V$4,0))</f>
        <v>-8.7099999999999997E-2</v>
      </c>
      <c r="K6" s="275">
        <f>INDEX('Company data'!$C$5:$V$64,MATCH($B6,'Company data'!$B$5:$B$64,0),MATCH(K$2,'Company data'!$C$4:$V$4,0))</f>
        <v>593763</v>
      </c>
      <c r="L6" s="277">
        <f>INDEX('Company data'!$C$5:$V$64,MATCH($B6,'Company data'!$B$5:$B$64,0),MATCH(L$2,'Company data'!$C$4:$V$4,0))</f>
        <v>0.1832</v>
      </c>
      <c r="M6" s="275">
        <f>INDEX('Company data'!$C$5:$V$64,MATCH($B6,'Company data'!$B$5:$B$64,0),MATCH(M$2,'Company data'!$C$4:$V$4,0))</f>
        <v>18</v>
      </c>
      <c r="N6" s="275">
        <f>INDEX('Company data'!$C$5:$V$64,MATCH($B6,'Company data'!$B$5:$B$64,0),MATCH(N$2,'Company data'!$C$4:$V$4,0))</f>
        <v>493.32</v>
      </c>
      <c r="O6" s="275">
        <f>INDEX('Company data'!$C$5:$V$64,MATCH($B6,'Company data'!$B$5:$B$64,0),MATCH(O$2,'Company data'!$C$4:$V$4,0))</f>
        <v>0.16</v>
      </c>
      <c r="P6" s="277">
        <f>INDEX('Company data'!$C$5:$V$64,MATCH($B6,'Company data'!$B$5:$B$64,0),MATCH(P$2,'Company data'!$C$4:$V$4,0))</f>
        <v>6.09</v>
      </c>
      <c r="Q6" s="282">
        <f>INDEX('Company data'!$C$5:$V$64,MATCH($B6,'Company data'!$B$5:$B$64,0),MATCH(Q$2,'Company data'!$C$4:$V$4,0))</f>
        <v>4.01</v>
      </c>
    </row>
    <row r="7" spans="2:17" ht="14.5" thickBot="1">
      <c r="B7" s="283" t="s">
        <v>148</v>
      </c>
      <c r="C7" s="284">
        <f>INDEX('Company data'!$C$5:$V$64,MATCH($B7,'Company data'!$B$5:$B$64,0),MATCH(C$2,'Company data'!$C$4:$V$4,0))</f>
        <v>16.57</v>
      </c>
      <c r="D7" s="284">
        <f>INDEX('Company data'!$C$5:$V$64,MATCH($B7,'Company data'!$B$5:$B$64,0),MATCH(D$2,'Company data'!$C$4:$V$4,0))</f>
        <v>24</v>
      </c>
      <c r="E7" s="284">
        <f>INDEX('Company data'!$C$5:$V$64,MATCH($B7,'Company data'!$B$5:$B$64,0),MATCH(E$2,'Company data'!$C$4:$V$4,0))</f>
        <v>33</v>
      </c>
      <c r="F7" s="284">
        <f>INDEX('Company data'!$C$5:$V$64,MATCH($B7,'Company data'!$B$5:$B$64,0),MATCH(F$2,'Company data'!$C$4:$V$4,0))</f>
        <v>51</v>
      </c>
      <c r="G7" s="285">
        <f>INDEX('Company data'!$C$5:$V$64,MATCH($B7,'Company data'!$B$5:$B$64,0),MATCH(G$2,'Company data'!$C$4:$V$4,0))</f>
        <v>0.05</v>
      </c>
      <c r="H7" s="284">
        <f>INDEX('Company data'!$C$5:$V$64,MATCH($B7,'Company data'!$B$5:$B$64,0),MATCH(H$2,'Company data'!$C$4:$V$4,0))</f>
        <v>6189.15</v>
      </c>
      <c r="I7" s="285">
        <f>INDEX('Company data'!$C$5:$V$64,MATCH($B7,'Company data'!$B$5:$B$64,0),MATCH(I$2,'Company data'!$C$4:$V$4,0))</f>
        <v>0.02</v>
      </c>
      <c r="J7" s="286">
        <f>INDEX('Company data'!$C$5:$V$64,MATCH($B7,'Company data'!$B$5:$B$64,0),MATCH(J$2,'Company data'!$C$4:$V$4,0))</f>
        <v>0</v>
      </c>
      <c r="K7" s="284">
        <f>INDEX('Company data'!$C$5:$V$64,MATCH($B7,'Company data'!$B$5:$B$64,0),MATCH(K$2,'Company data'!$C$4:$V$4,0))</f>
        <v>70933636</v>
      </c>
      <c r="L7" s="286">
        <f>INDEX('Company data'!$C$5:$V$64,MATCH($B7,'Company data'!$B$5:$B$64,0),MATCH(L$2,'Company data'!$C$4:$V$4,0))</f>
        <v>-0.02</v>
      </c>
      <c r="M7" s="284">
        <f>INDEX('Company data'!$C$5:$V$64,MATCH($B7,'Company data'!$B$5:$B$64,0),MATCH(M$2,'Company data'!$C$4:$V$4,0))</f>
        <v>20</v>
      </c>
      <c r="N7" s="284">
        <f>INDEX('Company data'!$C$5:$V$64,MATCH($B7,'Company data'!$B$5:$B$64,0),MATCH(N$2,'Company data'!$C$4:$V$4,0))</f>
        <v>21236.03</v>
      </c>
      <c r="O7" s="284">
        <f>INDEX('Company data'!$C$5:$V$64,MATCH($B7,'Company data'!$B$5:$B$64,0),MATCH(O$2,'Company data'!$C$4:$V$4,0))</f>
        <v>1.84</v>
      </c>
      <c r="P7" s="286">
        <f>INDEX('Company data'!$C$5:$V$64,MATCH($B7,'Company data'!$B$5:$B$64,0),MATCH(P$2,'Company data'!$C$4:$V$4,0))</f>
        <v>-11.75</v>
      </c>
      <c r="Q7" s="287">
        <f>INDEX('Company data'!$C$5:$V$64,MATCH($B7,'Company data'!$B$5:$B$64,0),MATCH(Q$2,'Company data'!$C$4:$V$4,0))</f>
        <v>13.48</v>
      </c>
    </row>
    <row r="8" spans="2:17" ht="13" thickBot="1"/>
    <row r="9" spans="2:17" ht="15" customHeight="1" thickBot="1">
      <c r="B9" s="288" t="s">
        <v>855</v>
      </c>
      <c r="C9" s="289">
        <f>Dashboard!C18</f>
        <v>8</v>
      </c>
      <c r="D9" s="289">
        <f>Dashboard!C19</f>
        <v>9</v>
      </c>
      <c r="E9" s="289">
        <f>Dashboard!C20</f>
        <v>9</v>
      </c>
      <c r="F9" s="289">
        <f>Dashboard!C21</f>
        <v>9</v>
      </c>
      <c r="G9" s="289">
        <f>Dashboard!C22</f>
        <v>6</v>
      </c>
      <c r="H9" s="289">
        <f>Dashboard!C23</f>
        <v>7</v>
      </c>
      <c r="I9" s="289">
        <f>Dashboard!C24</f>
        <v>4</v>
      </c>
      <c r="J9" s="289">
        <f>Dashboard!C25</f>
        <v>8</v>
      </c>
      <c r="K9" s="289">
        <f>Dashboard!C26</f>
        <v>3</v>
      </c>
      <c r="L9" s="289">
        <f>Dashboard!C27</f>
        <v>5</v>
      </c>
      <c r="M9" s="289">
        <f>Dashboard!C28</f>
        <v>8</v>
      </c>
      <c r="N9" s="289">
        <f>Dashboard!C29</f>
        <v>7</v>
      </c>
      <c r="O9" s="289">
        <f>Dashboard!C30</f>
        <v>4</v>
      </c>
      <c r="P9" s="289">
        <f>Dashboard!C31</f>
        <v>6</v>
      </c>
      <c r="Q9" s="290">
        <f>Dashboard!C32</f>
        <v>5</v>
      </c>
    </row>
    <row r="10" spans="2:17" ht="15" customHeight="1" thickBot="1">
      <c r="B10" s="293" t="s">
        <v>856</v>
      </c>
      <c r="C10" s="291">
        <f t="shared" ref="C10:Q10" si="0">C9/SUM($C$9:$Q$9)</f>
        <v>8.1632653061224483E-2</v>
      </c>
      <c r="D10" s="291">
        <f t="shared" si="0"/>
        <v>9.1836734693877556E-2</v>
      </c>
      <c r="E10" s="291">
        <f t="shared" si="0"/>
        <v>9.1836734693877556E-2</v>
      </c>
      <c r="F10" s="291">
        <f t="shared" si="0"/>
        <v>9.1836734693877556E-2</v>
      </c>
      <c r="G10" s="291">
        <f t="shared" si="0"/>
        <v>6.1224489795918366E-2</v>
      </c>
      <c r="H10" s="291">
        <f t="shared" si="0"/>
        <v>7.1428571428571425E-2</v>
      </c>
      <c r="I10" s="291">
        <f t="shared" si="0"/>
        <v>4.0816326530612242E-2</v>
      </c>
      <c r="J10" s="291">
        <f t="shared" si="0"/>
        <v>8.1632653061224483E-2</v>
      </c>
      <c r="K10" s="291">
        <f t="shared" si="0"/>
        <v>3.0612244897959183E-2</v>
      </c>
      <c r="L10" s="291">
        <f t="shared" si="0"/>
        <v>5.1020408163265307E-2</v>
      </c>
      <c r="M10" s="291">
        <f t="shared" si="0"/>
        <v>8.1632653061224483E-2</v>
      </c>
      <c r="N10" s="291">
        <f t="shared" si="0"/>
        <v>7.1428571428571425E-2</v>
      </c>
      <c r="O10" s="291">
        <f t="shared" si="0"/>
        <v>4.0816326530612242E-2</v>
      </c>
      <c r="P10" s="291">
        <f t="shared" si="0"/>
        <v>6.1224489795918366E-2</v>
      </c>
      <c r="Q10" s="292">
        <f t="shared" si="0"/>
        <v>5.1020408163265307E-2</v>
      </c>
    </row>
    <row r="11" spans="2:17" ht="13" thickBot="1"/>
    <row r="12" spans="2:17" ht="15" customHeight="1" thickBot="1">
      <c r="B12" s="296" t="s">
        <v>857</v>
      </c>
      <c r="C12" s="294">
        <f t="shared" ref="C12:Q12" si="1">SQRT(SUMSQ(C3:C7))</f>
        <v>969.96257654612634</v>
      </c>
      <c r="D12" s="294">
        <f t="shared" si="1"/>
        <v>120.14158314255727</v>
      </c>
      <c r="E12" s="294">
        <f t="shared" si="1"/>
        <v>116.42594212631478</v>
      </c>
      <c r="F12" s="294">
        <f t="shared" si="1"/>
        <v>136.97445017228577</v>
      </c>
      <c r="G12" s="294">
        <f t="shared" si="1"/>
        <v>0.31527765540868896</v>
      </c>
      <c r="H12" s="294">
        <f t="shared" si="1"/>
        <v>172881.19677721174</v>
      </c>
      <c r="I12" s="294">
        <f t="shared" si="1"/>
        <v>0.27676705006196095</v>
      </c>
      <c r="J12" s="294">
        <f t="shared" si="1"/>
        <v>2.2608258181469885</v>
      </c>
      <c r="K12" s="294">
        <f t="shared" si="1"/>
        <v>73690389.219716623</v>
      </c>
      <c r="L12" s="294">
        <f t="shared" si="1"/>
        <v>0.52486666878360644</v>
      </c>
      <c r="M12" s="294">
        <f t="shared" si="1"/>
        <v>42.095130359698373</v>
      </c>
      <c r="N12" s="294">
        <f t="shared" si="1"/>
        <v>84052.317874100889</v>
      </c>
      <c r="O12" s="294">
        <f t="shared" si="1"/>
        <v>7.9052640689606308</v>
      </c>
      <c r="P12" s="294">
        <f t="shared" si="1"/>
        <v>31.191550137817771</v>
      </c>
      <c r="Q12" s="295">
        <f t="shared" si="1"/>
        <v>34.520899466844718</v>
      </c>
    </row>
    <row r="13" spans="2:17" ht="13" thickBot="1"/>
    <row r="14" spans="2:17" ht="15" customHeight="1" thickBot="1">
      <c r="B14" s="296" t="s">
        <v>858</v>
      </c>
      <c r="C14" s="311">
        <f t="shared" ref="C14:Q14" si="2">C3/C$12</f>
        <v>0.96189278077331208</v>
      </c>
      <c r="D14" s="312">
        <f t="shared" si="2"/>
        <v>0.61593994405911301</v>
      </c>
      <c r="E14" s="312">
        <f t="shared" si="2"/>
        <v>0.48958160835115772</v>
      </c>
      <c r="F14" s="312">
        <f t="shared" si="2"/>
        <v>0.46724042271752964</v>
      </c>
      <c r="G14" s="312">
        <f t="shared" si="2"/>
        <v>0.79295184961943888</v>
      </c>
      <c r="H14" s="312">
        <f t="shared" si="2"/>
        <v>0.85486601640347348</v>
      </c>
      <c r="I14" s="312">
        <f t="shared" si="2"/>
        <v>0.79489231088291656</v>
      </c>
      <c r="J14" s="312">
        <f t="shared" si="2"/>
        <v>0.84517789237125951</v>
      </c>
      <c r="K14" s="312">
        <f t="shared" si="2"/>
        <v>3.7164222214031227E-2</v>
      </c>
      <c r="L14" s="312">
        <f t="shared" si="2"/>
        <v>0.83640289260012468</v>
      </c>
      <c r="M14" s="312">
        <f t="shared" si="2"/>
        <v>0.42760290433102194</v>
      </c>
      <c r="N14" s="312">
        <f t="shared" si="2"/>
        <v>0.64511010964883553</v>
      </c>
      <c r="O14" s="312">
        <f t="shared" si="2"/>
        <v>0.93861507158679491</v>
      </c>
      <c r="P14" s="312">
        <f t="shared" si="2"/>
        <v>0.7319289967676238</v>
      </c>
      <c r="Q14" s="313">
        <f t="shared" si="2"/>
        <v>0.81979323937316517</v>
      </c>
    </row>
    <row r="15" spans="2:17" ht="15" customHeight="1">
      <c r="C15" s="314">
        <f t="shared" ref="C15:Q15" si="3">C4/C$12</f>
        <v>0.23954532434370746</v>
      </c>
      <c r="D15" s="315">
        <f t="shared" si="3"/>
        <v>0.4910872526957793</v>
      </c>
      <c r="E15" s="315">
        <f t="shared" si="3"/>
        <v>0.51534906142227133</v>
      </c>
      <c r="F15" s="315">
        <f t="shared" si="3"/>
        <v>0.53294610716218216</v>
      </c>
      <c r="G15" s="315">
        <f t="shared" si="3"/>
        <v>0.31718073984777556</v>
      </c>
      <c r="H15" s="315">
        <f t="shared" si="3"/>
        <v>0.42944971103871032</v>
      </c>
      <c r="I15" s="315">
        <f t="shared" si="3"/>
        <v>0.36131468676496209</v>
      </c>
      <c r="J15" s="315">
        <f t="shared" si="3"/>
        <v>0.53241607130379165</v>
      </c>
      <c r="K15" s="315">
        <f t="shared" si="3"/>
        <v>0.15641969220208612</v>
      </c>
      <c r="L15" s="315">
        <f t="shared" si="3"/>
        <v>0.34923154946150992</v>
      </c>
      <c r="M15" s="315">
        <f t="shared" si="3"/>
        <v>0.42760290433102194</v>
      </c>
      <c r="N15" s="315">
        <f t="shared" si="3"/>
        <v>0.62964355223697177</v>
      </c>
      <c r="O15" s="315">
        <f t="shared" si="3"/>
        <v>0.23275629807543163</v>
      </c>
      <c r="P15" s="315">
        <f t="shared" si="3"/>
        <v>0.40459675598806011</v>
      </c>
      <c r="Q15" s="316">
        <f t="shared" si="3"/>
        <v>0.24506893304229604</v>
      </c>
    </row>
    <row r="16" spans="2:17" ht="15" customHeight="1">
      <c r="C16" s="314">
        <f t="shared" ref="C16:Q16" si="4">C5/C$12</f>
        <v>5.1239090251268604E-2</v>
      </c>
      <c r="D16" s="315">
        <f t="shared" si="4"/>
        <v>0.54102832924111277</v>
      </c>
      <c r="E16" s="315">
        <f t="shared" si="4"/>
        <v>0.54970566551708944</v>
      </c>
      <c r="F16" s="315">
        <f t="shared" si="4"/>
        <v>0.40883536987783842</v>
      </c>
      <c r="G16" s="315">
        <f t="shared" si="4"/>
        <v>0.38061688781733066</v>
      </c>
      <c r="H16" s="315">
        <f t="shared" si="4"/>
        <v>0.28877541878852081</v>
      </c>
      <c r="I16" s="315">
        <f t="shared" si="4"/>
        <v>0.46970909279445072</v>
      </c>
      <c r="J16" s="315">
        <f t="shared" si="4"/>
        <v>2.6892828059541855E-2</v>
      </c>
      <c r="K16" s="315">
        <f t="shared" si="4"/>
        <v>0.21796136741943734</v>
      </c>
      <c r="L16" s="315">
        <f t="shared" si="4"/>
        <v>0.23491680332026282</v>
      </c>
      <c r="M16" s="315">
        <f t="shared" si="4"/>
        <v>0.47511433814557991</v>
      </c>
      <c r="N16" s="315">
        <f t="shared" si="4"/>
        <v>0.35144587022866786</v>
      </c>
      <c r="O16" s="315">
        <f t="shared" si="4"/>
        <v>0.10119839046757897</v>
      </c>
      <c r="P16" s="315">
        <f t="shared" si="4"/>
        <v>0.3472094189659819</v>
      </c>
      <c r="Q16" s="316">
        <f t="shared" si="4"/>
        <v>0.31922690805273074</v>
      </c>
    </row>
    <row r="17" spans="2:18" ht="15" customHeight="1">
      <c r="C17" s="314">
        <f t="shared" ref="C17:Q17" si="5">C6/C$12</f>
        <v>0.12026237178693125</v>
      </c>
      <c r="D17" s="315">
        <f t="shared" si="5"/>
        <v>0.21641133169644511</v>
      </c>
      <c r="E17" s="315">
        <f t="shared" si="5"/>
        <v>0.33497688992447633</v>
      </c>
      <c r="F17" s="315">
        <f t="shared" si="5"/>
        <v>0.43803789629768403</v>
      </c>
      <c r="G17" s="315">
        <f t="shared" si="5"/>
        <v>0.31718073984777556</v>
      </c>
      <c r="H17" s="315">
        <f t="shared" si="5"/>
        <v>1.0205679003215748E-2</v>
      </c>
      <c r="I17" s="315">
        <f t="shared" si="5"/>
        <v>0.10839440602948862</v>
      </c>
      <c r="J17" s="315">
        <f t="shared" si="5"/>
        <v>-3.852574546029762E-2</v>
      </c>
      <c r="K17" s="315">
        <f t="shared" si="5"/>
        <v>8.0575364886406736E-3</v>
      </c>
      <c r="L17" s="315">
        <f t="shared" si="5"/>
        <v>0.34904102488460786</v>
      </c>
      <c r="M17" s="315">
        <f t="shared" si="5"/>
        <v>0.42760290433102194</v>
      </c>
      <c r="N17" s="315">
        <f t="shared" si="5"/>
        <v>5.8692016172466211E-3</v>
      </c>
      <c r="O17" s="315">
        <f t="shared" si="5"/>
        <v>2.0239678093515793E-2</v>
      </c>
      <c r="P17" s="315">
        <f t="shared" si="5"/>
        <v>0.1952451857343333</v>
      </c>
      <c r="Q17" s="316">
        <f t="shared" si="5"/>
        <v>0.11616151554368877</v>
      </c>
    </row>
    <row r="18" spans="2:18" ht="15" customHeight="1" thickBot="1">
      <c r="C18" s="317">
        <f t="shared" ref="C18:Q18" si="6">C7/C$12</f>
        <v>1.7083133309125167E-2</v>
      </c>
      <c r="D18" s="318">
        <f t="shared" si="6"/>
        <v>0.19976430618133395</v>
      </c>
      <c r="E18" s="318">
        <f t="shared" si="6"/>
        <v>0.28344198378224922</v>
      </c>
      <c r="F18" s="318">
        <f t="shared" si="6"/>
        <v>0.37233221185303139</v>
      </c>
      <c r="G18" s="318">
        <f t="shared" si="6"/>
        <v>0.15859036992388778</v>
      </c>
      <c r="H18" s="318">
        <f t="shared" si="6"/>
        <v>3.5800018251700462E-2</v>
      </c>
      <c r="I18" s="318">
        <f t="shared" si="6"/>
        <v>7.2262937352992412E-2</v>
      </c>
      <c r="J18" s="318">
        <f t="shared" si="6"/>
        <v>0</v>
      </c>
      <c r="K18" s="318">
        <f t="shared" si="6"/>
        <v>0.96259005755150728</v>
      </c>
      <c r="L18" s="318">
        <f t="shared" si="6"/>
        <v>-3.8104915380415702E-2</v>
      </c>
      <c r="M18" s="318">
        <f t="shared" si="6"/>
        <v>0.47511433814557991</v>
      </c>
      <c r="N18" s="318">
        <f t="shared" si="6"/>
        <v>0.25265252091927703</v>
      </c>
      <c r="O18" s="318">
        <f t="shared" si="6"/>
        <v>0.23275629807543163</v>
      </c>
      <c r="P18" s="318">
        <f t="shared" si="6"/>
        <v>-0.3767045865974411</v>
      </c>
      <c r="Q18" s="319">
        <f t="shared" si="6"/>
        <v>0.39048808716432037</v>
      </c>
    </row>
    <row r="19" spans="2:18" ht="13" thickBot="1"/>
    <row r="20" spans="2:18" ht="15" customHeight="1" thickBot="1">
      <c r="B20" s="320" t="s">
        <v>859</v>
      </c>
      <c r="C20" s="297">
        <f t="shared" ref="C20:Q20" si="7">C$10*C14</f>
        <v>7.8521859654964249E-2</v>
      </c>
      <c r="D20" s="298">
        <f t="shared" si="7"/>
        <v>5.6565913229918545E-2</v>
      </c>
      <c r="E20" s="298">
        <f t="shared" si="7"/>
        <v>4.4961576277147142E-2</v>
      </c>
      <c r="F20" s="298">
        <f t="shared" si="7"/>
        <v>4.2909834739364966E-2</v>
      </c>
      <c r="G20" s="298">
        <f t="shared" si="7"/>
        <v>4.8548072425679933E-2</v>
      </c>
      <c r="H20" s="298">
        <f t="shared" si="7"/>
        <v>6.1061858314533819E-2</v>
      </c>
      <c r="I20" s="298">
        <f t="shared" si="7"/>
        <v>3.244458411767006E-2</v>
      </c>
      <c r="J20" s="298">
        <f t="shared" si="7"/>
        <v>6.8994113662959961E-2</v>
      </c>
      <c r="K20" s="298">
        <f t="shared" si="7"/>
        <v>1.1376802718580988E-3</v>
      </c>
      <c r="L20" s="298">
        <f t="shared" si="7"/>
        <v>4.2673616969394118E-2</v>
      </c>
      <c r="M20" s="298">
        <f t="shared" si="7"/>
        <v>3.4906359537226275E-2</v>
      </c>
      <c r="N20" s="298">
        <f t="shared" si="7"/>
        <v>4.6079293546345393E-2</v>
      </c>
      <c r="O20" s="298">
        <f t="shared" si="7"/>
        <v>3.8310819248440604E-2</v>
      </c>
      <c r="P20" s="298">
        <f t="shared" si="7"/>
        <v>4.4811979393936149E-2</v>
      </c>
      <c r="Q20" s="299">
        <f t="shared" si="7"/>
        <v>4.1826185682304347E-2</v>
      </c>
    </row>
    <row r="21" spans="2:18" ht="12.5">
      <c r="C21" s="300">
        <f t="shared" ref="C21:Q21" si="8">C$10*C15</f>
        <v>1.9554720354588363E-2</v>
      </c>
      <c r="D21" s="301">
        <f t="shared" si="8"/>
        <v>4.5099849737367491E-2</v>
      </c>
      <c r="E21" s="301">
        <f t="shared" si="8"/>
        <v>4.7327975028575942E-2</v>
      </c>
      <c r="F21" s="301">
        <f t="shared" si="8"/>
        <v>4.8944030249588162E-2</v>
      </c>
      <c r="G21" s="301">
        <f t="shared" si="8"/>
        <v>1.9419228970271974E-2</v>
      </c>
      <c r="H21" s="301">
        <f t="shared" si="8"/>
        <v>3.0674979359907879E-2</v>
      </c>
      <c r="I21" s="301">
        <f t="shared" si="8"/>
        <v>1.4747538235304574E-2</v>
      </c>
      <c r="J21" s="301">
        <f t="shared" si="8"/>
        <v>4.3462536432962579E-2</v>
      </c>
      <c r="K21" s="301">
        <f t="shared" si="8"/>
        <v>4.7883579245536568E-3</v>
      </c>
      <c r="L21" s="301">
        <f t="shared" si="8"/>
        <v>1.7817936197015813E-2</v>
      </c>
      <c r="M21" s="301">
        <f t="shared" si="8"/>
        <v>3.4906359537226275E-2</v>
      </c>
      <c r="N21" s="301">
        <f t="shared" si="8"/>
        <v>4.497453944549798E-2</v>
      </c>
      <c r="O21" s="301">
        <f t="shared" si="8"/>
        <v>9.5002570643033316E-3</v>
      </c>
      <c r="P21" s="301">
        <f t="shared" si="8"/>
        <v>2.477122995845266E-2</v>
      </c>
      <c r="Q21" s="302">
        <f t="shared" si="8"/>
        <v>1.2503516991953879E-2</v>
      </c>
    </row>
    <row r="22" spans="2:18" ht="12.5">
      <c r="C22" s="300">
        <f t="shared" ref="C22:Q22" si="9">C$10*C16</f>
        <v>4.1827828776545796E-3</v>
      </c>
      <c r="D22" s="301">
        <f t="shared" si="9"/>
        <v>4.9686275134387912E-2</v>
      </c>
      <c r="E22" s="301">
        <f t="shared" si="9"/>
        <v>5.0483173363814339E-2</v>
      </c>
      <c r="F22" s="301">
        <f t="shared" si="9"/>
        <v>3.7546105396944349E-2</v>
      </c>
      <c r="G22" s="301">
        <f t="shared" si="9"/>
        <v>2.3303074764326366E-2</v>
      </c>
      <c r="H22" s="301">
        <f t="shared" si="9"/>
        <v>2.0626815627751486E-2</v>
      </c>
      <c r="I22" s="301">
        <f t="shared" si="9"/>
        <v>1.9171799705895946E-2</v>
      </c>
      <c r="J22" s="301">
        <f t="shared" si="9"/>
        <v>2.1953329028197429E-3</v>
      </c>
      <c r="K22" s="301">
        <f t="shared" si="9"/>
        <v>6.6722867577378771E-3</v>
      </c>
      <c r="L22" s="301">
        <f t="shared" si="9"/>
        <v>1.1985551189809329E-2</v>
      </c>
      <c r="M22" s="301">
        <f t="shared" si="9"/>
        <v>3.8784843930251417E-2</v>
      </c>
      <c r="N22" s="301">
        <f t="shared" si="9"/>
        <v>2.5103276444904846E-2</v>
      </c>
      <c r="O22" s="301">
        <f t="shared" si="9"/>
        <v>4.1305465496971009E-3</v>
      </c>
      <c r="P22" s="301">
        <f t="shared" si="9"/>
        <v>2.1257719528529503E-2</v>
      </c>
      <c r="Q22" s="302">
        <f t="shared" si="9"/>
        <v>1.6287087145547486E-2</v>
      </c>
    </row>
    <row r="23" spans="2:18" ht="12.5">
      <c r="C23" s="300">
        <f t="shared" ref="C23:Q23" si="10">C$10*C17</f>
        <v>9.8173364724025505E-3</v>
      </c>
      <c r="D23" s="301">
        <f t="shared" si="10"/>
        <v>1.9874510053755165E-2</v>
      </c>
      <c r="E23" s="301">
        <f t="shared" si="10"/>
        <v>3.076318376857436E-2</v>
      </c>
      <c r="F23" s="301">
        <f t="shared" si="10"/>
        <v>4.0227970068154657E-2</v>
      </c>
      <c r="G23" s="301">
        <f t="shared" si="10"/>
        <v>1.9419228970271974E-2</v>
      </c>
      <c r="H23" s="301">
        <f t="shared" si="10"/>
        <v>7.2897707165826765E-4</v>
      </c>
      <c r="I23" s="301">
        <f t="shared" si="10"/>
        <v>4.4242614705913719E-3</v>
      </c>
      <c r="J23" s="301">
        <f t="shared" si="10"/>
        <v>-3.1449588130855197E-3</v>
      </c>
      <c r="K23" s="301">
        <f t="shared" si="10"/>
        <v>2.4665928026451042E-4</v>
      </c>
      <c r="L23" s="301">
        <f t="shared" si="10"/>
        <v>1.7808215555337136E-2</v>
      </c>
      <c r="M23" s="301">
        <f t="shared" si="10"/>
        <v>3.4906359537226275E-2</v>
      </c>
      <c r="N23" s="301">
        <f t="shared" si="10"/>
        <v>4.1922868694618722E-4</v>
      </c>
      <c r="O23" s="301">
        <f t="shared" si="10"/>
        <v>8.2610930993942005E-4</v>
      </c>
      <c r="P23" s="301">
        <f t="shared" si="10"/>
        <v>1.1953786881693875E-2</v>
      </c>
      <c r="Q23" s="302">
        <f t="shared" si="10"/>
        <v>5.9266079359024879E-3</v>
      </c>
    </row>
    <row r="24" spans="2:18" ht="13" thickBot="1">
      <c r="C24" s="303">
        <f t="shared" ref="C24:Q24" si="11">C$10*C18</f>
        <v>1.3945414946224626E-3</v>
      </c>
      <c r="D24" s="304">
        <f t="shared" si="11"/>
        <v>1.834570158808169E-2</v>
      </c>
      <c r="E24" s="304">
        <f t="shared" si="11"/>
        <v>2.6030386265716767E-2</v>
      </c>
      <c r="F24" s="304">
        <f t="shared" si="11"/>
        <v>3.4193774557931454E-2</v>
      </c>
      <c r="G24" s="304">
        <f t="shared" si="11"/>
        <v>9.709614485135987E-3</v>
      </c>
      <c r="H24" s="304">
        <f t="shared" si="11"/>
        <v>2.557144160835747E-3</v>
      </c>
      <c r="I24" s="304">
        <f t="shared" si="11"/>
        <v>2.9495076470609145E-3</v>
      </c>
      <c r="J24" s="304">
        <f t="shared" si="11"/>
        <v>0</v>
      </c>
      <c r="K24" s="304">
        <f t="shared" si="11"/>
        <v>2.9467042578107366E-2</v>
      </c>
      <c r="L24" s="304">
        <f t="shared" si="11"/>
        <v>-1.944128335735495E-3</v>
      </c>
      <c r="M24" s="304">
        <f t="shared" si="11"/>
        <v>3.8784843930251417E-2</v>
      </c>
      <c r="N24" s="304">
        <f t="shared" si="11"/>
        <v>1.8046608637091215E-2</v>
      </c>
      <c r="O24" s="304">
        <f t="shared" si="11"/>
        <v>9.5002570643033316E-3</v>
      </c>
      <c r="P24" s="304">
        <f t="shared" si="11"/>
        <v>-2.3063546118210678E-2</v>
      </c>
      <c r="Q24" s="305">
        <f t="shared" si="11"/>
        <v>1.9922861590016345E-2</v>
      </c>
    </row>
    <row r="26" spans="2:18" ht="13" thickBot="1">
      <c r="R26" s="307" t="s">
        <v>860</v>
      </c>
    </row>
    <row r="27" spans="2:18" ht="13.5" thickBot="1">
      <c r="B27" s="293" t="s">
        <v>861</v>
      </c>
      <c r="C27" s="311">
        <f t="shared" ref="C27:C31" si="12">C20-MAX($C$20:$C$24)</f>
        <v>0</v>
      </c>
      <c r="D27" s="312">
        <f t="shared" ref="D27:M27" si="13">D20-MIN(D$20:D$24)</f>
        <v>3.8220211641836851E-2</v>
      </c>
      <c r="E27" s="312">
        <f t="shared" si="13"/>
        <v>1.8931190011430375E-2</v>
      </c>
      <c r="F27" s="312">
        <f t="shared" si="13"/>
        <v>8.7160601814335117E-3</v>
      </c>
      <c r="G27" s="312">
        <f t="shared" si="13"/>
        <v>3.8838457940543948E-2</v>
      </c>
      <c r="H27" s="312">
        <f t="shared" si="13"/>
        <v>6.0332881242875551E-2</v>
      </c>
      <c r="I27" s="312">
        <f t="shared" si="13"/>
        <v>2.9495076470609144E-2</v>
      </c>
      <c r="J27" s="312">
        <f t="shared" si="13"/>
        <v>7.2139072476045479E-2</v>
      </c>
      <c r="K27" s="312">
        <f t="shared" si="13"/>
        <v>8.9102099159358845E-4</v>
      </c>
      <c r="L27" s="312">
        <f t="shared" si="13"/>
        <v>4.4617745305129616E-2</v>
      </c>
      <c r="M27" s="312">
        <f t="shared" si="13"/>
        <v>0</v>
      </c>
      <c r="N27" s="312">
        <f t="shared" ref="N27:O27" si="14">N20-MAX(N$20:N$24)</f>
        <v>0</v>
      </c>
      <c r="O27" s="312">
        <f t="shared" si="14"/>
        <v>0</v>
      </c>
      <c r="P27" s="312">
        <f t="shared" ref="P27:Q27" si="15">P20-MIN(P$20:P$24)</f>
        <v>6.7875525512146831E-2</v>
      </c>
      <c r="Q27" s="313">
        <f t="shared" si="15"/>
        <v>3.5899577746401859E-2</v>
      </c>
      <c r="R27" s="308">
        <f t="shared" ref="R27:R31" si="16">SQRT(SUMSQ(C27:Q27))</f>
        <v>0.1449311411902236</v>
      </c>
    </row>
    <row r="28" spans="2:18" ht="12.5">
      <c r="C28" s="314">
        <f t="shared" si="12"/>
        <v>-5.8967139300375886E-2</v>
      </c>
      <c r="D28" s="315">
        <f t="shared" ref="D28:M28" si="17">D21-MIN(D$20:D$24)</f>
        <v>2.6754148149285801E-2</v>
      </c>
      <c r="E28" s="315">
        <f t="shared" si="17"/>
        <v>2.1297588762859174E-2</v>
      </c>
      <c r="F28" s="315">
        <f t="shared" si="17"/>
        <v>1.4750255691656708E-2</v>
      </c>
      <c r="G28" s="315">
        <f t="shared" si="17"/>
        <v>9.709614485135987E-3</v>
      </c>
      <c r="H28" s="315">
        <f t="shared" si="17"/>
        <v>2.9946002288249611E-2</v>
      </c>
      <c r="I28" s="315">
        <f t="shared" si="17"/>
        <v>1.179803058824366E-2</v>
      </c>
      <c r="J28" s="315">
        <f t="shared" si="17"/>
        <v>4.6607495246048097E-2</v>
      </c>
      <c r="K28" s="315">
        <f t="shared" si="17"/>
        <v>4.5416986442891466E-3</v>
      </c>
      <c r="L28" s="315">
        <f t="shared" si="17"/>
        <v>1.9762064532751308E-2</v>
      </c>
      <c r="M28" s="315">
        <f t="shared" si="17"/>
        <v>0</v>
      </c>
      <c r="N28" s="315">
        <f t="shared" ref="N28:O28" si="18">N21-MAX(N$20:N$24)</f>
        <v>-1.1047541008474132E-3</v>
      </c>
      <c r="O28" s="315">
        <f t="shared" si="18"/>
        <v>-2.8810562184137273E-2</v>
      </c>
      <c r="P28" s="315">
        <f t="shared" ref="P28:Q28" si="19">P21-MIN(P$20:P$24)</f>
        <v>4.7834776076663338E-2</v>
      </c>
      <c r="Q28" s="316">
        <f t="shared" si="19"/>
        <v>6.5769090560513915E-3</v>
      </c>
      <c r="R28" s="309">
        <f t="shared" si="16"/>
        <v>0.10835319020274375</v>
      </c>
    </row>
    <row r="29" spans="2:18" ht="12.5">
      <c r="C29" s="314">
        <f t="shared" si="12"/>
        <v>-7.4339076777309665E-2</v>
      </c>
      <c r="D29" s="315">
        <f t="shared" ref="D29:M29" si="20">D22-MIN(D$20:D$24)</f>
        <v>3.1340573546306219E-2</v>
      </c>
      <c r="E29" s="315">
        <f t="shared" si="20"/>
        <v>2.4452787098097572E-2</v>
      </c>
      <c r="F29" s="315">
        <f t="shared" si="20"/>
        <v>3.3523308390128945E-3</v>
      </c>
      <c r="G29" s="315">
        <f t="shared" si="20"/>
        <v>1.3593460279190379E-2</v>
      </c>
      <c r="H29" s="315">
        <f t="shared" si="20"/>
        <v>1.9897838556093218E-2</v>
      </c>
      <c r="I29" s="315">
        <f t="shared" si="20"/>
        <v>1.622229205883503E-2</v>
      </c>
      <c r="J29" s="315">
        <f t="shared" si="20"/>
        <v>5.3402917159052626E-3</v>
      </c>
      <c r="K29" s="315">
        <f t="shared" si="20"/>
        <v>6.425627477473367E-3</v>
      </c>
      <c r="L29" s="315">
        <f t="shared" si="20"/>
        <v>1.3929679525544823E-2</v>
      </c>
      <c r="M29" s="315">
        <f t="shared" si="20"/>
        <v>3.8784843930251417E-3</v>
      </c>
      <c r="N29" s="315">
        <f t="shared" ref="N29:O29" si="21">N22-MAX(N$20:N$24)</f>
        <v>-2.0976017101440547E-2</v>
      </c>
      <c r="O29" s="315">
        <f t="shared" si="21"/>
        <v>-3.4180272698743505E-2</v>
      </c>
      <c r="P29" s="315">
        <f t="shared" ref="P29:Q29" si="22">P22-MIN(P$20:P$24)</f>
        <v>4.4321265646740181E-2</v>
      </c>
      <c r="Q29" s="316">
        <f t="shared" si="22"/>
        <v>1.0360479209644998E-2</v>
      </c>
      <c r="R29" s="309">
        <f t="shared" si="16"/>
        <v>0.10918085993701468</v>
      </c>
    </row>
    <row r="30" spans="2:18" ht="12.5">
      <c r="C30" s="314">
        <f t="shared" si="12"/>
        <v>-6.8704523182561705E-2</v>
      </c>
      <c r="D30" s="315">
        <f t="shared" ref="D30:M30" si="23">D23-MIN(D$20:D$24)</f>
        <v>1.528808465673475E-3</v>
      </c>
      <c r="E30" s="315">
        <f t="shared" si="23"/>
        <v>4.7327975028575928E-3</v>
      </c>
      <c r="F30" s="315">
        <f t="shared" si="23"/>
        <v>6.0341955102232031E-3</v>
      </c>
      <c r="G30" s="315">
        <f t="shared" si="23"/>
        <v>9.709614485135987E-3</v>
      </c>
      <c r="H30" s="315">
        <f t="shared" si="23"/>
        <v>0</v>
      </c>
      <c r="I30" s="315">
        <f t="shared" si="23"/>
        <v>1.4747538235304575E-3</v>
      </c>
      <c r="J30" s="315">
        <f t="shared" si="23"/>
        <v>0</v>
      </c>
      <c r="K30" s="315">
        <f t="shared" si="23"/>
        <v>0</v>
      </c>
      <c r="L30" s="315">
        <f t="shared" si="23"/>
        <v>1.9752343891072631E-2</v>
      </c>
      <c r="M30" s="315">
        <f t="shared" si="23"/>
        <v>0</v>
      </c>
      <c r="N30" s="315">
        <f t="shared" ref="N30:O30" si="24">N23-MAX(N$20:N$24)</f>
        <v>-4.5660064859399205E-2</v>
      </c>
      <c r="O30" s="315">
        <f t="shared" si="24"/>
        <v>-3.7484709938501184E-2</v>
      </c>
      <c r="P30" s="315">
        <f t="shared" ref="P30:Q30" si="25">P23-MIN(P$20:P$24)</f>
        <v>3.5017332999904553E-2</v>
      </c>
      <c r="Q30" s="316">
        <f t="shared" si="25"/>
        <v>0</v>
      </c>
      <c r="R30" s="309">
        <f t="shared" si="16"/>
        <v>9.9921093182430795E-2</v>
      </c>
    </row>
    <row r="31" spans="2:18" ht="13" thickBot="1">
      <c r="C31" s="317">
        <f t="shared" si="12"/>
        <v>-7.7127318160341782E-2</v>
      </c>
      <c r="D31" s="318">
        <f t="shared" ref="D31:M31" si="26">D24-MIN(D$20:D$24)</f>
        <v>0</v>
      </c>
      <c r="E31" s="318">
        <f t="shared" si="26"/>
        <v>0</v>
      </c>
      <c r="F31" s="318">
        <f t="shared" si="26"/>
        <v>0</v>
      </c>
      <c r="G31" s="318">
        <f t="shared" si="26"/>
        <v>0</v>
      </c>
      <c r="H31" s="318">
        <f t="shared" si="26"/>
        <v>1.8281670891774793E-3</v>
      </c>
      <c r="I31" s="318">
        <f t="shared" si="26"/>
        <v>0</v>
      </c>
      <c r="J31" s="318">
        <f t="shared" si="26"/>
        <v>3.1449588130855197E-3</v>
      </c>
      <c r="K31" s="318">
        <f t="shared" si="26"/>
        <v>2.9220383297842857E-2</v>
      </c>
      <c r="L31" s="318">
        <f t="shared" si="26"/>
        <v>0</v>
      </c>
      <c r="M31" s="318">
        <f t="shared" si="26"/>
        <v>3.8784843930251417E-3</v>
      </c>
      <c r="N31" s="318">
        <f t="shared" ref="N31:O31" si="27">N24-MAX(N$20:N$24)</f>
        <v>-2.8032684909254178E-2</v>
      </c>
      <c r="O31" s="318">
        <f t="shared" si="27"/>
        <v>-2.8810562184137273E-2</v>
      </c>
      <c r="P31" s="318">
        <f t="shared" ref="P31:Q31" si="28">P24-MIN(P$20:P$24)</f>
        <v>0</v>
      </c>
      <c r="Q31" s="319">
        <f t="shared" si="28"/>
        <v>1.3996253654113857E-2</v>
      </c>
      <c r="R31" s="310">
        <f t="shared" si="16"/>
        <v>9.2965072159635301E-2</v>
      </c>
    </row>
    <row r="33" spans="2:18" ht="13" thickBot="1">
      <c r="R33" s="307" t="s">
        <v>862</v>
      </c>
    </row>
    <row r="34" spans="2:18" ht="13.5" thickBot="1">
      <c r="B34" s="306" t="s">
        <v>863</v>
      </c>
      <c r="C34" s="335">
        <f t="shared" ref="C34:C38" si="29">C20-MIN(C$20:C$24)</f>
        <v>7.7127318160341782E-2</v>
      </c>
      <c r="D34" s="336">
        <f t="shared" ref="D34:M34" si="30">D20-MAX(D$20:D$24)</f>
        <v>0</v>
      </c>
      <c r="E34" s="336">
        <f t="shared" si="30"/>
        <v>-5.5215970866671973E-3</v>
      </c>
      <c r="F34" s="336">
        <f t="shared" si="30"/>
        <v>-6.0341955102231962E-3</v>
      </c>
      <c r="G34" s="336">
        <f t="shared" si="30"/>
        <v>0</v>
      </c>
      <c r="H34" s="336">
        <f t="shared" si="30"/>
        <v>0</v>
      </c>
      <c r="I34" s="336">
        <f t="shared" si="30"/>
        <v>0</v>
      </c>
      <c r="J34" s="336">
        <f t="shared" si="30"/>
        <v>0</v>
      </c>
      <c r="K34" s="336">
        <f t="shared" si="30"/>
        <v>-2.8329362306249266E-2</v>
      </c>
      <c r="L34" s="336">
        <f t="shared" si="30"/>
        <v>0</v>
      </c>
      <c r="M34" s="336">
        <f t="shared" si="30"/>
        <v>-3.8784843930251417E-3</v>
      </c>
      <c r="N34" s="336">
        <f t="shared" ref="N34:O34" si="31">N20-MIN(N$20:N$24)</f>
        <v>4.5660064859399205E-2</v>
      </c>
      <c r="O34" s="336">
        <f t="shared" si="31"/>
        <v>3.7484709938501184E-2</v>
      </c>
      <c r="P34" s="336">
        <f t="shared" ref="P34:Q34" si="32">P20-MAX(P$20:P$24)</f>
        <v>0</v>
      </c>
      <c r="Q34" s="337">
        <f t="shared" si="32"/>
        <v>0</v>
      </c>
      <c r="R34" s="308">
        <f t="shared" ref="R34:R38" si="33">SQRT(SUMSQ(C34:Q34))</f>
        <v>0.1016024761925292</v>
      </c>
    </row>
    <row r="35" spans="2:18" ht="12.5">
      <c r="C35" s="338">
        <f t="shared" si="29"/>
        <v>1.81601788599659E-2</v>
      </c>
      <c r="D35" s="339">
        <f t="shared" ref="D35:M35" si="34">D21-MAX(D$20:D$24)</f>
        <v>-1.1466063492551054E-2</v>
      </c>
      <c r="E35" s="339">
        <f t="shared" si="34"/>
        <v>-3.1551983352383975E-3</v>
      </c>
      <c r="F35" s="339">
        <f t="shared" si="34"/>
        <v>0</v>
      </c>
      <c r="G35" s="339">
        <f t="shared" si="34"/>
        <v>-2.9128843455407959E-2</v>
      </c>
      <c r="H35" s="339">
        <f t="shared" si="34"/>
        <v>-3.038687895462594E-2</v>
      </c>
      <c r="I35" s="339">
        <f t="shared" si="34"/>
        <v>-1.7697045882365488E-2</v>
      </c>
      <c r="J35" s="339">
        <f t="shared" si="34"/>
        <v>-2.5531577229997382E-2</v>
      </c>
      <c r="K35" s="339">
        <f t="shared" si="34"/>
        <v>-2.467868465355371E-2</v>
      </c>
      <c r="L35" s="339">
        <f t="shared" si="34"/>
        <v>-2.4855680772378305E-2</v>
      </c>
      <c r="M35" s="339">
        <f t="shared" si="34"/>
        <v>-3.8784843930251417E-3</v>
      </c>
      <c r="N35" s="339">
        <f t="shared" ref="N35:O35" si="35">N21-MIN(N$20:N$24)</f>
        <v>4.4555310758551792E-2</v>
      </c>
      <c r="O35" s="339">
        <f t="shared" si="35"/>
        <v>8.6741477543639117E-3</v>
      </c>
      <c r="P35" s="339">
        <f t="shared" ref="P35:Q35" si="36">P21-MAX(P$20:P$24)</f>
        <v>-2.004074943548349E-2</v>
      </c>
      <c r="Q35" s="340">
        <f t="shared" si="36"/>
        <v>-2.9322668690350467E-2</v>
      </c>
      <c r="R35" s="309">
        <f t="shared" si="33"/>
        <v>8.8158203613917241E-2</v>
      </c>
    </row>
    <row r="36" spans="2:18" ht="12.5">
      <c r="C36" s="338">
        <f t="shared" si="29"/>
        <v>2.7882413830321168E-3</v>
      </c>
      <c r="D36" s="339">
        <f t="shared" ref="D36:M36" si="37">D22-MAX(D$20:D$24)</f>
        <v>-6.8796380955306324E-3</v>
      </c>
      <c r="E36" s="339">
        <f t="shared" si="37"/>
        <v>0</v>
      </c>
      <c r="F36" s="339">
        <f t="shared" si="37"/>
        <v>-1.1397924852643813E-2</v>
      </c>
      <c r="G36" s="339">
        <f t="shared" si="37"/>
        <v>-2.5244997661353567E-2</v>
      </c>
      <c r="H36" s="339">
        <f t="shared" si="37"/>
        <v>-4.043504268678233E-2</v>
      </c>
      <c r="I36" s="339">
        <f t="shared" si="37"/>
        <v>-1.3272784411774114E-2</v>
      </c>
      <c r="J36" s="339">
        <f t="shared" si="37"/>
        <v>-6.6798780760140217E-2</v>
      </c>
      <c r="K36" s="339">
        <f t="shared" si="37"/>
        <v>-2.2794755820369487E-2</v>
      </c>
      <c r="L36" s="339">
        <f t="shared" si="37"/>
        <v>-3.068806577958479E-2</v>
      </c>
      <c r="M36" s="339">
        <f t="shared" si="37"/>
        <v>0</v>
      </c>
      <c r="N36" s="339">
        <f t="shared" ref="N36:O36" si="38">N22-MIN(N$20:N$24)</f>
        <v>2.4684047757958658E-2</v>
      </c>
      <c r="O36" s="339">
        <f t="shared" si="38"/>
        <v>3.3044372397576811E-3</v>
      </c>
      <c r="P36" s="339">
        <f t="shared" ref="P36:Q36" si="39">P22-MAX(P$20:P$24)</f>
        <v>-2.3554259865406647E-2</v>
      </c>
      <c r="Q36" s="340">
        <f t="shared" si="39"/>
        <v>-2.5539098536756861E-2</v>
      </c>
      <c r="R36" s="309">
        <f t="shared" si="33"/>
        <v>0.10190285279439809</v>
      </c>
    </row>
    <row r="37" spans="2:18" ht="12.5">
      <c r="C37" s="338">
        <f t="shared" si="29"/>
        <v>8.4227949777800886E-3</v>
      </c>
      <c r="D37" s="339">
        <f t="shared" ref="D37:M37" si="40">D23-MAX(D$20:D$24)</f>
        <v>-3.669140317616338E-2</v>
      </c>
      <c r="E37" s="339">
        <f t="shared" si="40"/>
        <v>-1.9719989595239979E-2</v>
      </c>
      <c r="F37" s="339">
        <f t="shared" si="40"/>
        <v>-8.7160601814335048E-3</v>
      </c>
      <c r="G37" s="339">
        <f t="shared" si="40"/>
        <v>-2.9128843455407959E-2</v>
      </c>
      <c r="H37" s="339">
        <f t="shared" si="40"/>
        <v>-6.0332881242875551E-2</v>
      </c>
      <c r="I37" s="339">
        <f t="shared" si="40"/>
        <v>-2.802032264707869E-2</v>
      </c>
      <c r="J37" s="339">
        <f t="shared" si="40"/>
        <v>-7.2139072476045479E-2</v>
      </c>
      <c r="K37" s="339">
        <f t="shared" si="40"/>
        <v>-2.9220383297842857E-2</v>
      </c>
      <c r="L37" s="339">
        <f t="shared" si="40"/>
        <v>-2.4865401414056982E-2</v>
      </c>
      <c r="M37" s="339">
        <f t="shared" si="40"/>
        <v>-3.8784843930251417E-3</v>
      </c>
      <c r="N37" s="339">
        <f t="shared" ref="N37:O37" si="41">N23-MIN(N$20:N$24)</f>
        <v>0</v>
      </c>
      <c r="O37" s="339">
        <f t="shared" si="41"/>
        <v>0</v>
      </c>
      <c r="P37" s="339">
        <f t="shared" ref="P37:Q37" si="42">P23-MAX(P$20:P$24)</f>
        <v>-3.2858192512242271E-2</v>
      </c>
      <c r="Q37" s="340">
        <f t="shared" si="42"/>
        <v>-3.5899577746401859E-2</v>
      </c>
      <c r="R37" s="309">
        <f t="shared" si="33"/>
        <v>0.12733963523721459</v>
      </c>
    </row>
    <row r="38" spans="2:18" ht="13" thickBot="1">
      <c r="C38" s="341">
        <f t="shared" si="29"/>
        <v>0</v>
      </c>
      <c r="D38" s="342">
        <f t="shared" ref="D38:M38" si="43">D24-MAX(D$20:D$24)</f>
        <v>-3.8220211641836851E-2</v>
      </c>
      <c r="E38" s="342">
        <f t="shared" si="43"/>
        <v>-2.4452787098097572E-2</v>
      </c>
      <c r="F38" s="342">
        <f t="shared" si="43"/>
        <v>-1.4750255691656708E-2</v>
      </c>
      <c r="G38" s="342">
        <f t="shared" si="43"/>
        <v>-3.8838457940543948E-2</v>
      </c>
      <c r="H38" s="342">
        <f t="shared" si="43"/>
        <v>-5.8504714153698074E-2</v>
      </c>
      <c r="I38" s="342">
        <f t="shared" si="43"/>
        <v>-2.9495076470609144E-2</v>
      </c>
      <c r="J38" s="342">
        <f t="shared" si="43"/>
        <v>-6.8994113662959961E-2</v>
      </c>
      <c r="K38" s="342">
        <f t="shared" si="43"/>
        <v>0</v>
      </c>
      <c r="L38" s="342">
        <f t="shared" si="43"/>
        <v>-4.4617745305129616E-2</v>
      </c>
      <c r="M38" s="342">
        <f t="shared" si="43"/>
        <v>0</v>
      </c>
      <c r="N38" s="342">
        <f t="shared" ref="N38:O38" si="44">N24-MIN(N$20:N$24)</f>
        <v>1.7627379950145027E-2</v>
      </c>
      <c r="O38" s="342">
        <f t="shared" si="44"/>
        <v>8.6741477543639117E-3</v>
      </c>
      <c r="P38" s="342">
        <f t="shared" ref="P38:Q38" si="45">P24-MAX(P$20:P$24)</f>
        <v>-6.7875525512146831E-2</v>
      </c>
      <c r="Q38" s="343">
        <f t="shared" si="45"/>
        <v>-2.1903324092288002E-2</v>
      </c>
      <c r="R38" s="310">
        <f t="shared" si="33"/>
        <v>0.14248234696430787</v>
      </c>
    </row>
    <row r="40" spans="2:18" ht="13" thickBot="1"/>
    <row r="41" spans="2:18" ht="13.5" thickBot="1">
      <c r="E41" s="344"/>
      <c r="F41" s="345" t="s">
        <v>889</v>
      </c>
    </row>
    <row r="42" spans="2:18" ht="13">
      <c r="B42" s="326" t="s">
        <v>888</v>
      </c>
      <c r="C42" s="321" t="s">
        <v>854</v>
      </c>
      <c r="D42" s="329" t="s">
        <v>864</v>
      </c>
      <c r="E42" s="331">
        <v>1</v>
      </c>
      <c r="F42" s="332" t="str">
        <f>VLOOKUP(E42,B43:D47,2,0)</f>
        <v>Adani Green Energy Limited</v>
      </c>
    </row>
    <row r="43" spans="2:18" ht="12.5">
      <c r="B43" s="322">
        <f>_xlfn.RANK.AVG(D43,$D$43:$D$47)</f>
        <v>1</v>
      </c>
      <c r="C43" s="327" t="s">
        <v>143</v>
      </c>
      <c r="D43" s="330">
        <f t="shared" ref="D43:D47" si="46">R27/(R27+R34)</f>
        <v>0.58787577422032666</v>
      </c>
      <c r="E43" s="331">
        <v>2</v>
      </c>
      <c r="F43" s="332" t="str">
        <f>VLOOKUP(E43,B43:D47,2,0)</f>
        <v>The Tata Power Company Limited</v>
      </c>
    </row>
    <row r="44" spans="2:18" ht="13" thickBot="1">
      <c r="B44" s="322">
        <f t="shared" ref="B44:B47" si="47">_xlfn.RANK.AVG(D44,$D$43:$D$47)</f>
        <v>2</v>
      </c>
      <c r="C44" s="327" t="s">
        <v>145</v>
      </c>
      <c r="D44" s="330">
        <f t="shared" si="46"/>
        <v>0.5513837548973568</v>
      </c>
      <c r="E44" s="333">
        <v>3</v>
      </c>
      <c r="F44" s="334" t="str">
        <f>VLOOKUP(E44,B43:D47,2,0)</f>
        <v>NHPC Limited</v>
      </c>
    </row>
    <row r="45" spans="2:18" ht="12.5">
      <c r="B45" s="322">
        <f t="shared" si="47"/>
        <v>3</v>
      </c>
      <c r="C45" s="327" t="s">
        <v>146</v>
      </c>
      <c r="D45" s="324">
        <f t="shared" si="46"/>
        <v>0.51723962272702029</v>
      </c>
    </row>
    <row r="46" spans="2:18" ht="12.5">
      <c r="B46" s="322">
        <f t="shared" si="47"/>
        <v>4</v>
      </c>
      <c r="C46" s="327" t="s">
        <v>147</v>
      </c>
      <c r="D46" s="324">
        <f t="shared" si="46"/>
        <v>0.43967602267789435</v>
      </c>
    </row>
    <row r="47" spans="2:18" ht="13" thickBot="1">
      <c r="B47" s="323">
        <f t="shared" si="47"/>
        <v>5</v>
      </c>
      <c r="C47" s="328" t="s">
        <v>148</v>
      </c>
      <c r="D47" s="325">
        <f t="shared" si="46"/>
        <v>0.39484430326542269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outlinePr summaryBelow="0" summaryRight="0"/>
  </sheetPr>
  <dimension ref="B1:R47"/>
  <sheetViews>
    <sheetView showGridLines="0" zoomScale="50" zoomScaleNormal="50" workbookViewId="0">
      <selection activeCell="G44" sqref="G44"/>
    </sheetView>
  </sheetViews>
  <sheetFormatPr defaultColWidth="12.54296875" defaultRowHeight="15.75" customHeight="1"/>
  <cols>
    <col min="1" max="1" width="1.54296875" customWidth="1"/>
    <col min="2" max="2" width="26.453125" bestFit="1" customWidth="1"/>
    <col min="3" max="3" width="24.1796875" bestFit="1" customWidth="1"/>
    <col min="4" max="4" width="18.26953125" bestFit="1" customWidth="1"/>
    <col min="5" max="5" width="10.7265625" bestFit="1" customWidth="1"/>
    <col min="6" max="6" width="28.7265625" bestFit="1" customWidth="1"/>
    <col min="7" max="7" width="30.7265625" bestFit="1" customWidth="1"/>
    <col min="8" max="8" width="13.81640625" bestFit="1" customWidth="1"/>
    <col min="9" max="9" width="12.26953125" bestFit="1" customWidth="1"/>
    <col min="10" max="10" width="10.7265625" bestFit="1" customWidth="1"/>
    <col min="11" max="11" width="14.81640625" bestFit="1" customWidth="1"/>
    <col min="12" max="12" width="15.26953125" bestFit="1" customWidth="1"/>
    <col min="13" max="13" width="11.81640625" bestFit="1" customWidth="1"/>
    <col min="14" max="14" width="15.81640625" bestFit="1" customWidth="1"/>
    <col min="15" max="15" width="18" bestFit="1" customWidth="1"/>
    <col min="16" max="17" width="15" bestFit="1" customWidth="1"/>
    <col min="18" max="18" width="18" bestFit="1" customWidth="1"/>
  </cols>
  <sheetData>
    <row r="1" spans="2:17" ht="15" thickBot="1">
      <c r="B1" s="273"/>
      <c r="C1" s="274" t="s">
        <v>852</v>
      </c>
      <c r="D1" s="274" t="s">
        <v>853</v>
      </c>
      <c r="E1" s="274" t="s">
        <v>853</v>
      </c>
      <c r="F1" s="274" t="s">
        <v>853</v>
      </c>
      <c r="G1" s="274" t="s">
        <v>853</v>
      </c>
      <c r="H1" s="274" t="s">
        <v>853</v>
      </c>
      <c r="I1" s="274" t="s">
        <v>853</v>
      </c>
      <c r="J1" s="274" t="s">
        <v>853</v>
      </c>
      <c r="K1" s="274" t="s">
        <v>853</v>
      </c>
      <c r="L1" s="274" t="s">
        <v>853</v>
      </c>
      <c r="M1" s="274" t="s">
        <v>853</v>
      </c>
      <c r="N1" s="274" t="s">
        <v>852</v>
      </c>
      <c r="O1" s="274" t="s">
        <v>852</v>
      </c>
      <c r="P1" s="274" t="s">
        <v>853</v>
      </c>
      <c r="Q1" s="274" t="s">
        <v>853</v>
      </c>
    </row>
    <row r="2" spans="2:17" ht="15" customHeight="1">
      <c r="B2" s="278" t="s">
        <v>106</v>
      </c>
      <c r="C2" s="279" t="s">
        <v>108</v>
      </c>
      <c r="D2" s="279" t="s">
        <v>109</v>
      </c>
      <c r="E2" s="279" t="s">
        <v>110</v>
      </c>
      <c r="F2" s="279" t="s">
        <v>111</v>
      </c>
      <c r="G2" s="279" t="s">
        <v>112</v>
      </c>
      <c r="H2" s="279" t="s">
        <v>113</v>
      </c>
      <c r="I2" s="279" t="s">
        <v>114</v>
      </c>
      <c r="J2" s="279" t="s">
        <v>115</v>
      </c>
      <c r="K2" s="279" t="s">
        <v>116</v>
      </c>
      <c r="L2" s="279" t="s">
        <v>117</v>
      </c>
      <c r="M2" s="279" t="s">
        <v>118</v>
      </c>
      <c r="N2" s="279" t="s">
        <v>119</v>
      </c>
      <c r="O2" s="279" t="s">
        <v>120</v>
      </c>
      <c r="P2" s="279" t="s">
        <v>121</v>
      </c>
      <c r="Q2" s="280" t="s">
        <v>122</v>
      </c>
    </row>
    <row r="3" spans="2:17" ht="14">
      <c r="B3" s="281" t="s">
        <v>149</v>
      </c>
      <c r="C3" s="275">
        <f>INDEX('Company data'!$C$5:$V$64,MATCH($B3,'Company data'!$B$5:$B$64,0),MATCH(C$2,'Company data'!$C$4:$V$4,0))</f>
        <v>23883</v>
      </c>
      <c r="D3" s="275">
        <f>INDEX('Company data'!$C$5:$V$64,MATCH($B3,'Company data'!$B$5:$B$64,0),MATCH(D$2,'Company data'!$C$4:$V$4,0))</f>
        <v>54</v>
      </c>
      <c r="E3" s="275">
        <f>INDEX('Company data'!$C$5:$V$64,MATCH($B3,'Company data'!$B$5:$B$64,0),MATCH(E$2,'Company data'!$C$4:$V$4,0))</f>
        <v>58</v>
      </c>
      <c r="F3" s="275">
        <f>INDEX('Company data'!$C$5:$V$64,MATCH($B3,'Company data'!$B$5:$B$64,0),MATCH(F$2,'Company data'!$C$4:$V$4,0))</f>
        <v>69</v>
      </c>
      <c r="G3" s="276">
        <f>INDEX('Company data'!$C$5:$V$64,MATCH($B3,'Company data'!$B$5:$B$64,0),MATCH(G$2,'Company data'!$C$4:$V$4,0))</f>
        <v>0.15</v>
      </c>
      <c r="H3" s="275">
        <f>INDEX('Company data'!$C$5:$V$64,MATCH($B3,'Company data'!$B$5:$B$64,0),MATCH(H$2,'Company data'!$C$4:$V$4,0))</f>
        <v>86171.63</v>
      </c>
      <c r="I3" s="276">
        <f>INDEX('Company data'!$C$5:$V$64,MATCH($B3,'Company data'!$B$5:$B$64,0),MATCH(I$2,'Company data'!$C$4:$V$4,0))</f>
        <v>0.14000000000000001</v>
      </c>
      <c r="J3" s="277">
        <f>INDEX('Company data'!$C$5:$V$64,MATCH($B3,'Company data'!$B$5:$B$64,0),MATCH(J$2,'Company data'!$C$4:$V$4,0))</f>
        <v>-5.6099999999999997E-2</v>
      </c>
      <c r="K3" s="275">
        <f>INDEX('Company data'!$C$5:$V$64,MATCH($B3,'Company data'!$B$5:$B$64,0),MATCH(K$2,'Company data'!$C$4:$V$4,0))</f>
        <v>58684</v>
      </c>
      <c r="L3" s="277">
        <f>INDEX('Company data'!$C$5:$V$64,MATCH($B3,'Company data'!$B$5:$B$64,0),MATCH(L$2,'Company data'!$C$4:$V$4,0))</f>
        <v>0.17100000000000001</v>
      </c>
      <c r="M3" s="275">
        <f>INDEX('Company data'!$C$5:$V$64,MATCH($B3,'Company data'!$B$5:$B$64,0),MATCH(M$2,'Company data'!$C$4:$V$4,0))</f>
        <v>20</v>
      </c>
      <c r="N3" s="275">
        <f>INDEX('Company data'!$C$5:$V$64,MATCH($B3,'Company data'!$B$5:$B$64,0),MATCH(N$2,'Company data'!$C$4:$V$4,0))</f>
        <v>2811.13</v>
      </c>
      <c r="O3" s="275">
        <f>INDEX('Company data'!$C$5:$V$64,MATCH($B3,'Company data'!$B$5:$B$64,0),MATCH(O$2,'Company data'!$C$4:$V$4,0))</f>
        <v>0.15</v>
      </c>
      <c r="P3" s="277">
        <f>INDEX('Company data'!$C$5:$V$64,MATCH($B3,'Company data'!$B$5:$B$64,0),MATCH(P$2,'Company data'!$C$4:$V$4,0))</f>
        <v>7.45</v>
      </c>
      <c r="Q3" s="282">
        <f>INDEX('Company data'!$C$5:$V$64,MATCH($B3,'Company data'!$B$5:$B$64,0),MATCH(Q$2,'Company data'!$C$4:$V$4,0))</f>
        <v>24.21</v>
      </c>
    </row>
    <row r="4" spans="2:17" ht="14">
      <c r="B4" s="281" t="s">
        <v>150</v>
      </c>
      <c r="C4" s="275">
        <f>INDEX('Company data'!$C$5:$V$64,MATCH($B4,'Company data'!$B$5:$B$64,0),MATCH(C$2,'Company data'!$C$4:$V$4,0))</f>
        <v>445.7</v>
      </c>
      <c r="D4" s="275">
        <f>INDEX('Company data'!$C$5:$V$64,MATCH($B4,'Company data'!$B$5:$B$64,0),MATCH(D$2,'Company data'!$C$4:$V$4,0))</f>
        <v>50</v>
      </c>
      <c r="E4" s="275">
        <f>INDEX('Company data'!$C$5:$V$64,MATCH($B4,'Company data'!$B$5:$B$64,0),MATCH(E$2,'Company data'!$C$4:$V$4,0))</f>
        <v>58</v>
      </c>
      <c r="F4" s="275">
        <f>INDEX('Company data'!$C$5:$V$64,MATCH($B4,'Company data'!$B$5:$B$64,0),MATCH(F$2,'Company data'!$C$4:$V$4,0))</f>
        <v>69</v>
      </c>
      <c r="G4" s="276">
        <f>INDEX('Company data'!$C$5:$V$64,MATCH($B4,'Company data'!$B$5:$B$64,0),MATCH(G$2,'Company data'!$C$4:$V$4,0))</f>
        <v>0.12</v>
      </c>
      <c r="H4" s="275">
        <f>INDEX('Company data'!$C$5:$V$64,MATCH($B4,'Company data'!$B$5:$B$64,0),MATCH(H$2,'Company data'!$C$4:$V$4,0))</f>
        <v>88500.23</v>
      </c>
      <c r="I4" s="276">
        <f>INDEX('Company data'!$C$5:$V$64,MATCH($B4,'Company data'!$B$5:$B$64,0),MATCH(I$2,'Company data'!$C$4:$V$4,0))</f>
        <v>0.08</v>
      </c>
      <c r="J4" s="277">
        <f>INDEX('Company data'!$C$5:$V$64,MATCH($B4,'Company data'!$B$5:$B$64,0),MATCH(J$2,'Company data'!$C$4:$V$4,0))</f>
        <v>0.1017</v>
      </c>
      <c r="K4" s="275">
        <f>INDEX('Company data'!$C$5:$V$64,MATCH($B4,'Company data'!$B$5:$B$64,0),MATCH(K$2,'Company data'!$C$4:$V$4,0))</f>
        <v>11355078</v>
      </c>
      <c r="L4" s="277">
        <f>INDEX('Company data'!$C$5:$V$64,MATCH($B4,'Company data'!$B$5:$B$64,0),MATCH(L$2,'Company data'!$C$4:$V$4,0))</f>
        <v>5.04E-2</v>
      </c>
      <c r="M4" s="275">
        <f>INDEX('Company data'!$C$5:$V$64,MATCH($B4,'Company data'!$B$5:$B$64,0),MATCH(M$2,'Company data'!$C$4:$V$4,0))</f>
        <v>20</v>
      </c>
      <c r="N4" s="275">
        <f>INDEX('Company data'!$C$5:$V$64,MATCH($B4,'Company data'!$B$5:$B$64,0),MATCH(N$2,'Company data'!$C$4:$V$4,0))</f>
        <v>522.73</v>
      </c>
      <c r="O4" s="275">
        <f>INDEX('Company data'!$C$5:$V$64,MATCH($B4,'Company data'!$B$5:$B$64,0),MATCH(O$2,'Company data'!$C$4:$V$4,0))</f>
        <v>0.02</v>
      </c>
      <c r="P4" s="277">
        <f>INDEX('Company data'!$C$5:$V$64,MATCH($B4,'Company data'!$B$5:$B$64,0),MATCH(P$2,'Company data'!$C$4:$V$4,0))</f>
        <v>10.76</v>
      </c>
      <c r="Q4" s="282">
        <f>INDEX('Company data'!$C$5:$V$64,MATCH($B4,'Company data'!$B$5:$B$64,0),MATCH(Q$2,'Company data'!$C$4:$V$4,0))</f>
        <v>17.05</v>
      </c>
    </row>
    <row r="5" spans="2:17" ht="14">
      <c r="B5" s="281" t="s">
        <v>151</v>
      </c>
      <c r="C5" s="275">
        <f>INDEX('Company data'!$C$5:$V$64,MATCH($B5,'Company data'!$B$5:$B$64,0),MATCH(C$2,'Company data'!$C$4:$V$4,0))</f>
        <v>8194.9</v>
      </c>
      <c r="D5" s="275">
        <f>INDEX('Company data'!$C$5:$V$64,MATCH($B5,'Company data'!$B$5:$B$64,0),MATCH(D$2,'Company data'!$C$4:$V$4,0))</f>
        <v>48</v>
      </c>
      <c r="E5" s="275">
        <f>INDEX('Company data'!$C$5:$V$64,MATCH($B5,'Company data'!$B$5:$B$64,0),MATCH(E$2,'Company data'!$C$4:$V$4,0))</f>
        <v>61</v>
      </c>
      <c r="F5" s="275">
        <f>INDEX('Company data'!$C$5:$V$64,MATCH($B5,'Company data'!$B$5:$B$64,0),MATCH(F$2,'Company data'!$C$4:$V$4,0))</f>
        <v>71</v>
      </c>
      <c r="G5" s="276">
        <f>INDEX('Company data'!$C$5:$V$64,MATCH($B5,'Company data'!$B$5:$B$64,0),MATCH(G$2,'Company data'!$C$4:$V$4,0))</f>
        <v>0.1</v>
      </c>
      <c r="H5" s="275">
        <f>INDEX('Company data'!$C$5:$V$64,MATCH($B5,'Company data'!$B$5:$B$64,0),MATCH(H$2,'Company data'!$C$4:$V$4,0))</f>
        <v>236575.62</v>
      </c>
      <c r="I5" s="276">
        <f>INDEX('Company data'!$C$5:$V$64,MATCH($B5,'Company data'!$B$5:$B$64,0),MATCH(I$2,'Company data'!$C$4:$V$4,0))</f>
        <v>0.43</v>
      </c>
      <c r="J5" s="277">
        <f>INDEX('Company data'!$C$5:$V$64,MATCH($B5,'Company data'!$B$5:$B$64,0),MATCH(J$2,'Company data'!$C$4:$V$4,0))</f>
        <v>-3.9199999999999999E-2</v>
      </c>
      <c r="K5" s="275">
        <f>INDEX('Company data'!$C$5:$V$64,MATCH($B5,'Company data'!$B$5:$B$64,0),MATCH(K$2,'Company data'!$C$4:$V$4,0))</f>
        <v>369693</v>
      </c>
      <c r="L5" s="277">
        <f>INDEX('Company data'!$C$5:$V$64,MATCH($B5,'Company data'!$B$5:$B$64,0),MATCH(L$2,'Company data'!$C$4:$V$4,0))</f>
        <v>0.17660000000000001</v>
      </c>
      <c r="M5" s="275">
        <f>INDEX('Company data'!$C$5:$V$64,MATCH($B5,'Company data'!$B$5:$B$64,0),MATCH(M$2,'Company data'!$C$4:$V$4,0))</f>
        <v>20</v>
      </c>
      <c r="N5" s="275">
        <f>INDEX('Company data'!$C$5:$V$64,MATCH($B5,'Company data'!$B$5:$B$64,0),MATCH(N$2,'Company data'!$C$4:$V$4,0))</f>
        <v>11057.74</v>
      </c>
      <c r="O5" s="275">
        <f>INDEX('Company data'!$C$5:$V$64,MATCH($B5,'Company data'!$B$5:$B$64,0),MATCH(O$2,'Company data'!$C$4:$V$4,0))</f>
        <v>0.2</v>
      </c>
      <c r="P5" s="277">
        <f>INDEX('Company data'!$C$5:$V$64,MATCH($B5,'Company data'!$B$5:$B$64,0),MATCH(P$2,'Company data'!$C$4:$V$4,0))</f>
        <v>9.6300000000000008</v>
      </c>
      <c r="Q5" s="282">
        <f>INDEX('Company data'!$C$5:$V$64,MATCH($B5,'Company data'!$B$5:$B$64,0),MATCH(Q$2,'Company data'!$C$4:$V$4,0))</f>
        <v>22.11</v>
      </c>
    </row>
    <row r="6" spans="2:17" ht="14">
      <c r="B6" s="281" t="s">
        <v>152</v>
      </c>
      <c r="C6" s="275">
        <f>INDEX('Company data'!$C$5:$V$64,MATCH($B6,'Company data'!$B$5:$B$64,0),MATCH(C$2,'Company data'!$C$4:$V$4,0))</f>
        <v>157.85</v>
      </c>
      <c r="D6" s="275">
        <f>INDEX('Company data'!$C$5:$V$64,MATCH($B6,'Company data'!$B$5:$B$64,0),MATCH(D$2,'Company data'!$C$4:$V$4,0))</f>
        <v>29</v>
      </c>
      <c r="E6" s="275">
        <f>INDEX('Company data'!$C$5:$V$64,MATCH($B6,'Company data'!$B$5:$B$64,0),MATCH(E$2,'Company data'!$C$4:$V$4,0))</f>
        <v>43</v>
      </c>
      <c r="F6" s="275">
        <f>INDEX('Company data'!$C$5:$V$64,MATCH($B6,'Company data'!$B$5:$B$64,0),MATCH(F$2,'Company data'!$C$4:$V$4,0))</f>
        <v>56</v>
      </c>
      <c r="G6" s="276">
        <f>INDEX('Company data'!$C$5:$V$64,MATCH($B6,'Company data'!$B$5:$B$64,0),MATCH(G$2,'Company data'!$C$4:$V$4,0))</f>
        <v>0.15</v>
      </c>
      <c r="H6" s="275">
        <f>INDEX('Company data'!$C$5:$V$64,MATCH($B6,'Company data'!$B$5:$B$64,0),MATCH(H$2,'Company data'!$C$4:$V$4,0))</f>
        <v>6380.04</v>
      </c>
      <c r="I6" s="276">
        <f>INDEX('Company data'!$C$5:$V$64,MATCH($B6,'Company data'!$B$5:$B$64,0),MATCH(I$2,'Company data'!$C$4:$V$4,0))</f>
        <v>0.02</v>
      </c>
      <c r="J6" s="277">
        <f>INDEX('Company data'!$C$5:$V$64,MATCH($B6,'Company data'!$B$5:$B$64,0),MATCH(J$2,'Company data'!$C$4:$V$4,0))</f>
        <v>-0.04</v>
      </c>
      <c r="K6" s="275">
        <f>INDEX('Company data'!$C$5:$V$64,MATCH($B6,'Company data'!$B$5:$B$64,0),MATCH(K$2,'Company data'!$C$4:$V$4,0))</f>
        <v>525636</v>
      </c>
      <c r="L6" s="277">
        <f>INDEX('Company data'!$C$5:$V$64,MATCH($B6,'Company data'!$B$5:$B$64,0),MATCH(L$2,'Company data'!$C$4:$V$4,0))</f>
        <v>0.18029999999999999</v>
      </c>
      <c r="M6" s="275">
        <f>INDEX('Company data'!$C$5:$V$64,MATCH($B6,'Company data'!$B$5:$B$64,0),MATCH(M$2,'Company data'!$C$4:$V$4,0))</f>
        <v>17</v>
      </c>
      <c r="N6" s="275">
        <f>INDEX('Company data'!$C$5:$V$64,MATCH($B6,'Company data'!$B$5:$B$64,0),MATCH(N$2,'Company data'!$C$4:$V$4,0))</f>
        <v>35.35</v>
      </c>
      <c r="O6" s="275">
        <f>INDEX('Company data'!$C$5:$V$64,MATCH($B6,'Company data'!$B$5:$B$64,0),MATCH(O$2,'Company data'!$C$4:$V$4,0))</f>
        <v>0.01</v>
      </c>
      <c r="P6" s="277">
        <f>INDEX('Company data'!$C$5:$V$64,MATCH($B6,'Company data'!$B$5:$B$64,0),MATCH(P$2,'Company data'!$C$4:$V$4,0))</f>
        <v>10.8</v>
      </c>
      <c r="Q6" s="282">
        <f>INDEX('Company data'!$C$5:$V$64,MATCH($B6,'Company data'!$B$5:$B$64,0),MATCH(Q$2,'Company data'!$C$4:$V$4,0))</f>
        <v>11.73</v>
      </c>
    </row>
    <row r="7" spans="2:17" ht="14.5" thickBot="1">
      <c r="B7" s="283" t="s">
        <v>153</v>
      </c>
      <c r="C7" s="284">
        <f>INDEX('Company data'!$C$5:$V$64,MATCH($B7,'Company data'!$B$5:$B$64,0),MATCH(C$2,'Company data'!$C$4:$V$4,0))</f>
        <v>222.15</v>
      </c>
      <c r="D7" s="284">
        <f>INDEX('Company data'!$C$5:$V$64,MATCH($B7,'Company data'!$B$5:$B$64,0),MATCH(D$2,'Company data'!$C$4:$V$4,0))</f>
        <v>26</v>
      </c>
      <c r="E7" s="284">
        <f>INDEX('Company data'!$C$5:$V$64,MATCH($B7,'Company data'!$B$5:$B$64,0),MATCH(E$2,'Company data'!$C$4:$V$4,0))</f>
        <v>30</v>
      </c>
      <c r="F7" s="284">
        <f>INDEX('Company data'!$C$5:$V$64,MATCH($B7,'Company data'!$B$5:$B$64,0),MATCH(F$2,'Company data'!$C$4:$V$4,0))</f>
        <v>70</v>
      </c>
      <c r="G7" s="285">
        <f>INDEX('Company data'!$C$5:$V$64,MATCH($B7,'Company data'!$B$5:$B$64,0),MATCH(G$2,'Company data'!$C$4:$V$4,0))</f>
        <v>0.1</v>
      </c>
      <c r="H7" s="284">
        <f>INDEX('Company data'!$C$5:$V$64,MATCH($B7,'Company data'!$B$5:$B$64,0),MATCH(H$2,'Company data'!$C$4:$V$4,0))</f>
        <v>1004.81</v>
      </c>
      <c r="I7" s="285">
        <f>INDEX('Company data'!$C$5:$V$64,MATCH($B7,'Company data'!$B$5:$B$64,0),MATCH(I$2,'Company data'!$C$4:$V$4,0))</f>
        <v>0.01</v>
      </c>
      <c r="J7" s="286">
        <f>INDEX('Company data'!$C$5:$V$64,MATCH($B7,'Company data'!$B$5:$B$64,0),MATCH(J$2,'Company data'!$C$4:$V$4,0))</f>
        <v>-3.0800000000000001E-2</v>
      </c>
      <c r="K7" s="284">
        <f>INDEX('Company data'!$C$5:$V$64,MATCH($B7,'Company data'!$B$5:$B$64,0),MATCH(K$2,'Company data'!$C$4:$V$4,0))</f>
        <v>153307</v>
      </c>
      <c r="L7" s="286">
        <f>INDEX('Company data'!$C$5:$V$64,MATCH($B7,'Company data'!$B$5:$B$64,0),MATCH(L$2,'Company data'!$C$4:$V$4,0))</f>
        <v>2.3699999999999999E-2</v>
      </c>
      <c r="M7" s="284">
        <f>INDEX('Company data'!$C$5:$V$64,MATCH($B7,'Company data'!$B$5:$B$64,0),MATCH(M$2,'Company data'!$C$4:$V$4,0))</f>
        <v>15</v>
      </c>
      <c r="N7" s="284">
        <f>INDEX('Company data'!$C$5:$V$64,MATCH($B7,'Company data'!$B$5:$B$64,0),MATCH(N$2,'Company data'!$C$4:$V$4,0))</f>
        <v>292.33</v>
      </c>
      <c r="O7" s="284">
        <f>INDEX('Company data'!$C$5:$V$64,MATCH($B7,'Company data'!$B$5:$B$64,0),MATCH(O$2,'Company data'!$C$4:$V$4,0))</f>
        <v>0.38</v>
      </c>
      <c r="P7" s="286">
        <f>INDEX('Company data'!$C$5:$V$64,MATCH($B7,'Company data'!$B$5:$B$64,0),MATCH(P$2,'Company data'!$C$4:$V$4,0))</f>
        <v>6.06</v>
      </c>
      <c r="Q7" s="287">
        <f>INDEX('Company data'!$C$5:$V$64,MATCH($B7,'Company data'!$B$5:$B$64,0),MATCH(Q$2,'Company data'!$C$4:$V$4,0))</f>
        <v>6.34</v>
      </c>
    </row>
    <row r="8" spans="2:17" ht="13" thickBot="1"/>
    <row r="9" spans="2:17" ht="15" customHeight="1" thickBot="1">
      <c r="B9" s="288" t="s">
        <v>855</v>
      </c>
      <c r="C9" s="289">
        <f>Dashboard!C18</f>
        <v>8</v>
      </c>
      <c r="D9" s="289">
        <f>Dashboard!C19</f>
        <v>9</v>
      </c>
      <c r="E9" s="289">
        <f>Dashboard!C20</f>
        <v>9</v>
      </c>
      <c r="F9" s="289">
        <f>Dashboard!C21</f>
        <v>9</v>
      </c>
      <c r="G9" s="289">
        <f>Dashboard!C22</f>
        <v>6</v>
      </c>
      <c r="H9" s="289">
        <f>Dashboard!C23</f>
        <v>7</v>
      </c>
      <c r="I9" s="289">
        <f>Dashboard!C24</f>
        <v>4</v>
      </c>
      <c r="J9" s="289">
        <f>Dashboard!C25</f>
        <v>8</v>
      </c>
      <c r="K9" s="289">
        <f>Dashboard!C26</f>
        <v>3</v>
      </c>
      <c r="L9" s="289">
        <f>Dashboard!C27</f>
        <v>5</v>
      </c>
      <c r="M9" s="289">
        <f>Dashboard!C28</f>
        <v>8</v>
      </c>
      <c r="N9" s="289">
        <f>Dashboard!C29</f>
        <v>7</v>
      </c>
      <c r="O9" s="289">
        <f>Dashboard!C30</f>
        <v>4</v>
      </c>
      <c r="P9" s="289">
        <f>Dashboard!C31</f>
        <v>6</v>
      </c>
      <c r="Q9" s="290">
        <f>Dashboard!C32</f>
        <v>5</v>
      </c>
    </row>
    <row r="10" spans="2:17" ht="15" customHeight="1" thickBot="1">
      <c r="B10" s="293" t="s">
        <v>856</v>
      </c>
      <c r="C10" s="291">
        <f t="shared" ref="C10:Q10" si="0">C9/SUM($C$9:$Q$9)</f>
        <v>8.1632653061224483E-2</v>
      </c>
      <c r="D10" s="291">
        <f t="shared" si="0"/>
        <v>9.1836734693877556E-2</v>
      </c>
      <c r="E10" s="291">
        <f t="shared" si="0"/>
        <v>9.1836734693877556E-2</v>
      </c>
      <c r="F10" s="291">
        <f t="shared" si="0"/>
        <v>9.1836734693877556E-2</v>
      </c>
      <c r="G10" s="291">
        <f t="shared" si="0"/>
        <v>6.1224489795918366E-2</v>
      </c>
      <c r="H10" s="291">
        <f t="shared" si="0"/>
        <v>7.1428571428571425E-2</v>
      </c>
      <c r="I10" s="291">
        <f t="shared" si="0"/>
        <v>4.0816326530612242E-2</v>
      </c>
      <c r="J10" s="291">
        <f t="shared" si="0"/>
        <v>8.1632653061224483E-2</v>
      </c>
      <c r="K10" s="291">
        <f t="shared" si="0"/>
        <v>3.0612244897959183E-2</v>
      </c>
      <c r="L10" s="291">
        <f t="shared" si="0"/>
        <v>5.1020408163265307E-2</v>
      </c>
      <c r="M10" s="291">
        <f t="shared" si="0"/>
        <v>8.1632653061224483E-2</v>
      </c>
      <c r="N10" s="291">
        <f t="shared" si="0"/>
        <v>7.1428571428571425E-2</v>
      </c>
      <c r="O10" s="291">
        <f t="shared" si="0"/>
        <v>4.0816326530612242E-2</v>
      </c>
      <c r="P10" s="291">
        <f t="shared" si="0"/>
        <v>6.1224489795918366E-2</v>
      </c>
      <c r="Q10" s="292">
        <f t="shared" si="0"/>
        <v>5.1020408163265307E-2</v>
      </c>
    </row>
    <row r="11" spans="2:17" ht="13" thickBot="1"/>
    <row r="12" spans="2:17" ht="15" customHeight="1" thickBot="1">
      <c r="B12" s="296" t="s">
        <v>857</v>
      </c>
      <c r="C12" s="294">
        <f t="shared" ref="C12:Q12" si="1">SQRT(SUMSQ(C3:C7))</f>
        <v>25255.236897423867</v>
      </c>
      <c r="D12" s="294">
        <f t="shared" si="1"/>
        <v>96.109312764164528</v>
      </c>
      <c r="E12" s="294">
        <f t="shared" si="1"/>
        <v>114.88254871824527</v>
      </c>
      <c r="F12" s="294">
        <f t="shared" si="1"/>
        <v>150.32963779641059</v>
      </c>
      <c r="G12" s="294">
        <f t="shared" si="1"/>
        <v>0.28178005607210743</v>
      </c>
      <c r="H12" s="294">
        <f t="shared" si="1"/>
        <v>266959.88286413351</v>
      </c>
      <c r="I12" s="294">
        <f t="shared" si="1"/>
        <v>0.45978255730290596</v>
      </c>
      <c r="J12" s="294">
        <f t="shared" si="1"/>
        <v>0.13257216902502578</v>
      </c>
      <c r="K12" s="294">
        <f t="shared" si="1"/>
        <v>11374432.265081804</v>
      </c>
      <c r="L12" s="294">
        <f t="shared" si="1"/>
        <v>0.30990079057659725</v>
      </c>
      <c r="M12" s="294">
        <f t="shared" si="1"/>
        <v>41.400483088968905</v>
      </c>
      <c r="N12" s="294">
        <f t="shared" si="1"/>
        <v>11425.236053964049</v>
      </c>
      <c r="O12" s="294">
        <f t="shared" si="1"/>
        <v>0.45541190146942806</v>
      </c>
      <c r="P12" s="294">
        <f t="shared" si="1"/>
        <v>20.429894762332967</v>
      </c>
      <c r="Q12" s="295">
        <f t="shared" si="1"/>
        <v>39.286985122302269</v>
      </c>
    </row>
    <row r="13" spans="2:17" ht="13" thickBot="1"/>
    <row r="14" spans="2:17" ht="15" customHeight="1" thickBot="1">
      <c r="B14" s="296" t="s">
        <v>858</v>
      </c>
      <c r="C14" s="311">
        <f t="shared" ref="C14:Q14" si="2">C3/C$12</f>
        <v>0.94566525338893814</v>
      </c>
      <c r="D14" s="312">
        <f t="shared" si="2"/>
        <v>0.56186022401914959</v>
      </c>
      <c r="E14" s="312">
        <f t="shared" si="2"/>
        <v>0.50486345095152496</v>
      </c>
      <c r="F14" s="312">
        <f t="shared" si="2"/>
        <v>0.45899132740175808</v>
      </c>
      <c r="G14" s="312">
        <f t="shared" si="2"/>
        <v>0.53233008074075705</v>
      </c>
      <c r="H14" s="312">
        <f t="shared" si="2"/>
        <v>0.32278868673259109</v>
      </c>
      <c r="I14" s="312">
        <f t="shared" si="2"/>
        <v>0.304491759803249</v>
      </c>
      <c r="J14" s="312">
        <f t="shared" si="2"/>
        <v>-0.42316573993301676</v>
      </c>
      <c r="K14" s="312">
        <f t="shared" si="2"/>
        <v>5.1592904711519633E-3</v>
      </c>
      <c r="L14" s="312">
        <f t="shared" si="2"/>
        <v>0.55178949263678778</v>
      </c>
      <c r="M14" s="312">
        <f t="shared" si="2"/>
        <v>0.48308615039636987</v>
      </c>
      <c r="N14" s="312">
        <f t="shared" si="2"/>
        <v>0.24604568227057882</v>
      </c>
      <c r="O14" s="312">
        <f t="shared" si="2"/>
        <v>0.32937215631829408</v>
      </c>
      <c r="P14" s="312">
        <f t="shared" si="2"/>
        <v>0.36466169242025287</v>
      </c>
      <c r="Q14" s="313">
        <f t="shared" si="2"/>
        <v>0.61623461114751132</v>
      </c>
    </row>
    <row r="15" spans="2:17" ht="15" customHeight="1">
      <c r="C15" s="314">
        <f t="shared" ref="C15:Q15" si="3">C4/C$12</f>
        <v>1.7647824956473213E-2</v>
      </c>
      <c r="D15" s="315">
        <f t="shared" si="3"/>
        <v>0.52024094816587929</v>
      </c>
      <c r="E15" s="315">
        <f t="shared" si="3"/>
        <v>0.50486345095152496</v>
      </c>
      <c r="F15" s="315">
        <f t="shared" si="3"/>
        <v>0.45899132740175808</v>
      </c>
      <c r="G15" s="315">
        <f t="shared" si="3"/>
        <v>0.42586406459260562</v>
      </c>
      <c r="H15" s="315">
        <f t="shared" si="3"/>
        <v>0.33151134563930446</v>
      </c>
      <c r="I15" s="315">
        <f t="shared" si="3"/>
        <v>0.17399529131614228</v>
      </c>
      <c r="J15" s="315">
        <f t="shared" si="3"/>
        <v>0.76712933602830313</v>
      </c>
      <c r="K15" s="315">
        <f t="shared" si="3"/>
        <v>0.99829844122055922</v>
      </c>
      <c r="L15" s="315">
        <f t="shared" si="3"/>
        <v>0.16263269256663218</v>
      </c>
      <c r="M15" s="315">
        <f t="shared" si="3"/>
        <v>0.48308615039636987</v>
      </c>
      <c r="N15" s="315">
        <f t="shared" si="3"/>
        <v>4.5752227571581421E-2</v>
      </c>
      <c r="O15" s="315">
        <f t="shared" si="3"/>
        <v>4.3916287509105881E-2</v>
      </c>
      <c r="P15" s="315">
        <f t="shared" si="3"/>
        <v>0.52667916918683499</v>
      </c>
      <c r="Q15" s="316">
        <f t="shared" si="3"/>
        <v>0.43398596117575661</v>
      </c>
    </row>
    <row r="16" spans="2:17" ht="15" customHeight="1">
      <c r="C16" s="314">
        <f t="shared" ref="C16:Q16" si="4">C5/C$12</f>
        <v>0.32448319662508934</v>
      </c>
      <c r="D16" s="315">
        <f t="shared" si="4"/>
        <v>0.49943131023924414</v>
      </c>
      <c r="E16" s="315">
        <f t="shared" si="4"/>
        <v>0.53097707772487968</v>
      </c>
      <c r="F16" s="315">
        <f t="shared" si="4"/>
        <v>0.47229542384818585</v>
      </c>
      <c r="G16" s="315">
        <f t="shared" si="4"/>
        <v>0.35488672049383807</v>
      </c>
      <c r="H16" s="315">
        <f t="shared" si="4"/>
        <v>0.88618416168695546</v>
      </c>
      <c r="I16" s="315">
        <f t="shared" si="4"/>
        <v>0.93522469082426474</v>
      </c>
      <c r="J16" s="315">
        <f t="shared" si="4"/>
        <v>-0.29568800366086018</v>
      </c>
      <c r="K16" s="315">
        <f t="shared" si="4"/>
        <v>3.250210572134795E-2</v>
      </c>
      <c r="L16" s="315">
        <f t="shared" si="4"/>
        <v>0.569859791810858</v>
      </c>
      <c r="M16" s="315">
        <f t="shared" si="4"/>
        <v>0.48308615039636987</v>
      </c>
      <c r="N16" s="315">
        <f t="shared" si="4"/>
        <v>0.96783470798955229</v>
      </c>
      <c r="O16" s="315">
        <f t="shared" si="4"/>
        <v>0.43916287509105878</v>
      </c>
      <c r="P16" s="315">
        <f t="shared" si="4"/>
        <v>0.47136806684658195</v>
      </c>
      <c r="Q16" s="316">
        <f t="shared" si="4"/>
        <v>0.56278179481501334</v>
      </c>
    </row>
    <row r="17" spans="2:18" ht="15" customHeight="1">
      <c r="C17" s="314">
        <f t="shared" ref="C17:Q17" si="5">C6/C$12</f>
        <v>6.2501888476089217E-3</v>
      </c>
      <c r="D17" s="315">
        <f t="shared" si="5"/>
        <v>0.30173974993621</v>
      </c>
      <c r="E17" s="315">
        <f t="shared" si="5"/>
        <v>0.37429531708475128</v>
      </c>
      <c r="F17" s="315">
        <f t="shared" si="5"/>
        <v>0.37251470049997759</v>
      </c>
      <c r="G17" s="315">
        <f t="shared" si="5"/>
        <v>0.53233008074075705</v>
      </c>
      <c r="H17" s="315">
        <f t="shared" si="5"/>
        <v>2.389887173889365E-2</v>
      </c>
      <c r="I17" s="315">
        <f t="shared" si="5"/>
        <v>4.3498822829035569E-2</v>
      </c>
      <c r="J17" s="315">
        <f t="shared" si="5"/>
        <v>-0.30172245271516346</v>
      </c>
      <c r="K17" s="315">
        <f t="shared" si="5"/>
        <v>4.621206472112388E-2</v>
      </c>
      <c r="L17" s="315">
        <f t="shared" si="5"/>
        <v>0.58179909662229723</v>
      </c>
      <c r="M17" s="315">
        <f t="shared" si="5"/>
        <v>0.41062322783691441</v>
      </c>
      <c r="N17" s="315">
        <f t="shared" si="5"/>
        <v>3.0940279774556716E-3</v>
      </c>
      <c r="O17" s="315">
        <f t="shared" si="5"/>
        <v>2.195814375455294E-2</v>
      </c>
      <c r="P17" s="315">
        <f t="shared" si="5"/>
        <v>0.52863708431392364</v>
      </c>
      <c r="Q17" s="316">
        <f t="shared" si="5"/>
        <v>0.29857215980009533</v>
      </c>
    </row>
    <row r="18" spans="2:18" ht="15" customHeight="1" thickBot="1">
      <c r="C18" s="317">
        <f t="shared" ref="C18:Q18" si="6">C7/C$12</f>
        <v>8.796195454522154E-3</v>
      </c>
      <c r="D18" s="318">
        <f t="shared" si="6"/>
        <v>0.27052529304625722</v>
      </c>
      <c r="E18" s="318">
        <f t="shared" si="6"/>
        <v>0.26113626773354737</v>
      </c>
      <c r="F18" s="318">
        <f t="shared" si="6"/>
        <v>0.46564337562497193</v>
      </c>
      <c r="G18" s="318">
        <f t="shared" si="6"/>
        <v>0.35488672049383807</v>
      </c>
      <c r="H18" s="318">
        <f t="shared" si="6"/>
        <v>3.7638988645772955E-3</v>
      </c>
      <c r="I18" s="318">
        <f t="shared" si="6"/>
        <v>2.1749411414517784E-2</v>
      </c>
      <c r="J18" s="318">
        <f t="shared" si="6"/>
        <v>-0.23232628859067589</v>
      </c>
      <c r="K18" s="318">
        <f t="shared" si="6"/>
        <v>1.3478211169328848E-2</v>
      </c>
      <c r="L18" s="318">
        <f t="shared" si="6"/>
        <v>7.6476087575975835E-2</v>
      </c>
      <c r="M18" s="318">
        <f t="shared" si="6"/>
        <v>0.36231461279727739</v>
      </c>
      <c r="N18" s="318">
        <f t="shared" si="6"/>
        <v>2.5586342253171607E-2</v>
      </c>
      <c r="O18" s="318">
        <f t="shared" si="6"/>
        <v>0.83440946267301164</v>
      </c>
      <c r="P18" s="318">
        <f t="shared" si="6"/>
        <v>0.29662414175392382</v>
      </c>
      <c r="Q18" s="319">
        <f t="shared" si="6"/>
        <v>0.1613765978800174</v>
      </c>
    </row>
    <row r="19" spans="2:18" ht="13" thickBot="1"/>
    <row r="20" spans="2:18" ht="15" customHeight="1" thickBot="1">
      <c r="B20" s="320" t="s">
        <v>859</v>
      </c>
      <c r="C20" s="297">
        <f t="shared" ref="C20:Q20" si="7">C$10*C14</f>
        <v>7.7197163541954134E-2</v>
      </c>
      <c r="D20" s="298">
        <f t="shared" si="7"/>
        <v>5.1599408328289249E-2</v>
      </c>
      <c r="E20" s="298">
        <f t="shared" si="7"/>
        <v>4.6365010801670666E-2</v>
      </c>
      <c r="F20" s="298">
        <f t="shared" si="7"/>
        <v>4.2152264761385949E-2</v>
      </c>
      <c r="G20" s="298">
        <f t="shared" si="7"/>
        <v>3.2591637596372881E-2</v>
      </c>
      <c r="H20" s="298">
        <f t="shared" si="7"/>
        <v>2.3056334766613649E-2</v>
      </c>
      <c r="I20" s="298">
        <f t="shared" si="7"/>
        <v>1.2428235094010162E-2</v>
      </c>
      <c r="J20" s="298">
        <f t="shared" si="7"/>
        <v>-3.4544142035348308E-2</v>
      </c>
      <c r="K20" s="298">
        <f t="shared" si="7"/>
        <v>1.5793746340261113E-4</v>
      </c>
      <c r="L20" s="298">
        <f t="shared" si="7"/>
        <v>2.8152525134529989E-2</v>
      </c>
      <c r="M20" s="298">
        <f t="shared" si="7"/>
        <v>3.9435604113989373E-2</v>
      </c>
      <c r="N20" s="298">
        <f t="shared" si="7"/>
        <v>1.7574691590755628E-2</v>
      </c>
      <c r="O20" s="298">
        <f t="shared" si="7"/>
        <v>1.3443761482379349E-2</v>
      </c>
      <c r="P20" s="298">
        <f t="shared" si="7"/>
        <v>2.2326226066546093E-2</v>
      </c>
      <c r="Q20" s="299">
        <f t="shared" si="7"/>
        <v>3.1440541385077111E-2</v>
      </c>
    </row>
    <row r="21" spans="2:18" ht="12.5">
      <c r="C21" s="300">
        <f t="shared" ref="C21:Q21" si="8">C$10*C15</f>
        <v>1.4406387719569968E-3</v>
      </c>
      <c r="D21" s="301">
        <f t="shared" si="8"/>
        <v>4.7777229933601159E-2</v>
      </c>
      <c r="E21" s="301">
        <f t="shared" si="8"/>
        <v>4.6365010801670666E-2</v>
      </c>
      <c r="F21" s="301">
        <f t="shared" si="8"/>
        <v>4.2152264761385949E-2</v>
      </c>
      <c r="G21" s="301">
        <f t="shared" si="8"/>
        <v>2.6073310077098302E-2</v>
      </c>
      <c r="H21" s="301">
        <f t="shared" si="8"/>
        <v>2.3679381831378889E-2</v>
      </c>
      <c r="I21" s="301">
        <f t="shared" si="8"/>
        <v>7.1018486251486638E-3</v>
      </c>
      <c r="J21" s="301">
        <f t="shared" si="8"/>
        <v>6.2622802941085964E-2</v>
      </c>
      <c r="K21" s="301">
        <f t="shared" si="8"/>
        <v>3.0560156363894669E-2</v>
      </c>
      <c r="L21" s="301">
        <f t="shared" si="8"/>
        <v>8.2975863554404176E-3</v>
      </c>
      <c r="M21" s="301">
        <f t="shared" si="8"/>
        <v>3.9435604113989373E-2</v>
      </c>
      <c r="N21" s="301">
        <f t="shared" si="8"/>
        <v>3.2680162551129584E-3</v>
      </c>
      <c r="O21" s="301">
        <f t="shared" si="8"/>
        <v>1.7925015309839133E-3</v>
      </c>
      <c r="P21" s="301">
        <f t="shared" si="8"/>
        <v>3.2245663419602139E-2</v>
      </c>
      <c r="Q21" s="302">
        <f t="shared" si="8"/>
        <v>2.2142140876314113E-2</v>
      </c>
    </row>
    <row r="22" spans="2:18" ht="12.5">
      <c r="C22" s="300">
        <f t="shared" ref="C22:Q22" si="9">C$10*C16</f>
        <v>2.6488424214293007E-2</v>
      </c>
      <c r="D22" s="301">
        <f t="shared" si="9"/>
        <v>4.5866140736257117E-2</v>
      </c>
      <c r="E22" s="301">
        <f t="shared" si="9"/>
        <v>4.8763201015550178E-2</v>
      </c>
      <c r="F22" s="301">
        <f t="shared" si="9"/>
        <v>4.3374069537078293E-2</v>
      </c>
      <c r="G22" s="301">
        <f t="shared" si="9"/>
        <v>2.1727758397581922E-2</v>
      </c>
      <c r="H22" s="301">
        <f t="shared" si="9"/>
        <v>6.3298868691925386E-2</v>
      </c>
      <c r="I22" s="301">
        <f t="shared" si="9"/>
        <v>3.8172436360174068E-2</v>
      </c>
      <c r="J22" s="301">
        <f t="shared" si="9"/>
        <v>-2.4137796217213073E-2</v>
      </c>
      <c r="K22" s="301">
        <f t="shared" si="9"/>
        <v>9.9496242004126377E-4</v>
      </c>
      <c r="L22" s="301">
        <f t="shared" si="9"/>
        <v>2.9074479174023369E-2</v>
      </c>
      <c r="M22" s="301">
        <f t="shared" si="9"/>
        <v>3.9435604113989373E-2</v>
      </c>
      <c r="N22" s="301">
        <f t="shared" si="9"/>
        <v>6.9131050570682306E-2</v>
      </c>
      <c r="O22" s="301">
        <f t="shared" si="9"/>
        <v>1.7925015309839133E-2</v>
      </c>
      <c r="P22" s="301">
        <f t="shared" si="9"/>
        <v>2.8859269398770322E-2</v>
      </c>
      <c r="Q22" s="302">
        <f t="shared" si="9"/>
        <v>2.8713356878317008E-2</v>
      </c>
    </row>
    <row r="23" spans="2:18" ht="12.5">
      <c r="C23" s="300">
        <f t="shared" ref="C23:Q23" si="10">C$10*C17</f>
        <v>5.1021949776399356E-4</v>
      </c>
      <c r="D23" s="301">
        <f t="shared" si="10"/>
        <v>2.7710793361488673E-2</v>
      </c>
      <c r="E23" s="301">
        <f t="shared" si="10"/>
        <v>3.4374059732273081E-2</v>
      </c>
      <c r="F23" s="301">
        <f t="shared" si="10"/>
        <v>3.4210533719385698E-2</v>
      </c>
      <c r="G23" s="301">
        <f t="shared" si="10"/>
        <v>3.2591637596372881E-2</v>
      </c>
      <c r="H23" s="301">
        <f t="shared" si="10"/>
        <v>1.7070622670638321E-3</v>
      </c>
      <c r="I23" s="301">
        <f t="shared" si="10"/>
        <v>1.7754621562871659E-3</v>
      </c>
      <c r="J23" s="301">
        <f t="shared" si="10"/>
        <v>-2.4630404303278647E-2</v>
      </c>
      <c r="K23" s="301">
        <f t="shared" si="10"/>
        <v>1.4146550424833841E-3</v>
      </c>
      <c r="L23" s="301">
        <f t="shared" si="10"/>
        <v>2.9683627378688633E-2</v>
      </c>
      <c r="M23" s="301">
        <f t="shared" si="10"/>
        <v>3.3520263496890967E-2</v>
      </c>
      <c r="N23" s="301">
        <f t="shared" si="10"/>
        <v>2.2100199838969082E-4</v>
      </c>
      <c r="O23" s="301">
        <f t="shared" si="10"/>
        <v>8.9625076549195663E-4</v>
      </c>
      <c r="P23" s="301">
        <f t="shared" si="10"/>
        <v>3.2365535774321857E-2</v>
      </c>
      <c r="Q23" s="302">
        <f t="shared" si="10"/>
        <v>1.5233273459188538E-2</v>
      </c>
    </row>
    <row r="24" spans="2:18" ht="13" thickBot="1">
      <c r="C24" s="303">
        <f t="shared" ref="C24:Q24" si="11">C$10*C18</f>
        <v>7.1805677179772676E-4</v>
      </c>
      <c r="D24" s="304">
        <f t="shared" si="11"/>
        <v>2.4844159565472604E-2</v>
      </c>
      <c r="E24" s="304">
        <f t="shared" si="11"/>
        <v>2.3981902138795169E-2</v>
      </c>
      <c r="F24" s="304">
        <f t="shared" si="11"/>
        <v>4.2763167149232117E-2</v>
      </c>
      <c r="G24" s="304">
        <f t="shared" si="11"/>
        <v>2.1727758397581922E-2</v>
      </c>
      <c r="H24" s="304">
        <f t="shared" si="11"/>
        <v>2.6884991889837822E-4</v>
      </c>
      <c r="I24" s="304">
        <f t="shared" si="11"/>
        <v>8.8773107814358297E-4</v>
      </c>
      <c r="J24" s="304">
        <f t="shared" si="11"/>
        <v>-1.8965411313524562E-2</v>
      </c>
      <c r="K24" s="304">
        <f t="shared" si="11"/>
        <v>4.1259830110190352E-4</v>
      </c>
      <c r="L24" s="304">
        <f t="shared" si="11"/>
        <v>3.9018412028559101E-3</v>
      </c>
      <c r="M24" s="304">
        <f t="shared" si="11"/>
        <v>2.9576703085492029E-2</v>
      </c>
      <c r="N24" s="304">
        <f t="shared" si="11"/>
        <v>1.8275958752265432E-3</v>
      </c>
      <c r="O24" s="304">
        <f t="shared" si="11"/>
        <v>3.4057529088694347E-2</v>
      </c>
      <c r="P24" s="304">
        <f t="shared" si="11"/>
        <v>1.8160661740036152E-2</v>
      </c>
      <c r="Q24" s="305">
        <f t="shared" si="11"/>
        <v>8.2334998918376229E-3</v>
      </c>
    </row>
    <row r="26" spans="2:18" ht="13" thickBot="1">
      <c r="R26" s="307" t="s">
        <v>860</v>
      </c>
    </row>
    <row r="27" spans="2:18" ht="13.5" thickBot="1">
      <c r="B27" s="293" t="s">
        <v>861</v>
      </c>
      <c r="C27" s="311">
        <f t="shared" ref="C27:C31" si="12">C20-MAX($C$20:$C$24)</f>
        <v>0</v>
      </c>
      <c r="D27" s="312">
        <f t="shared" ref="D27:M27" si="13">D20-MIN(D$20:D$24)</f>
        <v>2.6755248762816645E-2</v>
      </c>
      <c r="E27" s="312">
        <f t="shared" si="13"/>
        <v>2.2383108662875496E-2</v>
      </c>
      <c r="F27" s="312">
        <f t="shared" si="13"/>
        <v>7.941731042000251E-3</v>
      </c>
      <c r="G27" s="312">
        <f t="shared" si="13"/>
        <v>1.0863879198790959E-2</v>
      </c>
      <c r="H27" s="312">
        <f t="shared" si="13"/>
        <v>2.278748484771527E-2</v>
      </c>
      <c r="I27" s="312">
        <f t="shared" si="13"/>
        <v>1.1540504015866579E-2</v>
      </c>
      <c r="J27" s="312">
        <f t="shared" si="13"/>
        <v>0</v>
      </c>
      <c r="K27" s="312">
        <f t="shared" si="13"/>
        <v>0</v>
      </c>
      <c r="L27" s="312">
        <f t="shared" si="13"/>
        <v>2.425068393167408E-2</v>
      </c>
      <c r="M27" s="312">
        <f t="shared" si="13"/>
        <v>9.8589010284973431E-3</v>
      </c>
      <c r="N27" s="312">
        <f t="shared" ref="N27:O27" si="14">N20-MAX(N$20:N$24)</f>
        <v>-5.1556358979926678E-2</v>
      </c>
      <c r="O27" s="312">
        <f t="shared" si="14"/>
        <v>-2.0613767606314996E-2</v>
      </c>
      <c r="P27" s="312">
        <f t="shared" ref="P27:Q27" si="15">P20-MIN(P$20:P$24)</f>
        <v>4.1655643265099407E-3</v>
      </c>
      <c r="Q27" s="313">
        <f t="shared" si="15"/>
        <v>2.3207041493239489E-2</v>
      </c>
      <c r="R27" s="308">
        <f t="shared" ref="R27:R31" si="16">SQRT(SUMSQ(C27:Q27))</f>
        <v>7.9841044704173886E-2</v>
      </c>
    </row>
    <row r="28" spans="2:18" ht="12.5">
      <c r="C28" s="314">
        <f t="shared" si="12"/>
        <v>-7.5756524769997141E-2</v>
      </c>
      <c r="D28" s="315">
        <f t="shared" ref="D28:M28" si="17">D21-MIN(D$20:D$24)</f>
        <v>2.2933070368128555E-2</v>
      </c>
      <c r="E28" s="315">
        <f t="shared" si="17"/>
        <v>2.2383108662875496E-2</v>
      </c>
      <c r="F28" s="315">
        <f t="shared" si="17"/>
        <v>7.941731042000251E-3</v>
      </c>
      <c r="G28" s="315">
        <f t="shared" si="17"/>
        <v>4.3455516795163802E-3</v>
      </c>
      <c r="H28" s="315">
        <f t="shared" si="17"/>
        <v>2.341053191248051E-2</v>
      </c>
      <c r="I28" s="315">
        <f t="shared" si="17"/>
        <v>6.2141175470050809E-3</v>
      </c>
      <c r="J28" s="315">
        <f t="shared" si="17"/>
        <v>9.7166944976434272E-2</v>
      </c>
      <c r="K28" s="315">
        <f t="shared" si="17"/>
        <v>3.0402218900492058E-2</v>
      </c>
      <c r="L28" s="315">
        <f t="shared" si="17"/>
        <v>4.395745152584507E-3</v>
      </c>
      <c r="M28" s="315">
        <f t="shared" si="17"/>
        <v>9.8589010284973431E-3</v>
      </c>
      <c r="N28" s="315">
        <f t="shared" ref="N28:O28" si="18">N21-MAX(N$20:N$24)</f>
        <v>-6.5863034315569349E-2</v>
      </c>
      <c r="O28" s="315">
        <f t="shared" si="18"/>
        <v>-3.2265027557710435E-2</v>
      </c>
      <c r="P28" s="315">
        <f t="shared" ref="P28:Q28" si="19">P21-MIN(P$20:P$24)</f>
        <v>1.4085001679565987E-2</v>
      </c>
      <c r="Q28" s="316">
        <f t="shared" si="19"/>
        <v>1.390864098447649E-2</v>
      </c>
      <c r="R28" s="309">
        <f t="shared" si="16"/>
        <v>0.15390790415625846</v>
      </c>
    </row>
    <row r="29" spans="2:18" ht="12.5">
      <c r="C29" s="314">
        <f t="shared" si="12"/>
        <v>-5.0708739327661123E-2</v>
      </c>
      <c r="D29" s="315">
        <f t="shared" ref="D29:M29" si="20">D22-MIN(D$20:D$24)</f>
        <v>2.1021981170784514E-2</v>
      </c>
      <c r="E29" s="315">
        <f t="shared" si="20"/>
        <v>2.4781298876755009E-2</v>
      </c>
      <c r="F29" s="315">
        <f t="shared" si="20"/>
        <v>9.1635358176925946E-3</v>
      </c>
      <c r="G29" s="315">
        <f t="shared" si="20"/>
        <v>0</v>
      </c>
      <c r="H29" s="315">
        <f t="shared" si="20"/>
        <v>6.3030018773027011E-2</v>
      </c>
      <c r="I29" s="315">
        <f t="shared" si="20"/>
        <v>3.7284705282030484E-2</v>
      </c>
      <c r="J29" s="315">
        <f t="shared" si="20"/>
        <v>1.0406345818135234E-2</v>
      </c>
      <c r="K29" s="315">
        <f t="shared" si="20"/>
        <v>8.3702495663865264E-4</v>
      </c>
      <c r="L29" s="315">
        <f t="shared" si="20"/>
        <v>2.517263797116746E-2</v>
      </c>
      <c r="M29" s="315">
        <f t="shared" si="20"/>
        <v>9.8589010284973431E-3</v>
      </c>
      <c r="N29" s="315">
        <f t="shared" ref="N29:O29" si="21">N22-MAX(N$20:N$24)</f>
        <v>0</v>
      </c>
      <c r="O29" s="315">
        <f t="shared" si="21"/>
        <v>-1.6132513778855214E-2</v>
      </c>
      <c r="P29" s="315">
        <f t="shared" ref="P29:Q29" si="22">P22-MIN(P$20:P$24)</f>
        <v>1.069860765873417E-2</v>
      </c>
      <c r="Q29" s="316">
        <f t="shared" si="22"/>
        <v>2.0479856986479385E-2</v>
      </c>
      <c r="R29" s="309">
        <f t="shared" si="16"/>
        <v>0.1034809675185329</v>
      </c>
    </row>
    <row r="30" spans="2:18" ht="12.5">
      <c r="C30" s="314">
        <f t="shared" si="12"/>
        <v>-7.6686944044190145E-2</v>
      </c>
      <c r="D30" s="315">
        <f t="shared" ref="D30:M30" si="23">D23-MIN(D$20:D$24)</f>
        <v>2.8666337960160694E-3</v>
      </c>
      <c r="E30" s="315">
        <f t="shared" si="23"/>
        <v>1.0392157593477912E-2</v>
      </c>
      <c r="F30" s="315">
        <f t="shared" si="23"/>
        <v>0</v>
      </c>
      <c r="G30" s="315">
        <f t="shared" si="23"/>
        <v>1.0863879198790959E-2</v>
      </c>
      <c r="H30" s="315">
        <f t="shared" si="23"/>
        <v>1.4382123481654538E-3</v>
      </c>
      <c r="I30" s="315">
        <f t="shared" si="23"/>
        <v>8.8773107814358297E-4</v>
      </c>
      <c r="J30" s="315">
        <f t="shared" si="23"/>
        <v>9.9137377320696607E-3</v>
      </c>
      <c r="K30" s="315">
        <f t="shared" si="23"/>
        <v>1.256717579080773E-3</v>
      </c>
      <c r="L30" s="315">
        <f t="shared" si="23"/>
        <v>2.5781786175832724E-2</v>
      </c>
      <c r="M30" s="315">
        <f t="shared" si="23"/>
        <v>3.943560411398938E-3</v>
      </c>
      <c r="N30" s="315">
        <f t="shared" ref="N30:O30" si="24">N23-MAX(N$20:N$24)</f>
        <v>-6.8910048572292618E-2</v>
      </c>
      <c r="O30" s="315">
        <f t="shared" si="24"/>
        <v>-3.3161278323202391E-2</v>
      </c>
      <c r="P30" s="315">
        <f t="shared" ref="P30:Q30" si="25">P23-MIN(P$20:P$24)</f>
        <v>1.4204874034285705E-2</v>
      </c>
      <c r="Q30" s="316">
        <f t="shared" si="25"/>
        <v>6.9997735673509153E-3</v>
      </c>
      <c r="R30" s="309">
        <f t="shared" si="16"/>
        <v>0.11400498436776178</v>
      </c>
    </row>
    <row r="31" spans="2:18" ht="13" thickBot="1">
      <c r="C31" s="317">
        <f t="shared" si="12"/>
        <v>-7.6479106770156402E-2</v>
      </c>
      <c r="D31" s="318">
        <f t="shared" ref="D31:M31" si="26">D24-MIN(D$20:D$24)</f>
        <v>0</v>
      </c>
      <c r="E31" s="318">
        <f t="shared" si="26"/>
        <v>0</v>
      </c>
      <c r="F31" s="318">
        <f t="shared" si="26"/>
        <v>8.5526334298464193E-3</v>
      </c>
      <c r="G31" s="318">
        <f t="shared" si="26"/>
        <v>0</v>
      </c>
      <c r="H31" s="318">
        <f t="shared" si="26"/>
        <v>0</v>
      </c>
      <c r="I31" s="318">
        <f t="shared" si="26"/>
        <v>0</v>
      </c>
      <c r="J31" s="318">
        <f t="shared" si="26"/>
        <v>1.5578730721823746E-2</v>
      </c>
      <c r="K31" s="318">
        <f t="shared" si="26"/>
        <v>2.546608376992924E-4</v>
      </c>
      <c r="L31" s="318">
        <f t="shared" si="26"/>
        <v>0</v>
      </c>
      <c r="M31" s="318">
        <f t="shared" si="26"/>
        <v>0</v>
      </c>
      <c r="N31" s="318">
        <f t="shared" ref="N31:O31" si="27">N24-MAX(N$20:N$24)</f>
        <v>-6.7303454695455761E-2</v>
      </c>
      <c r="O31" s="318">
        <f t="shared" si="27"/>
        <v>0</v>
      </c>
      <c r="P31" s="318">
        <f t="shared" ref="P31:Q31" si="28">P24-MIN(P$20:P$24)</f>
        <v>0</v>
      </c>
      <c r="Q31" s="319">
        <f t="shared" si="28"/>
        <v>0</v>
      </c>
      <c r="R31" s="310">
        <f t="shared" si="16"/>
        <v>0.10341526980061952</v>
      </c>
    </row>
    <row r="33" spans="2:18" ht="13" thickBot="1">
      <c r="R33" s="307" t="s">
        <v>862</v>
      </c>
    </row>
    <row r="34" spans="2:18" ht="13.5" thickBot="1">
      <c r="B34" s="306" t="s">
        <v>863</v>
      </c>
      <c r="C34" s="335">
        <f t="shared" ref="C34:C38" si="29">C20-MIN(C$20:C$24)</f>
        <v>7.6686944044190145E-2</v>
      </c>
      <c r="D34" s="336">
        <f t="shared" ref="D34:M34" si="30">D20-MAX(D$20:D$24)</f>
        <v>0</v>
      </c>
      <c r="E34" s="336">
        <f t="shared" si="30"/>
        <v>-2.3981902138795128E-3</v>
      </c>
      <c r="F34" s="336">
        <f t="shared" si="30"/>
        <v>-1.2218047756923436E-3</v>
      </c>
      <c r="G34" s="336">
        <f t="shared" si="30"/>
        <v>0</v>
      </c>
      <c r="H34" s="336">
        <f t="shared" si="30"/>
        <v>-4.0242533925311741E-2</v>
      </c>
      <c r="I34" s="336">
        <f t="shared" si="30"/>
        <v>-2.5744201266163905E-2</v>
      </c>
      <c r="J34" s="336">
        <f t="shared" si="30"/>
        <v>-9.7166944976434272E-2</v>
      </c>
      <c r="K34" s="336">
        <f t="shared" si="30"/>
        <v>-3.0402218900492058E-2</v>
      </c>
      <c r="L34" s="336">
        <f t="shared" si="30"/>
        <v>-1.5311022441586442E-3</v>
      </c>
      <c r="M34" s="336">
        <f t="shared" si="30"/>
        <v>0</v>
      </c>
      <c r="N34" s="336">
        <f t="shared" ref="N34:O34" si="31">N20-MIN(N$20:N$24)</f>
        <v>1.7353689592365936E-2</v>
      </c>
      <c r="O34" s="336">
        <f t="shared" si="31"/>
        <v>1.2547510716887391E-2</v>
      </c>
      <c r="P34" s="336">
        <f t="shared" ref="P34:Q34" si="32">P20-MAX(P$20:P$24)</f>
        <v>-1.0039309707775765E-2</v>
      </c>
      <c r="Q34" s="337">
        <f t="shared" si="32"/>
        <v>0</v>
      </c>
      <c r="R34" s="308">
        <f t="shared" ref="R34:R38" si="33">SQRT(SUMSQ(C34:Q34))</f>
        <v>0.13819475256639582</v>
      </c>
    </row>
    <row r="35" spans="2:18" ht="12.5">
      <c r="C35" s="338">
        <f t="shared" si="29"/>
        <v>9.3041927419300319E-4</v>
      </c>
      <c r="D35" s="339">
        <f t="shared" ref="D35:M35" si="34">D21-MAX(D$20:D$24)</f>
        <v>-3.8221783946880902E-3</v>
      </c>
      <c r="E35" s="339">
        <f t="shared" si="34"/>
        <v>-2.3981902138795128E-3</v>
      </c>
      <c r="F35" s="339">
        <f t="shared" si="34"/>
        <v>-1.2218047756923436E-3</v>
      </c>
      <c r="G35" s="339">
        <f t="shared" si="34"/>
        <v>-6.518327519274579E-3</v>
      </c>
      <c r="H35" s="339">
        <f t="shared" si="34"/>
        <v>-3.9619486860546498E-2</v>
      </c>
      <c r="I35" s="339">
        <f t="shared" si="34"/>
        <v>-3.1070587735025405E-2</v>
      </c>
      <c r="J35" s="339">
        <f t="shared" si="34"/>
        <v>0</v>
      </c>
      <c r="K35" s="339">
        <f t="shared" si="34"/>
        <v>0</v>
      </c>
      <c r="L35" s="339">
        <f t="shared" si="34"/>
        <v>-2.1386041023248217E-2</v>
      </c>
      <c r="M35" s="339">
        <f t="shared" si="34"/>
        <v>0</v>
      </c>
      <c r="N35" s="339">
        <f t="shared" ref="N35:O35" si="35">N21-MIN(N$20:N$24)</f>
        <v>3.0470142567232674E-3</v>
      </c>
      <c r="O35" s="339">
        <f t="shared" si="35"/>
        <v>8.9625076549195663E-4</v>
      </c>
      <c r="P35" s="339">
        <f t="shared" ref="P35:Q35" si="36">P21-MAX(P$20:P$24)</f>
        <v>-1.1987235471971891E-4</v>
      </c>
      <c r="Q35" s="340">
        <f t="shared" si="36"/>
        <v>-9.2984005087629988E-3</v>
      </c>
      <c r="R35" s="309">
        <f t="shared" si="33"/>
        <v>5.6162421059157412E-2</v>
      </c>
    </row>
    <row r="36" spans="2:18" ht="12.5">
      <c r="C36" s="338">
        <f t="shared" si="29"/>
        <v>2.5978204716529014E-2</v>
      </c>
      <c r="D36" s="339">
        <f t="shared" ref="D36:M36" si="37">D22-MAX(D$20:D$24)</f>
        <v>-5.7332675920321319E-3</v>
      </c>
      <c r="E36" s="339">
        <f t="shared" si="37"/>
        <v>0</v>
      </c>
      <c r="F36" s="339">
        <f t="shared" si="37"/>
        <v>0</v>
      </c>
      <c r="G36" s="339">
        <f t="shared" si="37"/>
        <v>-1.0863879198790959E-2</v>
      </c>
      <c r="H36" s="339">
        <f t="shared" si="37"/>
        <v>0</v>
      </c>
      <c r="I36" s="339">
        <f t="shared" si="37"/>
        <v>0</v>
      </c>
      <c r="J36" s="339">
        <f t="shared" si="37"/>
        <v>-8.6760599158299034E-2</v>
      </c>
      <c r="K36" s="339">
        <f t="shared" si="37"/>
        <v>-2.9565193943853405E-2</v>
      </c>
      <c r="L36" s="339">
        <f t="shared" si="37"/>
        <v>-6.0914820466526423E-4</v>
      </c>
      <c r="M36" s="339">
        <f t="shared" si="37"/>
        <v>0</v>
      </c>
      <c r="N36" s="339">
        <f t="shared" ref="N36:O36" si="38">N22-MIN(N$20:N$24)</f>
        <v>6.8910048572292618E-2</v>
      </c>
      <c r="O36" s="339">
        <f t="shared" si="38"/>
        <v>1.7028764544347177E-2</v>
      </c>
      <c r="P36" s="339">
        <f t="shared" ref="P36:Q36" si="39">P22-MAX(P$20:P$24)</f>
        <v>-3.5062663755515353E-3</v>
      </c>
      <c r="Q36" s="340">
        <f t="shared" si="39"/>
        <v>-2.7271845067601032E-3</v>
      </c>
      <c r="R36" s="309">
        <f t="shared" si="33"/>
        <v>0.11952380400980546</v>
      </c>
    </row>
    <row r="37" spans="2:18" ht="12.5">
      <c r="C37" s="338">
        <f t="shared" si="29"/>
        <v>0</v>
      </c>
      <c r="D37" s="339">
        <f t="shared" ref="D37:M37" si="40">D23-MAX(D$20:D$24)</f>
        <v>-2.3888614966800576E-2</v>
      </c>
      <c r="E37" s="339">
        <f t="shared" si="40"/>
        <v>-1.4389141283277097E-2</v>
      </c>
      <c r="F37" s="339">
        <f t="shared" si="40"/>
        <v>-9.1635358176925946E-3</v>
      </c>
      <c r="G37" s="339">
        <f t="shared" si="40"/>
        <v>0</v>
      </c>
      <c r="H37" s="339">
        <f t="shared" si="40"/>
        <v>-6.1591806424861555E-2</v>
      </c>
      <c r="I37" s="339">
        <f t="shared" si="40"/>
        <v>-3.6396974203886899E-2</v>
      </c>
      <c r="J37" s="339">
        <f t="shared" si="40"/>
        <v>-8.7253207244364611E-2</v>
      </c>
      <c r="K37" s="339">
        <f t="shared" si="40"/>
        <v>-2.9145501321411284E-2</v>
      </c>
      <c r="L37" s="339">
        <f t="shared" si="40"/>
        <v>0</v>
      </c>
      <c r="M37" s="339">
        <f t="shared" si="40"/>
        <v>-5.9153406170984052E-3</v>
      </c>
      <c r="N37" s="339">
        <f t="shared" ref="N37:O37" si="41">N23-MIN(N$20:N$24)</f>
        <v>0</v>
      </c>
      <c r="O37" s="339">
        <f t="shared" si="41"/>
        <v>0</v>
      </c>
      <c r="P37" s="339">
        <f t="shared" ref="P37:Q37" si="42">P23-MAX(P$20:P$24)</f>
        <v>0</v>
      </c>
      <c r="Q37" s="340">
        <f t="shared" si="42"/>
        <v>-1.6207267925888572E-2</v>
      </c>
      <c r="R37" s="309">
        <f t="shared" si="33"/>
        <v>0.1214093211429937</v>
      </c>
    </row>
    <row r="38" spans="2:18" ht="13" thickBot="1">
      <c r="C38" s="341">
        <f t="shared" si="29"/>
        <v>2.078372740337332E-4</v>
      </c>
      <c r="D38" s="342">
        <f t="shared" ref="D38:M38" si="43">D24-MAX(D$20:D$24)</f>
        <v>-2.6755248762816645E-2</v>
      </c>
      <c r="E38" s="342">
        <f t="shared" si="43"/>
        <v>-2.4781298876755009E-2</v>
      </c>
      <c r="F38" s="342">
        <f t="shared" si="43"/>
        <v>-6.1090238784617529E-4</v>
      </c>
      <c r="G38" s="342">
        <f t="shared" si="43"/>
        <v>-1.0863879198790959E-2</v>
      </c>
      <c r="H38" s="342">
        <f t="shared" si="43"/>
        <v>-6.3030018773027011E-2</v>
      </c>
      <c r="I38" s="342">
        <f t="shared" si="43"/>
        <v>-3.7284705282030484E-2</v>
      </c>
      <c r="J38" s="342">
        <f t="shared" si="43"/>
        <v>-8.1588214254610519E-2</v>
      </c>
      <c r="K38" s="342">
        <f t="shared" si="43"/>
        <v>-3.0147558062792765E-2</v>
      </c>
      <c r="L38" s="342">
        <f t="shared" si="43"/>
        <v>-2.5781786175832724E-2</v>
      </c>
      <c r="M38" s="342">
        <f t="shared" si="43"/>
        <v>-9.8589010284973431E-3</v>
      </c>
      <c r="N38" s="342">
        <f t="shared" ref="N38:O38" si="44">N24-MIN(N$20:N$24)</f>
        <v>1.6065938768368524E-3</v>
      </c>
      <c r="O38" s="342">
        <f t="shared" si="44"/>
        <v>3.3161278323202391E-2</v>
      </c>
      <c r="P38" s="342">
        <f t="shared" ref="P38:Q38" si="45">P24-MAX(P$20:P$24)</f>
        <v>-1.4204874034285705E-2</v>
      </c>
      <c r="Q38" s="343">
        <f t="shared" si="45"/>
        <v>-2.3207041493239489E-2</v>
      </c>
      <c r="R38" s="310">
        <f t="shared" si="33"/>
        <v>0.13031245538936698</v>
      </c>
    </row>
    <row r="40" spans="2:18" ht="13" thickBot="1"/>
    <row r="41" spans="2:18" ht="13.5" thickBot="1">
      <c r="E41" s="344"/>
      <c r="F41" s="345" t="s">
        <v>889</v>
      </c>
    </row>
    <row r="42" spans="2:18" ht="13">
      <c r="B42" s="326" t="s">
        <v>888</v>
      </c>
      <c r="C42" s="321" t="s">
        <v>854</v>
      </c>
      <c r="D42" s="329" t="s">
        <v>864</v>
      </c>
      <c r="E42" s="331">
        <v>1</v>
      </c>
      <c r="F42" s="332" t="str">
        <f>VLOOKUP(E42,B43:D47,2,0)</f>
        <v>Ambuja Cement Limited</v>
      </c>
    </row>
    <row r="43" spans="2:18" ht="12.5">
      <c r="B43" s="322">
        <f>_xlfn.RANK.AVG(D43,$D$43:$D$47)</f>
        <v>5</v>
      </c>
      <c r="C43" s="327" t="s">
        <v>149</v>
      </c>
      <c r="D43" s="330">
        <f t="shared" ref="D43:D47" si="46">R27/(R27+R34)</f>
        <v>0.36618319424445611</v>
      </c>
      <c r="E43" s="331">
        <v>2</v>
      </c>
      <c r="F43" s="332" t="str">
        <f>VLOOKUP(E43,B43:D47,2,0)</f>
        <v>Star Cement Limited</v>
      </c>
    </row>
    <row r="44" spans="2:18" ht="13" thickBot="1">
      <c r="B44" s="322">
        <f t="shared" ref="B44:B47" si="47">_xlfn.RANK.AVG(D44,$D$43:$D$47)</f>
        <v>1</v>
      </c>
      <c r="C44" s="327" t="s">
        <v>150</v>
      </c>
      <c r="D44" s="330">
        <f t="shared" si="46"/>
        <v>0.73264943060584187</v>
      </c>
      <c r="E44" s="333">
        <v>3</v>
      </c>
      <c r="F44" s="334" t="str">
        <f>VLOOKUP(E44,B43:D47,2,0)</f>
        <v>UltraTech Cement Limited</v>
      </c>
    </row>
    <row r="45" spans="2:18" ht="12.5">
      <c r="B45" s="322">
        <f t="shared" si="47"/>
        <v>3</v>
      </c>
      <c r="C45" s="327" t="s">
        <v>151</v>
      </c>
      <c r="D45" s="324">
        <f t="shared" si="46"/>
        <v>0.46403028423713816</v>
      </c>
    </row>
    <row r="46" spans="2:18" ht="12.5">
      <c r="B46" s="322">
        <f t="shared" si="47"/>
        <v>2</v>
      </c>
      <c r="C46" s="327" t="s">
        <v>152</v>
      </c>
      <c r="D46" s="324">
        <f t="shared" si="46"/>
        <v>0.48427381726193858</v>
      </c>
    </row>
    <row r="47" spans="2:18" ht="13" thickBot="1">
      <c r="B47" s="323">
        <f t="shared" si="47"/>
        <v>4</v>
      </c>
      <c r="C47" s="328" t="s">
        <v>153</v>
      </c>
      <c r="D47" s="325">
        <f t="shared" si="46"/>
        <v>0.44246043004336783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outlinePr summaryBelow="0" summaryRight="0"/>
  </sheetPr>
  <dimension ref="B1:R47"/>
  <sheetViews>
    <sheetView showGridLines="0" zoomScale="50" zoomScaleNormal="50" workbookViewId="0">
      <selection activeCell="G44" sqref="G44"/>
    </sheetView>
  </sheetViews>
  <sheetFormatPr defaultColWidth="12.54296875" defaultRowHeight="15.75" customHeight="1"/>
  <cols>
    <col min="1" max="1" width="1.54296875" customWidth="1"/>
    <col min="2" max="2" width="26.453125" bestFit="1" customWidth="1"/>
    <col min="3" max="3" width="24.1796875" bestFit="1" customWidth="1"/>
    <col min="4" max="4" width="18.26953125" bestFit="1" customWidth="1"/>
    <col min="5" max="5" width="10.7265625" bestFit="1" customWidth="1"/>
    <col min="6" max="6" width="28.7265625" bestFit="1" customWidth="1"/>
    <col min="7" max="7" width="30.7265625" bestFit="1" customWidth="1"/>
    <col min="8" max="8" width="13.81640625" bestFit="1" customWidth="1"/>
    <col min="9" max="9" width="12.26953125" bestFit="1" customWidth="1"/>
    <col min="10" max="10" width="10.7265625" bestFit="1" customWidth="1"/>
    <col min="11" max="11" width="14.81640625" bestFit="1" customWidth="1"/>
    <col min="12" max="12" width="15.26953125" bestFit="1" customWidth="1"/>
    <col min="13" max="13" width="11.81640625" bestFit="1" customWidth="1"/>
    <col min="14" max="14" width="15.81640625" bestFit="1" customWidth="1"/>
    <col min="15" max="15" width="18" bestFit="1" customWidth="1"/>
    <col min="16" max="17" width="15" bestFit="1" customWidth="1"/>
    <col min="18" max="18" width="18" bestFit="1" customWidth="1"/>
  </cols>
  <sheetData>
    <row r="1" spans="2:17" ht="15" thickBot="1">
      <c r="B1" s="273"/>
      <c r="C1" s="274" t="s">
        <v>852</v>
      </c>
      <c r="D1" s="274" t="s">
        <v>853</v>
      </c>
      <c r="E1" s="274" t="s">
        <v>853</v>
      </c>
      <c r="F1" s="274" t="s">
        <v>853</v>
      </c>
      <c r="G1" s="274" t="s">
        <v>853</v>
      </c>
      <c r="H1" s="274" t="s">
        <v>853</v>
      </c>
      <c r="I1" s="274" t="s">
        <v>853</v>
      </c>
      <c r="J1" s="274" t="s">
        <v>853</v>
      </c>
      <c r="K1" s="274" t="s">
        <v>853</v>
      </c>
      <c r="L1" s="274" t="s">
        <v>853</v>
      </c>
      <c r="M1" s="274" t="s">
        <v>853</v>
      </c>
      <c r="N1" s="274" t="s">
        <v>852</v>
      </c>
      <c r="O1" s="274" t="s">
        <v>852</v>
      </c>
      <c r="P1" s="274" t="s">
        <v>853</v>
      </c>
      <c r="Q1" s="274" t="s">
        <v>853</v>
      </c>
    </row>
    <row r="2" spans="2:17" ht="15" customHeight="1">
      <c r="B2" s="278" t="s">
        <v>106</v>
      </c>
      <c r="C2" s="279" t="s">
        <v>108</v>
      </c>
      <c r="D2" s="279" t="s">
        <v>109</v>
      </c>
      <c r="E2" s="279" t="s">
        <v>110</v>
      </c>
      <c r="F2" s="279" t="s">
        <v>111</v>
      </c>
      <c r="G2" s="279" t="s">
        <v>112</v>
      </c>
      <c r="H2" s="279" t="s">
        <v>113</v>
      </c>
      <c r="I2" s="279" t="s">
        <v>114</v>
      </c>
      <c r="J2" s="279" t="s">
        <v>115</v>
      </c>
      <c r="K2" s="279" t="s">
        <v>116</v>
      </c>
      <c r="L2" s="279" t="s">
        <v>117</v>
      </c>
      <c r="M2" s="279" t="s">
        <v>118</v>
      </c>
      <c r="N2" s="279" t="s">
        <v>119</v>
      </c>
      <c r="O2" s="279" t="s">
        <v>120</v>
      </c>
      <c r="P2" s="279" t="s">
        <v>121</v>
      </c>
      <c r="Q2" s="280" t="s">
        <v>122</v>
      </c>
    </row>
    <row r="3" spans="2:17" ht="14">
      <c r="B3" s="281" t="s">
        <v>123</v>
      </c>
      <c r="C3" s="275">
        <f>INDEX('Company data'!$C$5:$V$64,MATCH($B3,'Company data'!$B$5:$B$64,0),MATCH(C$2,'Company data'!$C$4:$V$4,0))</f>
        <v>1569</v>
      </c>
      <c r="D3" s="275">
        <f>INDEX('Company data'!$C$5:$V$64,MATCH($B3,'Company data'!$B$5:$B$64,0),MATCH(D$2,'Company data'!$C$4:$V$4,0))</f>
        <v>66</v>
      </c>
      <c r="E3" s="275">
        <f>INDEX('Company data'!$C$5:$V$64,MATCH($B3,'Company data'!$B$5:$B$64,0),MATCH(E$2,'Company data'!$C$4:$V$4,0))</f>
        <v>55</v>
      </c>
      <c r="F3" s="275">
        <f>INDEX('Company data'!$C$5:$V$64,MATCH($B3,'Company data'!$B$5:$B$64,0),MATCH(F$2,'Company data'!$C$4:$V$4,0))</f>
        <v>72</v>
      </c>
      <c r="G3" s="276">
        <f>INDEX('Company data'!$C$5:$V$64,MATCH($B3,'Company data'!$B$5:$B$64,0),MATCH(G$2,'Company data'!$C$4:$V$4,0))</f>
        <v>0.1</v>
      </c>
      <c r="H3" s="275">
        <f>INDEX('Company data'!$C$5:$V$64,MATCH($B3,'Company data'!$B$5:$B$64,0),MATCH(H$2,'Company data'!$C$4:$V$4,0))</f>
        <v>195091</v>
      </c>
      <c r="I3" s="276">
        <f>INDEX('Company data'!$C$5:$V$64,MATCH($B3,'Company data'!$B$5:$B$64,0),MATCH(I$2,'Company data'!$C$4:$V$4,0))</f>
        <v>0.2</v>
      </c>
      <c r="J3" s="277">
        <f>INDEX('Company data'!$C$5:$V$64,MATCH($B3,'Company data'!$B$5:$B$64,0),MATCH(J$2,'Company data'!$C$4:$V$4,0))</f>
        <v>1.4342999999999999</v>
      </c>
      <c r="K3" s="275">
        <f>INDEX('Company data'!$C$5:$V$64,MATCH($B3,'Company data'!$B$5:$B$64,0),MATCH(K$2,'Company data'!$C$4:$V$4,0))</f>
        <v>2732605</v>
      </c>
      <c r="L3" s="277">
        <f>INDEX('Company data'!$C$5:$V$64,MATCH($B3,'Company data'!$B$5:$B$64,0),MATCH(L$2,'Company data'!$C$4:$V$4,0))</f>
        <v>0.27589999999999998</v>
      </c>
      <c r="M3" s="275">
        <f>INDEX('Company data'!$C$5:$V$64,MATCH($B3,'Company data'!$B$5:$B$64,0),MATCH(M$2,'Company data'!$C$4:$V$4,0))</f>
        <v>20</v>
      </c>
      <c r="N3" s="275">
        <f>INDEX('Company data'!$C$5:$V$64,MATCH($B3,'Company data'!$B$5:$B$64,0),MATCH(N$2,'Company data'!$C$4:$V$4,0))</f>
        <v>92246.85</v>
      </c>
      <c r="O3" s="275">
        <f>INDEX('Company data'!$C$5:$V$64,MATCH($B3,'Company data'!$B$5:$B$64,0),MATCH(O$2,'Company data'!$C$4:$V$4,0))</f>
        <v>1.64</v>
      </c>
      <c r="P3" s="277">
        <f>INDEX('Company data'!$C$5:$V$64,MATCH($B3,'Company data'!$B$5:$B$64,0),MATCH(P$2,'Company data'!$C$4:$V$4,0))</f>
        <v>18.11</v>
      </c>
      <c r="Q3" s="282">
        <f>INDEX('Company data'!$C$5:$V$64,MATCH($B3,'Company data'!$B$5:$B$64,0),MATCH(Q$2,'Company data'!$C$4:$V$4,0))</f>
        <v>10.93</v>
      </c>
    </row>
    <row r="4" spans="2:17" ht="14">
      <c r="B4" s="281" t="s">
        <v>124</v>
      </c>
      <c r="C4" s="275">
        <f>INDEX('Company data'!$C$5:$V$64,MATCH($B4,'Company data'!$B$5:$B$64,0),MATCH(C$2,'Company data'!$C$4:$V$4,0))</f>
        <v>614</v>
      </c>
      <c r="D4" s="275">
        <f>INDEX('Company data'!$C$5:$V$64,MATCH($B4,'Company data'!$B$5:$B$64,0),MATCH(D$2,'Company data'!$C$4:$V$4,0))</f>
        <v>52</v>
      </c>
      <c r="E4" s="275">
        <f>INDEX('Company data'!$C$5:$V$64,MATCH($B4,'Company data'!$B$5:$B$64,0),MATCH(E$2,'Company data'!$C$4:$V$4,0))</f>
        <v>56</v>
      </c>
      <c r="F4" s="275">
        <f>INDEX('Company data'!$C$5:$V$64,MATCH($B4,'Company data'!$B$5:$B$64,0),MATCH(F$2,'Company data'!$C$4:$V$4,0))</f>
        <v>73</v>
      </c>
      <c r="G4" s="276">
        <f>INDEX('Company data'!$C$5:$V$64,MATCH($B4,'Company data'!$B$5:$B$64,0),MATCH(G$2,'Company data'!$C$4:$V$4,0))</f>
        <v>0.05</v>
      </c>
      <c r="H4" s="275">
        <f>INDEX('Company data'!$C$5:$V$64,MATCH($B4,'Company data'!$B$5:$B$64,0),MATCH(H$2,'Company data'!$C$4:$V$4,0))</f>
        <v>224161</v>
      </c>
      <c r="I4" s="276">
        <f>INDEX('Company data'!$C$5:$V$64,MATCH($B4,'Company data'!$B$5:$B$64,0),MATCH(I$2,'Company data'!$C$4:$V$4,0))</f>
        <v>0.14000000000000001</v>
      </c>
      <c r="J4" s="277">
        <f>INDEX('Company data'!$C$5:$V$64,MATCH($B4,'Company data'!$B$5:$B$64,0),MATCH(J$2,'Company data'!$C$4:$V$4,0))</f>
        <v>0.3085</v>
      </c>
      <c r="K4" s="275">
        <f>INDEX('Company data'!$C$5:$V$64,MATCH($B4,'Company data'!$B$5:$B$64,0),MATCH(K$2,'Company data'!$C$4:$V$4,0))</f>
        <v>13993903</v>
      </c>
      <c r="L4" s="277">
        <f>INDEX('Company data'!$C$5:$V$64,MATCH($B4,'Company data'!$B$5:$B$64,0),MATCH(L$2,'Company data'!$C$4:$V$4,0))</f>
        <v>0.32500000000000001</v>
      </c>
      <c r="M4" s="275">
        <f>INDEX('Company data'!$C$5:$V$64,MATCH($B4,'Company data'!$B$5:$B$64,0),MATCH(M$2,'Company data'!$C$4:$V$4,0))</f>
        <v>18</v>
      </c>
      <c r="N4" s="275">
        <f>INDEX('Company data'!$C$5:$V$64,MATCH($B4,'Company data'!$B$5:$B$64,0),MATCH(N$2,'Company data'!$C$4:$V$4,0))</f>
        <v>134113.44</v>
      </c>
      <c r="O4" s="275">
        <f>INDEX('Company data'!$C$5:$V$64,MATCH($B4,'Company data'!$B$5:$B$64,0),MATCH(O$2,'Company data'!$C$4:$V$4,0))</f>
        <v>2.96</v>
      </c>
      <c r="P4" s="277">
        <f>INDEX('Company data'!$C$5:$V$64,MATCH($B4,'Company data'!$B$5:$B$64,0),MATCH(P$2,'Company data'!$C$4:$V$4,0))</f>
        <v>5.62</v>
      </c>
      <c r="Q4" s="282">
        <f>INDEX('Company data'!$C$5:$V$64,MATCH($B4,'Company data'!$B$5:$B$64,0),MATCH(Q$2,'Company data'!$C$4:$V$4,0))</f>
        <v>6.72</v>
      </c>
    </row>
    <row r="5" spans="2:17" ht="14">
      <c r="B5" s="281" t="s">
        <v>125</v>
      </c>
      <c r="C5" s="275">
        <f>INDEX('Company data'!$C$5:$V$64,MATCH($B5,'Company data'!$B$5:$B$64,0),MATCH(C$2,'Company data'!$C$4:$V$4,0))</f>
        <v>9385</v>
      </c>
      <c r="D5" s="275">
        <f>INDEX('Company data'!$C$5:$V$64,MATCH($B5,'Company data'!$B$5:$B$64,0),MATCH(D$2,'Company data'!$C$4:$V$4,0))</f>
        <v>58</v>
      </c>
      <c r="E5" s="275">
        <f>INDEX('Company data'!$C$5:$V$64,MATCH($B5,'Company data'!$B$5:$B$64,0),MATCH(E$2,'Company data'!$C$4:$V$4,0))</f>
        <v>57</v>
      </c>
      <c r="F5" s="275">
        <f>INDEX('Company data'!$C$5:$V$64,MATCH($B5,'Company data'!$B$5:$B$64,0),MATCH(F$2,'Company data'!$C$4:$V$4,0))</f>
        <v>64</v>
      </c>
      <c r="G5" s="276">
        <f>INDEX('Company data'!$C$5:$V$64,MATCH($B5,'Company data'!$B$5:$B$64,0),MATCH(G$2,'Company data'!$C$4:$V$4,0))</f>
        <v>0.12</v>
      </c>
      <c r="H5" s="275">
        <f>INDEX('Company data'!$C$5:$V$64,MATCH($B5,'Company data'!$B$5:$B$64,0),MATCH(H$2,'Company data'!$C$4:$V$4,0))</f>
        <v>283499</v>
      </c>
      <c r="I5" s="276">
        <f>INDEX('Company data'!$C$5:$V$64,MATCH($B5,'Company data'!$B$5:$B$64,0),MATCH(I$2,'Company data'!$C$4:$V$4,0))</f>
        <v>0.41</v>
      </c>
      <c r="J5" s="277">
        <f>INDEX('Company data'!$C$5:$V$64,MATCH($B5,'Company data'!$B$5:$B$64,0),MATCH(J$2,'Company data'!$C$4:$V$4,0))</f>
        <v>0.27379999999999999</v>
      </c>
      <c r="K5" s="275">
        <f>INDEX('Company data'!$C$5:$V$64,MATCH($B5,'Company data'!$B$5:$B$64,0),MATCH(K$2,'Company data'!$C$4:$V$4,0))</f>
        <v>519204</v>
      </c>
      <c r="L5" s="277">
        <f>INDEX('Company data'!$C$5:$V$64,MATCH($B5,'Company data'!$B$5:$B$64,0),MATCH(L$2,'Company data'!$C$4:$V$4,0))</f>
        <v>0.27129999999999999</v>
      </c>
      <c r="M5" s="275">
        <f>INDEX('Company data'!$C$5:$V$64,MATCH($B5,'Company data'!$B$5:$B$64,0),MATCH(M$2,'Company data'!$C$4:$V$4,0))</f>
        <v>20</v>
      </c>
      <c r="N5" s="275">
        <f>INDEX('Company data'!$C$5:$V$64,MATCH($B5,'Company data'!$B$5:$B$64,0),MATCH(N$2,'Company data'!$C$4:$V$4,0))</f>
        <v>1247.3</v>
      </c>
      <c r="O5" s="275">
        <f>INDEX('Company data'!$C$5:$V$64,MATCH($B5,'Company data'!$B$5:$B$64,0),MATCH(O$2,'Company data'!$C$4:$V$4,0))</f>
        <v>0.02</v>
      </c>
      <c r="P5" s="277">
        <f>INDEX('Company data'!$C$5:$V$64,MATCH($B5,'Company data'!$B$5:$B$64,0),MATCH(P$2,'Company data'!$C$4:$V$4,0))</f>
        <v>11.52</v>
      </c>
      <c r="Q5" s="282">
        <f>INDEX('Company data'!$C$5:$V$64,MATCH($B5,'Company data'!$B$5:$B$64,0),MATCH(Q$2,'Company data'!$C$4:$V$4,0))</f>
        <v>18.57</v>
      </c>
    </row>
    <row r="6" spans="2:17" ht="14">
      <c r="B6" s="281" t="s">
        <v>126</v>
      </c>
      <c r="C6" s="275">
        <f>INDEX('Company data'!$C$5:$V$64,MATCH($B6,'Company data'!$B$5:$B$64,0),MATCH(C$2,'Company data'!$C$4:$V$4,0))</f>
        <v>638</v>
      </c>
      <c r="D6" s="275">
        <f>INDEX('Company data'!$C$5:$V$64,MATCH($B6,'Company data'!$B$5:$B$64,0),MATCH(D$2,'Company data'!$C$4:$V$4,0))</f>
        <v>36</v>
      </c>
      <c r="E6" s="275">
        <f>INDEX('Company data'!$C$5:$V$64,MATCH($B6,'Company data'!$B$5:$B$64,0),MATCH(E$2,'Company data'!$C$4:$V$4,0))</f>
        <v>55</v>
      </c>
      <c r="F6" s="275">
        <f>INDEX('Company data'!$C$5:$V$64,MATCH($B6,'Company data'!$B$5:$B$64,0),MATCH(F$2,'Company data'!$C$4:$V$4,0))</f>
        <v>72</v>
      </c>
      <c r="G6" s="276">
        <f>INDEX('Company data'!$C$5:$V$64,MATCH($B6,'Company data'!$B$5:$B$64,0),MATCH(G$2,'Company data'!$C$4:$V$4,0))</f>
        <v>0.15</v>
      </c>
      <c r="H6" s="275">
        <f>INDEX('Company data'!$C$5:$V$64,MATCH($B6,'Company data'!$B$5:$B$64,0),MATCH(H$2,'Company data'!$C$4:$V$4,0))</f>
        <v>16395</v>
      </c>
      <c r="I6" s="276">
        <f>INDEX('Company data'!$C$5:$V$64,MATCH($B6,'Company data'!$B$5:$B$64,0),MATCH(I$2,'Company data'!$C$4:$V$4,0))</f>
        <v>0.1</v>
      </c>
      <c r="J6" s="277">
        <f>INDEX('Company data'!$C$5:$V$64,MATCH($B6,'Company data'!$B$5:$B$64,0),MATCH(J$2,'Company data'!$C$4:$V$4,0))</f>
        <v>-0.3236</v>
      </c>
      <c r="K6" s="275">
        <f>INDEX('Company data'!$C$5:$V$64,MATCH($B6,'Company data'!$B$5:$B$64,0),MATCH(K$2,'Company data'!$C$4:$V$4,0))</f>
        <v>673128</v>
      </c>
      <c r="L6" s="277">
        <f>INDEX('Company data'!$C$5:$V$64,MATCH($B6,'Company data'!$B$5:$B$64,0),MATCH(L$2,'Company data'!$C$4:$V$4,0))</f>
        <v>0.25390000000000001</v>
      </c>
      <c r="M6" s="275">
        <f>INDEX('Company data'!$C$5:$V$64,MATCH($B6,'Company data'!$B$5:$B$64,0),MATCH(M$2,'Company data'!$C$4:$V$4,0))</f>
        <v>19</v>
      </c>
      <c r="N6" s="275">
        <f>INDEX('Company data'!$C$5:$V$64,MATCH($B6,'Company data'!$B$5:$B$64,0),MATCH(N$2,'Company data'!$C$4:$V$4,0))</f>
        <v>3383.37</v>
      </c>
      <c r="O6" s="275">
        <f>INDEX('Company data'!$C$5:$V$64,MATCH($B6,'Company data'!$B$5:$B$64,0),MATCH(O$2,'Company data'!$C$4:$V$4,0))</f>
        <v>0.9</v>
      </c>
      <c r="P6" s="277">
        <f>INDEX('Company data'!$C$5:$V$64,MATCH($B6,'Company data'!$B$5:$B$64,0),MATCH(P$2,'Company data'!$C$4:$V$4,0))</f>
        <v>4.74</v>
      </c>
      <c r="Q6" s="282">
        <f>INDEX('Company data'!$C$5:$V$64,MATCH($B6,'Company data'!$B$5:$B$64,0),MATCH(Q$2,'Company data'!$C$4:$V$4,0))</f>
        <v>20.85</v>
      </c>
    </row>
    <row r="7" spans="2:17" ht="14.5" thickBot="1">
      <c r="B7" s="283" t="s">
        <v>127</v>
      </c>
      <c r="C7" s="284">
        <f>INDEX('Company data'!$C$5:$V$64,MATCH($B7,'Company data'!$B$5:$B$64,0),MATCH(C$2,'Company data'!$C$4:$V$4,0))</f>
        <v>3489</v>
      </c>
      <c r="D7" s="284">
        <f>INDEX('Company data'!$C$5:$V$64,MATCH($B7,'Company data'!$B$5:$B$64,0),MATCH(D$2,'Company data'!$C$4:$V$4,0))</f>
        <v>44</v>
      </c>
      <c r="E7" s="284">
        <f>INDEX('Company data'!$C$5:$V$64,MATCH($B7,'Company data'!$B$5:$B$64,0),MATCH(E$2,'Company data'!$C$4:$V$4,0))</f>
        <v>61</v>
      </c>
      <c r="F7" s="284">
        <f>INDEX('Company data'!$C$5:$V$64,MATCH($B7,'Company data'!$B$5:$B$64,0),MATCH(F$2,'Company data'!$C$4:$V$4,0))</f>
        <v>58</v>
      </c>
      <c r="G7" s="285">
        <f>INDEX('Company data'!$C$5:$V$64,MATCH($B7,'Company data'!$B$5:$B$64,0),MATCH(G$2,'Company data'!$C$4:$V$4,0))</f>
        <v>0.1</v>
      </c>
      <c r="H7" s="284">
        <f>INDEX('Company data'!$C$5:$V$64,MATCH($B7,'Company data'!$B$5:$B$64,0),MATCH(H$2,'Company data'!$C$4:$V$4,0))</f>
        <v>4598</v>
      </c>
      <c r="I7" s="285">
        <f>INDEX('Company data'!$C$5:$V$64,MATCH($B7,'Company data'!$B$5:$B$64,0),MATCH(I$2,'Company data'!$C$4:$V$4,0))</f>
        <v>0.05</v>
      </c>
      <c r="J7" s="286">
        <f>INDEX('Company data'!$C$5:$V$64,MATCH($B7,'Company data'!$B$5:$B$64,0),MATCH(J$2,'Company data'!$C$4:$V$4,0))</f>
        <v>-0.26950000000000002</v>
      </c>
      <c r="K7" s="284">
        <f>INDEX('Company data'!$C$5:$V$64,MATCH($B7,'Company data'!$B$5:$B$64,0),MATCH(K$2,'Company data'!$C$4:$V$4,0))</f>
        <v>88262</v>
      </c>
      <c r="L7" s="286">
        <f>INDEX('Company data'!$C$5:$V$64,MATCH($B7,'Company data'!$B$5:$B$64,0),MATCH(L$2,'Company data'!$C$4:$V$4,0))</f>
        <v>0.55430000000000001</v>
      </c>
      <c r="M7" s="284">
        <f>INDEX('Company data'!$C$5:$V$64,MATCH($B7,'Company data'!$B$5:$B$64,0),MATCH(M$2,'Company data'!$C$4:$V$4,0))</f>
        <v>18</v>
      </c>
      <c r="N7" s="284">
        <f>INDEX('Company data'!$C$5:$V$64,MATCH($B7,'Company data'!$B$5:$B$64,0),MATCH(N$2,'Company data'!$C$4:$V$4,0))</f>
        <v>954.76</v>
      </c>
      <c r="O7" s="284">
        <f>INDEX('Company data'!$C$5:$V$64,MATCH($B7,'Company data'!$B$5:$B$64,0),MATCH(O$2,'Company data'!$C$4:$V$4,0))</f>
        <v>0.51</v>
      </c>
      <c r="P7" s="286">
        <f>INDEX('Company data'!$C$5:$V$64,MATCH($B7,'Company data'!$B$5:$B$64,0),MATCH(P$2,'Company data'!$C$4:$V$4,0))</f>
        <v>1.74</v>
      </c>
      <c r="Q7" s="287">
        <f>INDEX('Company data'!$C$5:$V$64,MATCH($B7,'Company data'!$B$5:$B$64,0),MATCH(Q$2,'Company data'!$C$4:$V$4,0))</f>
        <v>10.52</v>
      </c>
    </row>
    <row r="8" spans="2:17" ht="13" thickBot="1"/>
    <row r="9" spans="2:17" ht="15" customHeight="1" thickBot="1">
      <c r="B9" s="288" t="s">
        <v>855</v>
      </c>
      <c r="C9" s="289">
        <f>Dashboard!C18</f>
        <v>8</v>
      </c>
      <c r="D9" s="289">
        <f>Dashboard!C19</f>
        <v>9</v>
      </c>
      <c r="E9" s="289">
        <f>Dashboard!C20</f>
        <v>9</v>
      </c>
      <c r="F9" s="289">
        <f>Dashboard!C21</f>
        <v>9</v>
      </c>
      <c r="G9" s="289">
        <f>Dashboard!C22</f>
        <v>6</v>
      </c>
      <c r="H9" s="289">
        <f>Dashboard!C23</f>
        <v>7</v>
      </c>
      <c r="I9" s="289">
        <f>Dashboard!C24</f>
        <v>4</v>
      </c>
      <c r="J9" s="289">
        <f>Dashboard!C25</f>
        <v>8</v>
      </c>
      <c r="K9" s="289">
        <f>Dashboard!C26</f>
        <v>3</v>
      </c>
      <c r="L9" s="289">
        <f>Dashboard!C27</f>
        <v>5</v>
      </c>
      <c r="M9" s="289">
        <f>Dashboard!C28</f>
        <v>8</v>
      </c>
      <c r="N9" s="289">
        <f>Dashboard!C29</f>
        <v>7</v>
      </c>
      <c r="O9" s="289">
        <f>Dashboard!C30</f>
        <v>4</v>
      </c>
      <c r="P9" s="289">
        <f>Dashboard!C31</f>
        <v>6</v>
      </c>
      <c r="Q9" s="290">
        <f>Dashboard!C32</f>
        <v>5</v>
      </c>
    </row>
    <row r="10" spans="2:17" ht="15" customHeight="1" thickBot="1">
      <c r="B10" s="293" t="s">
        <v>856</v>
      </c>
      <c r="C10" s="291">
        <f t="shared" ref="C10:Q10" si="0">C9/SUM($C$9:$Q$9)</f>
        <v>8.1632653061224483E-2</v>
      </c>
      <c r="D10" s="291">
        <f t="shared" si="0"/>
        <v>9.1836734693877556E-2</v>
      </c>
      <c r="E10" s="291">
        <f t="shared" si="0"/>
        <v>9.1836734693877556E-2</v>
      </c>
      <c r="F10" s="291">
        <f t="shared" si="0"/>
        <v>9.1836734693877556E-2</v>
      </c>
      <c r="G10" s="291">
        <f t="shared" si="0"/>
        <v>6.1224489795918366E-2</v>
      </c>
      <c r="H10" s="291">
        <f t="shared" si="0"/>
        <v>7.1428571428571425E-2</v>
      </c>
      <c r="I10" s="291">
        <f t="shared" si="0"/>
        <v>4.0816326530612242E-2</v>
      </c>
      <c r="J10" s="291">
        <f t="shared" si="0"/>
        <v>8.1632653061224483E-2</v>
      </c>
      <c r="K10" s="291">
        <f t="shared" si="0"/>
        <v>3.0612244897959183E-2</v>
      </c>
      <c r="L10" s="291">
        <f t="shared" si="0"/>
        <v>5.1020408163265307E-2</v>
      </c>
      <c r="M10" s="291">
        <f t="shared" si="0"/>
        <v>8.1632653061224483E-2</v>
      </c>
      <c r="N10" s="291">
        <f t="shared" si="0"/>
        <v>7.1428571428571425E-2</v>
      </c>
      <c r="O10" s="291">
        <f t="shared" si="0"/>
        <v>4.0816326530612242E-2</v>
      </c>
      <c r="P10" s="291">
        <f t="shared" si="0"/>
        <v>6.1224489795918366E-2</v>
      </c>
      <c r="Q10" s="292">
        <f t="shared" si="0"/>
        <v>5.1020408163265307E-2</v>
      </c>
    </row>
    <row r="11" spans="2:17" ht="13" thickBot="1"/>
    <row r="12" spans="2:17" ht="15" customHeight="1" thickBot="1">
      <c r="B12" s="296" t="s">
        <v>857</v>
      </c>
      <c r="C12" s="294">
        <f t="shared" ref="C12:Q12" si="1">SQRT(SUMSQ(C3:C7))</f>
        <v>10173.354756421306</v>
      </c>
      <c r="D12" s="294">
        <f t="shared" si="1"/>
        <v>116.85888926393234</v>
      </c>
      <c r="E12" s="294">
        <f t="shared" si="1"/>
        <v>127.10625476348518</v>
      </c>
      <c r="F12" s="294">
        <f t="shared" si="1"/>
        <v>152.17424223566877</v>
      </c>
      <c r="G12" s="294">
        <f t="shared" si="1"/>
        <v>0.2437211521390788</v>
      </c>
      <c r="H12" s="294">
        <f t="shared" si="1"/>
        <v>411059.93824745313</v>
      </c>
      <c r="I12" s="294">
        <f t="shared" si="1"/>
        <v>0.49010203019371384</v>
      </c>
      <c r="J12" s="294">
        <f t="shared" si="1"/>
        <v>1.5507102856433241</v>
      </c>
      <c r="K12" s="294">
        <f t="shared" si="1"/>
        <v>14283799.058306511</v>
      </c>
      <c r="L12" s="294">
        <f t="shared" si="1"/>
        <v>0.79187322217637846</v>
      </c>
      <c r="M12" s="294">
        <f t="shared" si="1"/>
        <v>42.532340636273474</v>
      </c>
      <c r="N12" s="294">
        <f t="shared" si="1"/>
        <v>162818.33631400552</v>
      </c>
      <c r="O12" s="294">
        <f t="shared" si="1"/>
        <v>3.538601418639856</v>
      </c>
      <c r="P12" s="294">
        <f t="shared" si="1"/>
        <v>22.754386390320438</v>
      </c>
      <c r="Q12" s="295">
        <f t="shared" si="1"/>
        <v>32.478625278789124</v>
      </c>
    </row>
    <row r="13" spans="2:17" ht="13" thickBot="1"/>
    <row r="14" spans="2:17" ht="15" customHeight="1" thickBot="1">
      <c r="B14" s="296" t="s">
        <v>858</v>
      </c>
      <c r="C14" s="311">
        <f t="shared" ref="C14:Q14" si="2">C3/C$12</f>
        <v>0.15422641179495536</v>
      </c>
      <c r="D14" s="312">
        <f t="shared" si="2"/>
        <v>0.56478373545837246</v>
      </c>
      <c r="E14" s="312">
        <f t="shared" si="2"/>
        <v>0.4327088395637339</v>
      </c>
      <c r="F14" s="312">
        <f t="shared" si="2"/>
        <v>0.47314183361265072</v>
      </c>
      <c r="G14" s="312">
        <f t="shared" si="2"/>
        <v>0.41030496993110915</v>
      </c>
      <c r="H14" s="312">
        <f t="shared" si="2"/>
        <v>0.474604751880631</v>
      </c>
      <c r="I14" s="312">
        <f t="shared" si="2"/>
        <v>0.40807829325038625</v>
      </c>
      <c r="J14" s="312">
        <f t="shared" si="2"/>
        <v>0.92493099019135572</v>
      </c>
      <c r="K14" s="312">
        <f t="shared" si="2"/>
        <v>0.19130799788246097</v>
      </c>
      <c r="L14" s="312">
        <f t="shared" si="2"/>
        <v>0.34841435759340172</v>
      </c>
      <c r="M14" s="312">
        <f t="shared" si="2"/>
        <v>0.47023041057239884</v>
      </c>
      <c r="N14" s="312">
        <f t="shared" si="2"/>
        <v>0.56656303023571064</v>
      </c>
      <c r="O14" s="312">
        <f t="shared" si="2"/>
        <v>0.46345993967028143</v>
      </c>
      <c r="P14" s="312">
        <f t="shared" si="2"/>
        <v>0.79589050169702102</v>
      </c>
      <c r="Q14" s="313">
        <f t="shared" si="2"/>
        <v>0.33652902196996853</v>
      </c>
    </row>
    <row r="15" spans="2:17" ht="15" customHeight="1">
      <c r="C15" s="314">
        <f t="shared" ref="C15:Q15" si="3">C4/C$12</f>
        <v>6.0353739223774752E-2</v>
      </c>
      <c r="D15" s="315">
        <f t="shared" si="3"/>
        <v>0.44498112490659647</v>
      </c>
      <c r="E15" s="315">
        <f t="shared" si="3"/>
        <v>0.44057627301034724</v>
      </c>
      <c r="F15" s="315">
        <f t="shared" si="3"/>
        <v>0.479713247968382</v>
      </c>
      <c r="G15" s="315">
        <f t="shared" si="3"/>
        <v>0.20515248496555458</v>
      </c>
      <c r="H15" s="315">
        <f t="shared" si="3"/>
        <v>0.54532436548233454</v>
      </c>
      <c r="I15" s="315">
        <f t="shared" si="3"/>
        <v>0.28565480527527037</v>
      </c>
      <c r="J15" s="315">
        <f t="shared" si="3"/>
        <v>0.198941093546701</v>
      </c>
      <c r="K15" s="315">
        <f t="shared" si="3"/>
        <v>0.97970455499106679</v>
      </c>
      <c r="L15" s="315">
        <f t="shared" si="3"/>
        <v>0.41041923239527212</v>
      </c>
      <c r="M15" s="315">
        <f t="shared" si="3"/>
        <v>0.42320736951515897</v>
      </c>
      <c r="N15" s="315">
        <f t="shared" si="3"/>
        <v>0.82369985491900433</v>
      </c>
      <c r="O15" s="315">
        <f t="shared" si="3"/>
        <v>0.83648867160002016</v>
      </c>
      <c r="P15" s="315">
        <f t="shared" si="3"/>
        <v>0.24698534619200763</v>
      </c>
      <c r="Q15" s="316">
        <f t="shared" si="3"/>
        <v>0.20690530902453691</v>
      </c>
    </row>
    <row r="16" spans="2:17" ht="15" customHeight="1">
      <c r="C16" s="314">
        <f t="shared" ref="C16:Q16" si="4">C5/C$12</f>
        <v>0.92250788699531927</v>
      </c>
      <c r="D16" s="315">
        <f t="shared" si="4"/>
        <v>0.49632510085735759</v>
      </c>
      <c r="E16" s="315">
        <f t="shared" si="4"/>
        <v>0.44844370645696063</v>
      </c>
      <c r="F16" s="315">
        <f t="shared" si="4"/>
        <v>0.42057051876680063</v>
      </c>
      <c r="G16" s="315">
        <f t="shared" si="4"/>
        <v>0.49236596391733095</v>
      </c>
      <c r="H16" s="315">
        <f t="shared" si="4"/>
        <v>0.68967800951046954</v>
      </c>
      <c r="I16" s="315">
        <f t="shared" si="4"/>
        <v>0.83656050116329173</v>
      </c>
      <c r="J16" s="315">
        <f t="shared" si="4"/>
        <v>0.17656425093383057</v>
      </c>
      <c r="K16" s="315">
        <f t="shared" si="4"/>
        <v>3.6349153182609728E-2</v>
      </c>
      <c r="L16" s="315">
        <f t="shared" si="4"/>
        <v>0.3426053469194994</v>
      </c>
      <c r="M16" s="315">
        <f t="shared" si="4"/>
        <v>0.47023041057239884</v>
      </c>
      <c r="N16" s="315">
        <f t="shared" si="4"/>
        <v>7.6606850815285482E-3</v>
      </c>
      <c r="O16" s="315">
        <f t="shared" si="4"/>
        <v>5.6519504837839202E-3</v>
      </c>
      <c r="P16" s="315">
        <f t="shared" si="4"/>
        <v>0.50627601212311879</v>
      </c>
      <c r="Q16" s="316">
        <f t="shared" si="4"/>
        <v>0.5717606530633409</v>
      </c>
    </row>
    <row r="17" spans="2:18" ht="15" customHeight="1">
      <c r="C17" s="314">
        <f t="shared" ref="C17:Q17" si="5">C6/C$12</f>
        <v>6.2712843037081911E-2</v>
      </c>
      <c r="D17" s="315">
        <f t="shared" si="5"/>
        <v>0.30806385570456679</v>
      </c>
      <c r="E17" s="315">
        <f t="shared" si="5"/>
        <v>0.4327088395637339</v>
      </c>
      <c r="F17" s="315">
        <f t="shared" si="5"/>
        <v>0.47314183361265072</v>
      </c>
      <c r="G17" s="315">
        <f t="shared" si="5"/>
        <v>0.6154574548966637</v>
      </c>
      <c r="H17" s="315">
        <f t="shared" si="5"/>
        <v>3.9884694358442704E-2</v>
      </c>
      <c r="I17" s="315">
        <f t="shared" si="5"/>
        <v>0.20403914662519312</v>
      </c>
      <c r="J17" s="315">
        <f t="shared" si="5"/>
        <v>-0.20867856684509709</v>
      </c>
      <c r="K17" s="315">
        <f t="shared" si="5"/>
        <v>4.7125277893667467E-2</v>
      </c>
      <c r="L17" s="315">
        <f t="shared" si="5"/>
        <v>0.32063213263126028</v>
      </c>
      <c r="M17" s="315">
        <f t="shared" si="5"/>
        <v>0.4467188900437789</v>
      </c>
      <c r="N17" s="315">
        <f t="shared" si="5"/>
        <v>2.0780030533385108E-2</v>
      </c>
      <c r="O17" s="315">
        <f t="shared" si="5"/>
        <v>0.25433777177027639</v>
      </c>
      <c r="P17" s="315">
        <f t="shared" si="5"/>
        <v>0.20831148415482495</v>
      </c>
      <c r="Q17" s="316">
        <f t="shared" si="5"/>
        <v>0.64196066862523737</v>
      </c>
    </row>
    <row r="18" spans="2:18" ht="15" customHeight="1" thickBot="1">
      <c r="C18" s="317">
        <f t="shared" ref="C18:Q18" si="6">C7/C$12</f>
        <v>0.34295471685952789</v>
      </c>
      <c r="D18" s="318">
        <f t="shared" si="6"/>
        <v>0.3765224903055816</v>
      </c>
      <c r="E18" s="318">
        <f t="shared" si="6"/>
        <v>0.47991344024341398</v>
      </c>
      <c r="F18" s="318">
        <f t="shared" si="6"/>
        <v>0.38114203263241309</v>
      </c>
      <c r="G18" s="318">
        <f t="shared" si="6"/>
        <v>0.41030496993110915</v>
      </c>
      <c r="H18" s="318">
        <f t="shared" si="6"/>
        <v>1.118571666118448E-2</v>
      </c>
      <c r="I18" s="318">
        <f t="shared" si="6"/>
        <v>0.10201957331259656</v>
      </c>
      <c r="J18" s="318">
        <f t="shared" si="6"/>
        <v>-0.17379132807402245</v>
      </c>
      <c r="K18" s="318">
        <f t="shared" si="6"/>
        <v>6.1791684158895152E-3</v>
      </c>
      <c r="L18" s="318">
        <f t="shared" si="6"/>
        <v>0.69998578620522867</v>
      </c>
      <c r="M18" s="318">
        <f t="shared" si="6"/>
        <v>0.42320736951515897</v>
      </c>
      <c r="N18" s="318">
        <f t="shared" si="6"/>
        <v>5.8639587015475005E-3</v>
      </c>
      <c r="O18" s="318">
        <f t="shared" si="6"/>
        <v>0.14412473733648998</v>
      </c>
      <c r="P18" s="318">
        <f t="shared" si="6"/>
        <v>7.6468772664429405E-2</v>
      </c>
      <c r="Q18" s="319">
        <f t="shared" si="6"/>
        <v>0.32390533496103097</v>
      </c>
    </row>
    <row r="19" spans="2:18" ht="13" thickBot="1"/>
    <row r="20" spans="2:18" ht="15" customHeight="1" thickBot="1">
      <c r="B20" s="320" t="s">
        <v>859</v>
      </c>
      <c r="C20" s="297">
        <f t="shared" ref="C20:Q20" si="7">C$10*C14</f>
        <v>1.2589911166935131E-2</v>
      </c>
      <c r="D20" s="298">
        <f t="shared" si="7"/>
        <v>5.1867894072707678E-2</v>
      </c>
      <c r="E20" s="298">
        <f t="shared" si="7"/>
        <v>3.9738566898710262E-2</v>
      </c>
      <c r="F20" s="298">
        <f t="shared" si="7"/>
        <v>4.3451801046059765E-2</v>
      </c>
      <c r="G20" s="298">
        <f t="shared" si="7"/>
        <v>2.5120712444761783E-2</v>
      </c>
      <c r="H20" s="298">
        <f t="shared" si="7"/>
        <v>3.390033942004507E-2</v>
      </c>
      <c r="I20" s="298">
        <f t="shared" si="7"/>
        <v>1.6656256867362704E-2</v>
      </c>
      <c r="J20" s="298">
        <f t="shared" si="7"/>
        <v>7.5504570627865766E-2</v>
      </c>
      <c r="K20" s="298">
        <f t="shared" si="7"/>
        <v>5.856367282116152E-3</v>
      </c>
      <c r="L20" s="298">
        <f t="shared" si="7"/>
        <v>1.7776242734357232E-2</v>
      </c>
      <c r="M20" s="298">
        <f t="shared" si="7"/>
        <v>3.8386155965093781E-2</v>
      </c>
      <c r="N20" s="298">
        <f t="shared" si="7"/>
        <v>4.0468787873979332E-2</v>
      </c>
      <c r="O20" s="298">
        <f t="shared" si="7"/>
        <v>1.8916732231440057E-2</v>
      </c>
      <c r="P20" s="298">
        <f t="shared" si="7"/>
        <v>4.8727989899817616E-2</v>
      </c>
      <c r="Q20" s="299">
        <f t="shared" si="7"/>
        <v>1.7169848059692273E-2</v>
      </c>
    </row>
    <row r="21" spans="2:18" ht="12.5">
      <c r="C21" s="300">
        <f t="shared" ref="C21:Q21" si="8">C$10*C15</f>
        <v>4.9268358550020198E-3</v>
      </c>
      <c r="D21" s="301">
        <f t="shared" si="8"/>
        <v>4.0865613511830289E-2</v>
      </c>
      <c r="E21" s="301">
        <f t="shared" si="8"/>
        <v>4.0461086296868627E-2</v>
      </c>
      <c r="F21" s="301">
        <f t="shared" si="8"/>
        <v>4.4055298282810594E-2</v>
      </c>
      <c r="G21" s="301">
        <f t="shared" si="8"/>
        <v>1.2560356222380891E-2</v>
      </c>
      <c r="H21" s="301">
        <f t="shared" si="8"/>
        <v>3.8951740391595324E-2</v>
      </c>
      <c r="I21" s="301">
        <f t="shared" si="8"/>
        <v>1.1659379807153892E-2</v>
      </c>
      <c r="J21" s="301">
        <f t="shared" si="8"/>
        <v>1.6240089269118449E-2</v>
      </c>
      <c r="K21" s="301">
        <f t="shared" si="8"/>
        <v>2.9990955765032655E-2</v>
      </c>
      <c r="L21" s="301">
        <f t="shared" si="8"/>
        <v>2.0939756754860823E-2</v>
      </c>
      <c r="M21" s="301">
        <f t="shared" si="8"/>
        <v>3.4547540368584401E-2</v>
      </c>
      <c r="N21" s="301">
        <f t="shared" si="8"/>
        <v>5.8835703922786017E-2</v>
      </c>
      <c r="O21" s="301">
        <f t="shared" si="8"/>
        <v>3.4142394759184493E-2</v>
      </c>
      <c r="P21" s="301">
        <f t="shared" si="8"/>
        <v>1.5121551807673935E-2</v>
      </c>
      <c r="Q21" s="302">
        <f t="shared" si="8"/>
        <v>1.0556393317578414E-2</v>
      </c>
    </row>
    <row r="22" spans="2:18" ht="12.5">
      <c r="C22" s="300">
        <f t="shared" ref="C22:Q22" si="9">C$10*C16</f>
        <v>7.5306766285332186E-2</v>
      </c>
      <c r="D22" s="301">
        <f t="shared" si="9"/>
        <v>4.5580876609349168E-2</v>
      </c>
      <c r="E22" s="301">
        <f t="shared" si="9"/>
        <v>4.1183605695026999E-2</v>
      </c>
      <c r="F22" s="301">
        <f t="shared" si="9"/>
        <v>3.8623823152053122E-2</v>
      </c>
      <c r="G22" s="301">
        <f t="shared" si="9"/>
        <v>3.0144854933714139E-2</v>
      </c>
      <c r="H22" s="301">
        <f t="shared" si="9"/>
        <v>4.9262714965033538E-2</v>
      </c>
      <c r="I22" s="301">
        <f t="shared" si="9"/>
        <v>3.4145326578093535E-2</v>
      </c>
      <c r="J22" s="301">
        <f t="shared" si="9"/>
        <v>1.4413408239496371E-2</v>
      </c>
      <c r="K22" s="301">
        <f t="shared" si="9"/>
        <v>1.1127291790594815E-3</v>
      </c>
      <c r="L22" s="301">
        <f t="shared" si="9"/>
        <v>1.7479864638749971E-2</v>
      </c>
      <c r="M22" s="301">
        <f t="shared" si="9"/>
        <v>3.8386155965093781E-2</v>
      </c>
      <c r="N22" s="301">
        <f t="shared" si="9"/>
        <v>5.4719179153775346E-4</v>
      </c>
      <c r="O22" s="301">
        <f t="shared" si="9"/>
        <v>2.3069185648097633E-4</v>
      </c>
      <c r="P22" s="301">
        <f t="shared" si="9"/>
        <v>3.099649053815013E-2</v>
      </c>
      <c r="Q22" s="302">
        <f t="shared" si="9"/>
        <v>2.917146189098678E-2</v>
      </c>
    </row>
    <row r="23" spans="2:18" ht="12.5">
      <c r="C23" s="300">
        <f t="shared" ref="C23:Q23" si="10">C$10*C17</f>
        <v>5.1194157581291354E-3</v>
      </c>
      <c r="D23" s="301">
        <f t="shared" si="10"/>
        <v>2.8291578585113279E-2</v>
      </c>
      <c r="E23" s="301">
        <f t="shared" si="10"/>
        <v>3.9738566898710262E-2</v>
      </c>
      <c r="F23" s="301">
        <f t="shared" si="10"/>
        <v>4.3451801046059765E-2</v>
      </c>
      <c r="G23" s="301">
        <f t="shared" si="10"/>
        <v>3.7681068667142673E-2</v>
      </c>
      <c r="H23" s="301">
        <f t="shared" si="10"/>
        <v>2.8489067398887644E-3</v>
      </c>
      <c r="I23" s="301">
        <f t="shared" si="10"/>
        <v>8.3281284336813519E-3</v>
      </c>
      <c r="J23" s="301">
        <f t="shared" si="10"/>
        <v>-1.7034985048579351E-2</v>
      </c>
      <c r="K23" s="301">
        <f t="shared" si="10"/>
        <v>1.4426105477653305E-3</v>
      </c>
      <c r="L23" s="301">
        <f t="shared" si="10"/>
        <v>1.6358782277105115E-2</v>
      </c>
      <c r="M23" s="301">
        <f t="shared" si="10"/>
        <v>3.6466848166839094E-2</v>
      </c>
      <c r="N23" s="301">
        <f t="shared" si="10"/>
        <v>1.4842878952417934E-3</v>
      </c>
      <c r="O23" s="301">
        <f t="shared" si="10"/>
        <v>1.0381133541643934E-2</v>
      </c>
      <c r="P23" s="301">
        <f t="shared" si="10"/>
        <v>1.2753764336009691E-2</v>
      </c>
      <c r="Q23" s="302">
        <f t="shared" si="10"/>
        <v>3.2753095338022314E-2</v>
      </c>
    </row>
    <row r="24" spans="2:18" ht="13" thickBot="1">
      <c r="C24" s="303">
        <f t="shared" ref="C24:Q24" si="11">C$10*C18</f>
        <v>2.7996303417104317E-2</v>
      </c>
      <c r="D24" s="304">
        <f t="shared" si="11"/>
        <v>3.4578596048471778E-2</v>
      </c>
      <c r="E24" s="304">
        <f t="shared" si="11"/>
        <v>4.4073683287660467E-2</v>
      </c>
      <c r="F24" s="304">
        <f t="shared" si="11"/>
        <v>3.5002839731548142E-2</v>
      </c>
      <c r="G24" s="304">
        <f t="shared" si="11"/>
        <v>2.5120712444761783E-2</v>
      </c>
      <c r="H24" s="304">
        <f t="shared" si="11"/>
        <v>7.9897976151317718E-4</v>
      </c>
      <c r="I24" s="304">
        <f t="shared" si="11"/>
        <v>4.1640642168406759E-3</v>
      </c>
      <c r="J24" s="304">
        <f t="shared" si="11"/>
        <v>-1.4187047189716117E-2</v>
      </c>
      <c r="K24" s="304">
        <f t="shared" si="11"/>
        <v>1.8915821681294434E-4</v>
      </c>
      <c r="L24" s="304">
        <f t="shared" si="11"/>
        <v>3.5713560520674932E-2</v>
      </c>
      <c r="M24" s="304">
        <f t="shared" si="11"/>
        <v>3.4547540368584401E-2</v>
      </c>
      <c r="N24" s="304">
        <f t="shared" si="11"/>
        <v>4.1885419296767859E-4</v>
      </c>
      <c r="O24" s="304">
        <f t="shared" si="11"/>
        <v>5.8826423402648965E-3</v>
      </c>
      <c r="P24" s="304">
        <f t="shared" si="11"/>
        <v>4.6817615916997591E-3</v>
      </c>
      <c r="Q24" s="305">
        <f t="shared" si="11"/>
        <v>1.6525782395970967E-2</v>
      </c>
    </row>
    <row r="26" spans="2:18" ht="13" thickBot="1">
      <c r="R26" s="307" t="s">
        <v>860</v>
      </c>
    </row>
    <row r="27" spans="2:18" ht="13.5" thickBot="1">
      <c r="B27" s="293" t="s">
        <v>861</v>
      </c>
      <c r="C27" s="311">
        <f t="shared" ref="C27:C31" si="12">C20-MAX($C$20:$C$24)</f>
        <v>-6.2716855118397058E-2</v>
      </c>
      <c r="D27" s="312">
        <f t="shared" ref="D27:M27" si="13">D20-MIN(D$20:D$24)</f>
        <v>2.3576315487594399E-2</v>
      </c>
      <c r="E27" s="312">
        <f t="shared" si="13"/>
        <v>0</v>
      </c>
      <c r="F27" s="312">
        <f t="shared" si="13"/>
        <v>8.448961314511623E-3</v>
      </c>
      <c r="G27" s="312">
        <f t="shared" si="13"/>
        <v>1.2560356222380891E-2</v>
      </c>
      <c r="H27" s="312">
        <f t="shared" si="13"/>
        <v>3.3101359658531893E-2</v>
      </c>
      <c r="I27" s="312">
        <f t="shared" si="13"/>
        <v>1.2492192650522028E-2</v>
      </c>
      <c r="J27" s="312">
        <f t="shared" si="13"/>
        <v>9.2539555676445118E-2</v>
      </c>
      <c r="K27" s="312">
        <f t="shared" si="13"/>
        <v>5.6672090653032076E-3</v>
      </c>
      <c r="L27" s="312">
        <f t="shared" si="13"/>
        <v>1.417460457252117E-3</v>
      </c>
      <c r="M27" s="312">
        <f t="shared" si="13"/>
        <v>3.8386155965093802E-3</v>
      </c>
      <c r="N27" s="312">
        <f t="shared" ref="N27:O27" si="14">N20-MAX(N$20:N$24)</f>
        <v>-1.8366916048806685E-2</v>
      </c>
      <c r="O27" s="312">
        <f t="shared" si="14"/>
        <v>-1.5225662527744436E-2</v>
      </c>
      <c r="P27" s="312">
        <f t="shared" ref="P27:Q27" si="15">P20-MIN(P$20:P$24)</f>
        <v>4.4046228308117857E-2</v>
      </c>
      <c r="Q27" s="313">
        <f t="shared" si="15"/>
        <v>6.6134547421138595E-3</v>
      </c>
      <c r="R27" s="308">
        <f t="shared" ref="R27:R31" si="16">SQRT(SUMSQ(C27:Q27))</f>
        <v>0.13090283478855577</v>
      </c>
    </row>
    <row r="28" spans="2:18" ht="12.5">
      <c r="C28" s="314">
        <f t="shared" si="12"/>
        <v>-7.0379930430330168E-2</v>
      </c>
      <c r="D28" s="315">
        <f t="shared" ref="D28:M28" si="17">D21-MIN(D$20:D$24)</f>
        <v>1.257403492671701E-2</v>
      </c>
      <c r="E28" s="315">
        <f t="shared" si="17"/>
        <v>7.2251939815836524E-4</v>
      </c>
      <c r="F28" s="315">
        <f t="shared" si="17"/>
        <v>9.0524585512624517E-3</v>
      </c>
      <c r="G28" s="315">
        <f t="shared" si="17"/>
        <v>0</v>
      </c>
      <c r="H28" s="315">
        <f t="shared" si="17"/>
        <v>3.8152760630082147E-2</v>
      </c>
      <c r="I28" s="315">
        <f t="shared" si="17"/>
        <v>7.4953155903132156E-3</v>
      </c>
      <c r="J28" s="315">
        <f t="shared" si="17"/>
        <v>3.32750743176978E-2</v>
      </c>
      <c r="K28" s="315">
        <f t="shared" si="17"/>
        <v>2.9801797548219711E-2</v>
      </c>
      <c r="L28" s="315">
        <f t="shared" si="17"/>
        <v>4.5809744777557081E-3</v>
      </c>
      <c r="M28" s="315">
        <f t="shared" si="17"/>
        <v>0</v>
      </c>
      <c r="N28" s="315">
        <f t="shared" ref="N28:O28" si="18">N21-MAX(N$20:N$24)</f>
        <v>0</v>
      </c>
      <c r="O28" s="315">
        <f t="shared" si="18"/>
        <v>0</v>
      </c>
      <c r="P28" s="315">
        <f t="shared" ref="P28:Q28" si="19">P21-MIN(P$20:P$24)</f>
        <v>1.0439790215974177E-2</v>
      </c>
      <c r="Q28" s="316">
        <f t="shared" si="19"/>
        <v>0</v>
      </c>
      <c r="R28" s="309">
        <f t="shared" si="16"/>
        <v>9.3973800371097996E-2</v>
      </c>
    </row>
    <row r="29" spans="2:18" ht="12.5">
      <c r="C29" s="314">
        <f t="shared" si="12"/>
        <v>0</v>
      </c>
      <c r="D29" s="315">
        <f t="shared" ref="D29:M29" si="20">D22-MIN(D$20:D$24)</f>
        <v>1.7289298024235889E-2</v>
      </c>
      <c r="E29" s="315">
        <f t="shared" si="20"/>
        <v>1.4450387963167374E-3</v>
      </c>
      <c r="F29" s="315">
        <f t="shared" si="20"/>
        <v>3.6209834205049793E-3</v>
      </c>
      <c r="G29" s="315">
        <f t="shared" si="20"/>
        <v>1.7584498711333246E-2</v>
      </c>
      <c r="H29" s="315">
        <f t="shared" si="20"/>
        <v>4.8463735203520361E-2</v>
      </c>
      <c r="I29" s="315">
        <f t="shared" si="20"/>
        <v>2.9981262361252859E-2</v>
      </c>
      <c r="J29" s="315">
        <f t="shared" si="20"/>
        <v>3.1448393288075721E-2</v>
      </c>
      <c r="K29" s="315">
        <f t="shared" si="20"/>
        <v>9.2357096224653708E-4</v>
      </c>
      <c r="L29" s="315">
        <f t="shared" si="20"/>
        <v>1.1210823616448554E-3</v>
      </c>
      <c r="M29" s="315">
        <f t="shared" si="20"/>
        <v>3.8386155965093802E-3</v>
      </c>
      <c r="N29" s="315">
        <f t="shared" ref="N29:O29" si="21">N22-MAX(N$20:N$24)</f>
        <v>-5.8288512131248263E-2</v>
      </c>
      <c r="O29" s="315">
        <f t="shared" si="21"/>
        <v>-3.3911702902703518E-2</v>
      </c>
      <c r="P29" s="315">
        <f t="shared" ref="P29:Q29" si="22">P22-MIN(P$20:P$24)</f>
        <v>2.6314728946450372E-2</v>
      </c>
      <c r="Q29" s="316">
        <f t="shared" si="22"/>
        <v>1.8615068573408368E-2</v>
      </c>
      <c r="R29" s="309">
        <f t="shared" si="16"/>
        <v>0.10229041987714332</v>
      </c>
    </row>
    <row r="30" spans="2:18" ht="12.5">
      <c r="C30" s="314">
        <f t="shared" si="12"/>
        <v>-7.0187350527203055E-2</v>
      </c>
      <c r="D30" s="315">
        <f t="shared" ref="D30:M30" si="23">D23-MIN(D$20:D$24)</f>
        <v>0</v>
      </c>
      <c r="E30" s="315">
        <f t="shared" si="23"/>
        <v>0</v>
      </c>
      <c r="F30" s="315">
        <f t="shared" si="23"/>
        <v>8.448961314511623E-3</v>
      </c>
      <c r="G30" s="315">
        <f t="shared" si="23"/>
        <v>2.5120712444761779E-2</v>
      </c>
      <c r="H30" s="315">
        <f t="shared" si="23"/>
        <v>2.0499269783755872E-3</v>
      </c>
      <c r="I30" s="315">
        <f t="shared" si="23"/>
        <v>4.1640642168406759E-3</v>
      </c>
      <c r="J30" s="315">
        <f t="shared" si="23"/>
        <v>0</v>
      </c>
      <c r="K30" s="315">
        <f t="shared" si="23"/>
        <v>1.2534523309523861E-3</v>
      </c>
      <c r="L30" s="315">
        <f t="shared" si="23"/>
        <v>0</v>
      </c>
      <c r="M30" s="315">
        <f t="shared" si="23"/>
        <v>1.9193077982546936E-3</v>
      </c>
      <c r="N30" s="315">
        <f t="shared" ref="N30:O30" si="24">N23-MAX(N$20:N$24)</f>
        <v>-5.7351416027544226E-2</v>
      </c>
      <c r="O30" s="315">
        <f t="shared" si="24"/>
        <v>-2.3761261217540561E-2</v>
      </c>
      <c r="P30" s="315">
        <f t="shared" ref="P30:Q30" si="25">P23-MIN(P$20:P$24)</f>
        <v>8.0720027443099314E-3</v>
      </c>
      <c r="Q30" s="316">
        <f t="shared" si="25"/>
        <v>2.2196702020443902E-2</v>
      </c>
      <c r="R30" s="309">
        <f t="shared" si="16"/>
        <v>0.10033508407105279</v>
      </c>
    </row>
    <row r="31" spans="2:18" ht="13" thickBot="1">
      <c r="C31" s="317">
        <f t="shared" si="12"/>
        <v>-4.7310462868227869E-2</v>
      </c>
      <c r="D31" s="318">
        <f t="shared" ref="D31:M31" si="26">D24-MIN(D$20:D$24)</f>
        <v>6.2870174633584998E-3</v>
      </c>
      <c r="E31" s="318">
        <f t="shared" si="26"/>
        <v>4.3351163889502053E-3</v>
      </c>
      <c r="F31" s="318">
        <f t="shared" si="26"/>
        <v>0</v>
      </c>
      <c r="G31" s="318">
        <f t="shared" si="26"/>
        <v>1.2560356222380891E-2</v>
      </c>
      <c r="H31" s="318">
        <f t="shared" si="26"/>
        <v>0</v>
      </c>
      <c r="I31" s="318">
        <f t="shared" si="26"/>
        <v>0</v>
      </c>
      <c r="J31" s="318">
        <f t="shared" si="26"/>
        <v>2.847937858863234E-3</v>
      </c>
      <c r="K31" s="318">
        <f t="shared" si="26"/>
        <v>0</v>
      </c>
      <c r="L31" s="318">
        <f t="shared" si="26"/>
        <v>1.9354778243569817E-2</v>
      </c>
      <c r="M31" s="318">
        <f t="shared" si="26"/>
        <v>0</v>
      </c>
      <c r="N31" s="318">
        <f t="shared" ref="N31:O31" si="27">N24-MAX(N$20:N$24)</f>
        <v>-5.8416849729818338E-2</v>
      </c>
      <c r="O31" s="318">
        <f t="shared" si="27"/>
        <v>-2.8259752418919596E-2</v>
      </c>
      <c r="P31" s="318">
        <f t="shared" ref="P31:Q31" si="28">P24-MIN(P$20:P$24)</f>
        <v>0</v>
      </c>
      <c r="Q31" s="319">
        <f t="shared" si="28"/>
        <v>5.9693890783925532E-3</v>
      </c>
      <c r="R31" s="310">
        <f t="shared" si="16"/>
        <v>8.4165646221835311E-2</v>
      </c>
    </row>
    <row r="33" spans="2:18" ht="13" thickBot="1">
      <c r="R33" s="307" t="s">
        <v>862</v>
      </c>
    </row>
    <row r="34" spans="2:18" ht="13.5" thickBot="1">
      <c r="B34" s="306" t="s">
        <v>863</v>
      </c>
      <c r="C34" s="335">
        <f t="shared" ref="C34:C38" si="29">C20-MIN(C$20:C$24)</f>
        <v>7.6630753119331114E-3</v>
      </c>
      <c r="D34" s="336">
        <f t="shared" ref="D34:M34" si="30">D20-MAX(D$20:D$24)</f>
        <v>0</v>
      </c>
      <c r="E34" s="336">
        <f t="shared" si="30"/>
        <v>-4.3351163889502053E-3</v>
      </c>
      <c r="F34" s="336">
        <f t="shared" si="30"/>
        <v>-6.0349723675082872E-4</v>
      </c>
      <c r="G34" s="336">
        <f t="shared" si="30"/>
        <v>-1.256035622238089E-2</v>
      </c>
      <c r="H34" s="336">
        <f t="shared" si="30"/>
        <v>-1.5362375544988469E-2</v>
      </c>
      <c r="I34" s="336">
        <f t="shared" si="30"/>
        <v>-1.7489069710730831E-2</v>
      </c>
      <c r="J34" s="336">
        <f t="shared" si="30"/>
        <v>0</v>
      </c>
      <c r="K34" s="336">
        <f t="shared" si="30"/>
        <v>-2.4134588482916504E-2</v>
      </c>
      <c r="L34" s="336">
        <f t="shared" si="30"/>
        <v>-1.79373177863177E-2</v>
      </c>
      <c r="M34" s="336">
        <f t="shared" si="30"/>
        <v>0</v>
      </c>
      <c r="N34" s="336">
        <f t="shared" ref="N34:O34" si="31">N20-MIN(N$20:N$24)</f>
        <v>4.0049933681011653E-2</v>
      </c>
      <c r="O34" s="336">
        <f t="shared" si="31"/>
        <v>1.8686040374959079E-2</v>
      </c>
      <c r="P34" s="336">
        <f t="shared" ref="P34:Q34" si="32">P20-MAX(P$20:P$24)</f>
        <v>0</v>
      </c>
      <c r="Q34" s="337">
        <f t="shared" si="32"/>
        <v>-1.5583247278330041E-2</v>
      </c>
      <c r="R34" s="308">
        <f t="shared" ref="R34:R38" si="33">SQRT(SUMSQ(C34:Q34))</f>
        <v>6.2271514157877371E-2</v>
      </c>
    </row>
    <row r="35" spans="2:18" ht="12.5">
      <c r="C35" s="338">
        <f t="shared" si="29"/>
        <v>0</v>
      </c>
      <c r="D35" s="339">
        <f t="shared" ref="D35:M35" si="34">D21-MAX(D$20:D$24)</f>
        <v>-1.1002280560877389E-2</v>
      </c>
      <c r="E35" s="339">
        <f t="shared" si="34"/>
        <v>-3.6125969907918401E-3</v>
      </c>
      <c r="F35" s="339">
        <f t="shared" si="34"/>
        <v>0</v>
      </c>
      <c r="G35" s="339">
        <f t="shared" si="34"/>
        <v>-2.5120712444761779E-2</v>
      </c>
      <c r="H35" s="339">
        <f t="shared" si="34"/>
        <v>-1.0310974573438214E-2</v>
      </c>
      <c r="I35" s="339">
        <f t="shared" si="34"/>
        <v>-2.2485946770939645E-2</v>
      </c>
      <c r="J35" s="339">
        <f t="shared" si="34"/>
        <v>-5.9264481358747317E-2</v>
      </c>
      <c r="K35" s="339">
        <f t="shared" si="34"/>
        <v>0</v>
      </c>
      <c r="L35" s="339">
        <f t="shared" si="34"/>
        <v>-1.4773803765814109E-2</v>
      </c>
      <c r="M35" s="339">
        <f t="shared" si="34"/>
        <v>-3.8386155965093802E-3</v>
      </c>
      <c r="N35" s="339">
        <f t="shared" ref="N35:O35" si="35">N21-MIN(N$20:N$24)</f>
        <v>5.8416849729818338E-2</v>
      </c>
      <c r="O35" s="339">
        <f t="shared" si="35"/>
        <v>3.3911702902703518E-2</v>
      </c>
      <c r="P35" s="339">
        <f t="shared" ref="P35:Q35" si="36">P21-MAX(P$20:P$24)</f>
        <v>-3.3606438092143684E-2</v>
      </c>
      <c r="Q35" s="340">
        <f t="shared" si="36"/>
        <v>-2.2196702020443902E-2</v>
      </c>
      <c r="R35" s="309">
        <f t="shared" si="33"/>
        <v>0.10633429556452093</v>
      </c>
    </row>
    <row r="36" spans="2:18" ht="12.5">
      <c r="C36" s="338">
        <f t="shared" si="29"/>
        <v>7.0379930430330168E-2</v>
      </c>
      <c r="D36" s="339">
        <f t="shared" ref="D36:M36" si="37">D22-MAX(D$20:D$24)</f>
        <v>-6.2870174633585102E-3</v>
      </c>
      <c r="E36" s="339">
        <f t="shared" si="37"/>
        <v>-2.8900775926334679E-3</v>
      </c>
      <c r="F36" s="339">
        <f t="shared" si="37"/>
        <v>-5.4314751307574724E-3</v>
      </c>
      <c r="G36" s="339">
        <f t="shared" si="37"/>
        <v>-7.5362137334285331E-3</v>
      </c>
      <c r="H36" s="339">
        <f t="shared" si="37"/>
        <v>0</v>
      </c>
      <c r="I36" s="339">
        <f t="shared" si="37"/>
        <v>0</v>
      </c>
      <c r="J36" s="339">
        <f t="shared" si="37"/>
        <v>-6.1091162388369397E-2</v>
      </c>
      <c r="K36" s="339">
        <f t="shared" si="37"/>
        <v>-2.8878226585973173E-2</v>
      </c>
      <c r="L36" s="339">
        <f t="shared" si="37"/>
        <v>-1.8233695881924961E-2</v>
      </c>
      <c r="M36" s="339">
        <f t="shared" si="37"/>
        <v>0</v>
      </c>
      <c r="N36" s="339">
        <f t="shared" ref="N36:O36" si="38">N22-MIN(N$20:N$24)</f>
        <v>1.2833759857007487E-4</v>
      </c>
      <c r="O36" s="339">
        <f t="shared" si="38"/>
        <v>0</v>
      </c>
      <c r="P36" s="339">
        <f t="shared" ref="P36:Q36" si="39">P22-MAX(P$20:P$24)</f>
        <v>-1.7731499361667485E-2</v>
      </c>
      <c r="Q36" s="340">
        <f t="shared" si="39"/>
        <v>-3.5816334470355343E-3</v>
      </c>
      <c r="R36" s="309">
        <f t="shared" si="33"/>
        <v>0.10155446607862445</v>
      </c>
    </row>
    <row r="37" spans="2:18" ht="12.5">
      <c r="C37" s="338">
        <f t="shared" si="29"/>
        <v>1.9257990312711564E-4</v>
      </c>
      <c r="D37" s="339">
        <f t="shared" ref="D37:M37" si="40">D23-MAX(D$20:D$24)</f>
        <v>-2.3576315487594399E-2</v>
      </c>
      <c r="E37" s="339">
        <f t="shared" si="40"/>
        <v>-4.3351163889502053E-3</v>
      </c>
      <c r="F37" s="339">
        <f t="shared" si="40"/>
        <v>-6.0349723675082872E-4</v>
      </c>
      <c r="G37" s="339">
        <f t="shared" si="40"/>
        <v>0</v>
      </c>
      <c r="H37" s="339">
        <f t="shared" si="40"/>
        <v>-4.6413808225144772E-2</v>
      </c>
      <c r="I37" s="339">
        <f t="shared" si="40"/>
        <v>-2.5817198144412183E-2</v>
      </c>
      <c r="J37" s="339">
        <f t="shared" si="40"/>
        <v>-9.2539555676445118E-2</v>
      </c>
      <c r="K37" s="339">
        <f t="shared" si="40"/>
        <v>-2.8548345217267325E-2</v>
      </c>
      <c r="L37" s="339">
        <f t="shared" si="40"/>
        <v>-1.9354778243569817E-2</v>
      </c>
      <c r="M37" s="339">
        <f t="shared" si="40"/>
        <v>-1.9193077982546866E-3</v>
      </c>
      <c r="N37" s="339">
        <f t="shared" ref="N37:O37" si="41">N23-MIN(N$20:N$24)</f>
        <v>1.0654337022741149E-3</v>
      </c>
      <c r="O37" s="339">
        <f t="shared" si="41"/>
        <v>1.0150441685162957E-2</v>
      </c>
      <c r="P37" s="339">
        <f t="shared" ref="P37:Q37" si="42">P23-MAX(P$20:P$24)</f>
        <v>-3.5974225563807923E-2</v>
      </c>
      <c r="Q37" s="340">
        <f t="shared" si="42"/>
        <v>0</v>
      </c>
      <c r="R37" s="309">
        <f t="shared" si="33"/>
        <v>0.12062747025040552</v>
      </c>
    </row>
    <row r="38" spans="2:18" ht="13" thickBot="1">
      <c r="C38" s="341">
        <f t="shared" si="29"/>
        <v>2.3069467562102298E-2</v>
      </c>
      <c r="D38" s="342">
        <f t="shared" ref="D38:M38" si="43">D24-MAX(D$20:D$24)</f>
        <v>-1.72892980242359E-2</v>
      </c>
      <c r="E38" s="342">
        <f t="shared" si="43"/>
        <v>0</v>
      </c>
      <c r="F38" s="342">
        <f t="shared" si="43"/>
        <v>-9.0524585512624517E-3</v>
      </c>
      <c r="G38" s="342">
        <f t="shared" si="43"/>
        <v>-1.256035622238089E-2</v>
      </c>
      <c r="H38" s="342">
        <f t="shared" si="43"/>
        <v>-4.8463735203520361E-2</v>
      </c>
      <c r="I38" s="342">
        <f t="shared" si="43"/>
        <v>-2.9981262361252859E-2</v>
      </c>
      <c r="J38" s="342">
        <f t="shared" si="43"/>
        <v>-8.9691617817581878E-2</v>
      </c>
      <c r="K38" s="342">
        <f t="shared" si="43"/>
        <v>-2.9801797548219711E-2</v>
      </c>
      <c r="L38" s="342">
        <f t="shared" si="43"/>
        <v>0</v>
      </c>
      <c r="M38" s="342">
        <f t="shared" si="43"/>
        <v>-3.8386155965093802E-3</v>
      </c>
      <c r="N38" s="342">
        <f t="shared" ref="N38:O38" si="44">N24-MIN(N$20:N$24)</f>
        <v>0</v>
      </c>
      <c r="O38" s="342">
        <f t="shared" si="44"/>
        <v>5.6519504837839202E-3</v>
      </c>
      <c r="P38" s="342">
        <f t="shared" ref="P38:Q38" si="45">P24-MAX(P$20:P$24)</f>
        <v>-4.4046228308117857E-2</v>
      </c>
      <c r="Q38" s="343">
        <f t="shared" si="45"/>
        <v>-1.6227312942051347E-2</v>
      </c>
      <c r="R38" s="310">
        <f t="shared" si="33"/>
        <v>0.12450400920442541</v>
      </c>
    </row>
    <row r="40" spans="2:18" ht="13" thickBot="1"/>
    <row r="41" spans="2:18" ht="13.5" thickBot="1">
      <c r="E41" s="344"/>
      <c r="F41" s="345" t="s">
        <v>889</v>
      </c>
    </row>
    <row r="42" spans="2:18" ht="13">
      <c r="B42" s="326" t="s">
        <v>888</v>
      </c>
      <c r="C42" s="321" t="s">
        <v>854</v>
      </c>
      <c r="D42" s="329" t="s">
        <v>864</v>
      </c>
      <c r="E42" s="331">
        <v>1</v>
      </c>
      <c r="F42" s="332" t="str">
        <f>VLOOKUP(E42,B43:D47,2,0)</f>
        <v>Mahindra and Mahindra</v>
      </c>
    </row>
    <row r="43" spans="2:18" ht="12.5">
      <c r="B43" s="322">
        <f>_xlfn.RANK.AVG(D43,$D$43:$D$47)</f>
        <v>1</v>
      </c>
      <c r="C43" s="327" t="str">
        <f t="shared" ref="C43:C47" si="46">B3</f>
        <v>Mahindra and Mahindra</v>
      </c>
      <c r="D43" s="330">
        <f t="shared" ref="D43:D47" si="47">R27/(R27+R34)</f>
        <v>0.67764087469426315</v>
      </c>
      <c r="E43" s="331">
        <v>2</v>
      </c>
      <c r="F43" s="332" t="str">
        <f>VLOOKUP(E43,B43:D47,2,0)</f>
        <v>Maruti Suzuki</v>
      </c>
    </row>
    <row r="44" spans="2:18" ht="13" thickBot="1">
      <c r="B44" s="322">
        <f t="shared" ref="B44:B47" si="48">_xlfn.RANK.AVG(D44,$D$43:$D$47)</f>
        <v>3</v>
      </c>
      <c r="C44" s="327" t="str">
        <f t="shared" si="46"/>
        <v>Tata Motors</v>
      </c>
      <c r="D44" s="330">
        <f t="shared" si="47"/>
        <v>0.46914629152733861</v>
      </c>
      <c r="E44" s="333">
        <v>3</v>
      </c>
      <c r="F44" s="334" t="str">
        <f>VLOOKUP(E44,B43:D47,2,0)</f>
        <v>Tata Motors</v>
      </c>
    </row>
    <row r="45" spans="2:18" ht="12.5">
      <c r="B45" s="322">
        <f t="shared" si="48"/>
        <v>2</v>
      </c>
      <c r="C45" s="327" t="str">
        <f t="shared" si="46"/>
        <v>Maruti Suzuki</v>
      </c>
      <c r="D45" s="324">
        <f t="shared" si="47"/>
        <v>0.50180518092241611</v>
      </c>
    </row>
    <row r="46" spans="2:18" ht="12.5">
      <c r="B46" s="322">
        <f t="shared" si="48"/>
        <v>4</v>
      </c>
      <c r="C46" s="327" t="str">
        <f t="shared" si="46"/>
        <v>K E C International Ltd</v>
      </c>
      <c r="D46" s="324">
        <f t="shared" si="47"/>
        <v>0.4540818437728793</v>
      </c>
    </row>
    <row r="47" spans="2:18" ht="13" thickBot="1">
      <c r="B47" s="323">
        <f t="shared" si="48"/>
        <v>5</v>
      </c>
      <c r="C47" s="328" t="str">
        <f t="shared" si="46"/>
        <v>Force Motors Ltd</v>
      </c>
      <c r="D47" s="325">
        <f t="shared" si="47"/>
        <v>0.40334396512950399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outlinePr summaryBelow="0" summaryRight="0"/>
  </sheetPr>
  <dimension ref="B1:R47"/>
  <sheetViews>
    <sheetView showGridLines="0" zoomScale="50" zoomScaleNormal="50" workbookViewId="0">
      <selection activeCell="G44" sqref="G44"/>
    </sheetView>
  </sheetViews>
  <sheetFormatPr defaultColWidth="12.54296875" defaultRowHeight="15.75" customHeight="1"/>
  <cols>
    <col min="1" max="1" width="1.54296875" customWidth="1"/>
    <col min="2" max="2" width="26.453125" bestFit="1" customWidth="1"/>
    <col min="3" max="3" width="24.1796875" bestFit="1" customWidth="1"/>
    <col min="4" max="4" width="18.26953125" bestFit="1" customWidth="1"/>
    <col min="5" max="5" width="10.7265625" bestFit="1" customWidth="1"/>
    <col min="6" max="6" width="28.7265625" bestFit="1" customWidth="1"/>
    <col min="7" max="7" width="30.7265625" bestFit="1" customWidth="1"/>
    <col min="8" max="8" width="13.81640625" bestFit="1" customWidth="1"/>
    <col min="9" max="9" width="12.26953125" bestFit="1" customWidth="1"/>
    <col min="10" max="10" width="10.7265625" bestFit="1" customWidth="1"/>
    <col min="11" max="11" width="14.81640625" bestFit="1" customWidth="1"/>
    <col min="12" max="12" width="15.26953125" bestFit="1" customWidth="1"/>
    <col min="13" max="13" width="11.81640625" bestFit="1" customWidth="1"/>
    <col min="14" max="14" width="15.81640625" bestFit="1" customWidth="1"/>
    <col min="15" max="15" width="18" bestFit="1" customWidth="1"/>
    <col min="16" max="17" width="15" bestFit="1" customWidth="1"/>
    <col min="18" max="18" width="18" bestFit="1" customWidth="1"/>
  </cols>
  <sheetData>
    <row r="1" spans="2:17" ht="15" thickBot="1">
      <c r="B1" s="273"/>
      <c r="C1" s="274" t="s">
        <v>852</v>
      </c>
      <c r="D1" s="274" t="s">
        <v>853</v>
      </c>
      <c r="E1" s="274" t="s">
        <v>853</v>
      </c>
      <c r="F1" s="274" t="s">
        <v>853</v>
      </c>
      <c r="G1" s="274" t="s">
        <v>853</v>
      </c>
      <c r="H1" s="274" t="s">
        <v>853</v>
      </c>
      <c r="I1" s="274" t="s">
        <v>853</v>
      </c>
      <c r="J1" s="274" t="s">
        <v>853</v>
      </c>
      <c r="K1" s="274" t="s">
        <v>853</v>
      </c>
      <c r="L1" s="274" t="s">
        <v>853</v>
      </c>
      <c r="M1" s="274" t="s">
        <v>853</v>
      </c>
      <c r="N1" s="274" t="s">
        <v>852</v>
      </c>
      <c r="O1" s="274" t="s">
        <v>852</v>
      </c>
      <c r="P1" s="274" t="s">
        <v>853</v>
      </c>
      <c r="Q1" s="274" t="s">
        <v>853</v>
      </c>
    </row>
    <row r="2" spans="2:17" ht="15" customHeight="1">
      <c r="B2" s="278" t="s">
        <v>106</v>
      </c>
      <c r="C2" s="279" t="s">
        <v>108</v>
      </c>
      <c r="D2" s="279" t="s">
        <v>109</v>
      </c>
      <c r="E2" s="279" t="s">
        <v>110</v>
      </c>
      <c r="F2" s="279" t="s">
        <v>111</v>
      </c>
      <c r="G2" s="279" t="s">
        <v>112</v>
      </c>
      <c r="H2" s="279" t="s">
        <v>113</v>
      </c>
      <c r="I2" s="279" t="s">
        <v>114</v>
      </c>
      <c r="J2" s="279" t="s">
        <v>115</v>
      </c>
      <c r="K2" s="279" t="s">
        <v>116</v>
      </c>
      <c r="L2" s="279" t="s">
        <v>117</v>
      </c>
      <c r="M2" s="279" t="s">
        <v>118</v>
      </c>
      <c r="N2" s="279" t="s">
        <v>119</v>
      </c>
      <c r="O2" s="279" t="s">
        <v>120</v>
      </c>
      <c r="P2" s="279" t="s">
        <v>121</v>
      </c>
      <c r="Q2" s="280" t="s">
        <v>122</v>
      </c>
    </row>
    <row r="3" spans="2:17" ht="14">
      <c r="B3" s="281" t="s">
        <v>133</v>
      </c>
      <c r="C3" s="275">
        <f>INDEX('Company data'!$C$5:$V$64,MATCH($B3,'Company data'!$B$5:$B$64,0),MATCH(C$2,'Company data'!$C$4:$V$4,0))</f>
        <v>1145</v>
      </c>
      <c r="D3" s="275">
        <f>INDEX('Company data'!$C$5:$V$64,MATCH($B3,'Company data'!$B$5:$B$64,0),MATCH(D$2,'Company data'!$C$4:$V$4,0))</f>
        <v>55</v>
      </c>
      <c r="E3" s="275">
        <f>INDEX('Company data'!$C$5:$V$64,MATCH($B3,'Company data'!$B$5:$B$64,0),MATCH(E$2,'Company data'!$C$4:$V$4,0))</f>
        <v>60</v>
      </c>
      <c r="F3" s="275">
        <f>INDEX('Company data'!$C$5:$V$64,MATCH($B3,'Company data'!$B$5:$B$64,0),MATCH(F$2,'Company data'!$C$4:$V$4,0))</f>
        <v>50</v>
      </c>
      <c r="G3" s="276">
        <f>INDEX('Company data'!$C$5:$V$64,MATCH($B3,'Company data'!$B$5:$B$64,0),MATCH(G$2,'Company data'!$C$4:$V$4,0))</f>
        <v>0.12</v>
      </c>
      <c r="H3" s="275">
        <f>INDEX('Company data'!$C$5:$V$64,MATCH($B3,'Company data'!$B$5:$B$64,0),MATCH(H$2,'Company data'!$C$4:$V$4,0))</f>
        <v>274712</v>
      </c>
      <c r="I3" s="276">
        <f>INDEX('Company data'!$C$5:$V$64,MATCH($B3,'Company data'!$B$5:$B$64,0),MATCH(I$2,'Company data'!$C$4:$V$4,0))</f>
        <v>0.2</v>
      </c>
      <c r="J3" s="277">
        <f>INDEX('Company data'!$C$5:$V$64,MATCH($B3,'Company data'!$B$5:$B$64,0),MATCH(J$2,'Company data'!$C$4:$V$4,0))</f>
        <v>0.29720000000000002</v>
      </c>
      <c r="K3" s="275">
        <f>INDEX('Company data'!$C$5:$V$64,MATCH($B3,'Company data'!$B$5:$B$64,0),MATCH(K$2,'Company data'!$C$4:$V$4,0))</f>
        <v>2619079</v>
      </c>
      <c r="L3" s="277">
        <f>INDEX('Company data'!$C$5:$V$64,MATCH($B3,'Company data'!$B$5:$B$64,0),MATCH(L$2,'Company data'!$C$4:$V$4,0))</f>
        <v>0.13519999999999999</v>
      </c>
      <c r="M3" s="275">
        <f>INDEX('Company data'!$C$5:$V$64,MATCH($B3,'Company data'!$B$5:$B$64,0),MATCH(M$2,'Company data'!$C$4:$V$4,0))</f>
        <v>20</v>
      </c>
      <c r="N3" s="275">
        <f>INDEX('Company data'!$C$5:$V$64,MATCH($B3,'Company data'!$B$5:$B$64,0),MATCH(N$2,'Company data'!$C$4:$V$4,0))</f>
        <v>6885.87</v>
      </c>
      <c r="O3" s="275">
        <f>INDEX('Company data'!$C$5:$V$64,MATCH($B3,'Company data'!$B$5:$B$64,0),MATCH(O$2,'Company data'!$C$4:$V$4,0))</f>
        <v>0.12</v>
      </c>
      <c r="P3" s="277">
        <f>INDEX('Company data'!$C$5:$V$64,MATCH($B3,'Company data'!$B$5:$B$64,0),MATCH(P$2,'Company data'!$C$4:$V$4,0))</f>
        <v>16.55</v>
      </c>
      <c r="Q3" s="282">
        <f>INDEX('Company data'!$C$5:$V$64,MATCH($B3,'Company data'!$B$5:$B$64,0),MATCH(Q$2,'Company data'!$C$4:$V$4,0))</f>
        <v>21.33</v>
      </c>
    </row>
    <row r="4" spans="2:17" ht="14">
      <c r="B4" s="281" t="s">
        <v>134</v>
      </c>
      <c r="C4" s="275">
        <f>INDEX('Company data'!$C$5:$V$64,MATCH($B4,'Company data'!$B$5:$B$64,0),MATCH(C$2,'Company data'!$C$4:$V$4,0))</f>
        <v>5889</v>
      </c>
      <c r="D4" s="275">
        <f>INDEX('Company data'!$C$5:$V$64,MATCH($B4,'Company data'!$B$5:$B$64,0),MATCH(D$2,'Company data'!$C$4:$V$4,0))</f>
        <v>61</v>
      </c>
      <c r="E4" s="275">
        <f>INDEX('Company data'!$C$5:$V$64,MATCH($B4,'Company data'!$B$5:$B$64,0),MATCH(E$2,'Company data'!$C$4:$V$4,0))</f>
        <v>58</v>
      </c>
      <c r="F4" s="275">
        <f>INDEX('Company data'!$C$5:$V$64,MATCH($B4,'Company data'!$B$5:$B$64,0),MATCH(F$2,'Company data'!$C$4:$V$4,0))</f>
        <v>76</v>
      </c>
      <c r="G4" s="276">
        <f>INDEX('Company data'!$C$5:$V$64,MATCH($B4,'Company data'!$B$5:$B$64,0),MATCH(G$2,'Company data'!$C$4:$V$4,0))</f>
        <v>0.1</v>
      </c>
      <c r="H4" s="275">
        <f>INDEX('Company data'!$C$5:$V$64,MATCH($B4,'Company data'!$B$5:$B$64,0),MATCH(H$2,'Company data'!$C$4:$V$4,0))</f>
        <v>98072</v>
      </c>
      <c r="I4" s="276">
        <f>INDEX('Company data'!$C$5:$V$64,MATCH($B4,'Company data'!$B$5:$B$64,0),MATCH(I$2,'Company data'!$C$4:$V$4,0))</f>
        <v>0.15</v>
      </c>
      <c r="J4" s="277">
        <f>INDEX('Company data'!$C$5:$V$64,MATCH($B4,'Company data'!$B$5:$B$64,0),MATCH(J$2,'Company data'!$C$4:$V$4,0))</f>
        <v>0.31219999999999998</v>
      </c>
      <c r="K4" s="275">
        <f>INDEX('Company data'!$C$5:$V$64,MATCH($B4,'Company data'!$B$5:$B$64,0),MATCH(K$2,'Company data'!$C$4:$V$4,0))</f>
        <v>422168</v>
      </c>
      <c r="L4" s="277">
        <f>INDEX('Company data'!$C$5:$V$64,MATCH($B4,'Company data'!$B$5:$B$64,0),MATCH(L$2,'Company data'!$C$4:$V$4,0))</f>
        <v>0.19980000000000001</v>
      </c>
      <c r="M4" s="275">
        <f>INDEX('Company data'!$C$5:$V$64,MATCH($B4,'Company data'!$B$5:$B$64,0),MATCH(M$2,'Company data'!$C$4:$V$4,0))</f>
        <v>20</v>
      </c>
      <c r="N4" s="275">
        <f>INDEX('Company data'!$C$5:$V$64,MATCH($B4,'Company data'!$B$5:$B$64,0),MATCH(N$2,'Company data'!$C$4:$V$4,0))</f>
        <v>1347.2</v>
      </c>
      <c r="O4" s="275">
        <f>INDEX('Company data'!$C$5:$V$64,MATCH($B4,'Company data'!$B$5:$B$64,0),MATCH(O$2,'Company data'!$C$4:$V$4,0))</f>
        <v>0.06</v>
      </c>
      <c r="P4" s="277">
        <f>INDEX('Company data'!$C$5:$V$64,MATCH($B4,'Company data'!$B$5:$B$64,0),MATCH(P$2,'Company data'!$C$4:$V$4,0))</f>
        <v>21.64</v>
      </c>
      <c r="Q4" s="282">
        <f>INDEX('Company data'!$C$5:$V$64,MATCH($B4,'Company data'!$B$5:$B$64,0),MATCH(Q$2,'Company data'!$C$4:$V$4,0))</f>
        <v>12.4</v>
      </c>
    </row>
    <row r="5" spans="2:17" ht="14">
      <c r="B5" s="281" t="s">
        <v>135</v>
      </c>
      <c r="C5" s="275">
        <f>INDEX('Company data'!$C$5:$V$64,MATCH($B5,'Company data'!$B$5:$B$64,0),MATCH(C$2,'Company data'!$C$4:$V$4,0))</f>
        <v>868</v>
      </c>
      <c r="D5" s="275">
        <f>INDEX('Company data'!$C$5:$V$64,MATCH($B5,'Company data'!$B$5:$B$64,0),MATCH(D$2,'Company data'!$C$4:$V$4,0))</f>
        <v>54</v>
      </c>
      <c r="E5" s="275">
        <f>INDEX('Company data'!$C$5:$V$64,MATCH($B5,'Company data'!$B$5:$B$64,0),MATCH(E$2,'Company data'!$C$4:$V$4,0))</f>
        <v>60</v>
      </c>
      <c r="F5" s="275">
        <f>INDEX('Company data'!$C$5:$V$64,MATCH($B5,'Company data'!$B$5:$B$64,0),MATCH(F$2,'Company data'!$C$4:$V$4,0))</f>
        <v>69</v>
      </c>
      <c r="G5" s="276">
        <f>INDEX('Company data'!$C$5:$V$64,MATCH($B5,'Company data'!$B$5:$B$64,0),MATCH(G$2,'Company data'!$C$4:$V$4,0))</f>
        <v>0.15</v>
      </c>
      <c r="H5" s="275">
        <f>INDEX('Company data'!$C$5:$V$64,MATCH($B5,'Company data'!$B$5:$B$64,0),MATCH(H$2,'Company data'!$C$4:$V$4,0))</f>
        <v>50859</v>
      </c>
      <c r="I5" s="276">
        <f>INDEX('Company data'!$C$5:$V$64,MATCH($B5,'Company data'!$B$5:$B$64,0),MATCH(I$2,'Company data'!$C$4:$V$4,0))</f>
        <v>0.1</v>
      </c>
      <c r="J5" s="277">
        <f>INDEX('Company data'!$C$5:$V$64,MATCH($B5,'Company data'!$B$5:$B$64,0),MATCH(J$2,'Company data'!$C$4:$V$4,0))</f>
        <v>-0.12479999999999999</v>
      </c>
      <c r="K5" s="275">
        <f>INDEX('Company data'!$C$5:$V$64,MATCH($B5,'Company data'!$B$5:$B$64,0),MATCH(K$2,'Company data'!$C$4:$V$4,0))</f>
        <v>1841440</v>
      </c>
      <c r="L5" s="277">
        <f>INDEX('Company data'!$C$5:$V$64,MATCH($B5,'Company data'!$B$5:$B$64,0),MATCH(L$2,'Company data'!$C$4:$V$4,0))</f>
        <v>6.1699999999999998E-2</v>
      </c>
      <c r="M5" s="275">
        <f>INDEX('Company data'!$C$5:$V$64,MATCH($B5,'Company data'!$B$5:$B$64,0),MATCH(M$2,'Company data'!$C$4:$V$4,0))</f>
        <v>17</v>
      </c>
      <c r="N5" s="275">
        <f>INDEX('Company data'!$C$5:$V$64,MATCH($B5,'Company data'!$B$5:$B$64,0),MATCH(N$2,'Company data'!$C$4:$V$4,0))</f>
        <v>5286.21</v>
      </c>
      <c r="O5" s="275">
        <f>INDEX('Company data'!$C$5:$V$64,MATCH($B5,'Company data'!$B$5:$B$64,0),MATCH(O$2,'Company data'!$C$4:$V$4,0))</f>
        <v>0.2</v>
      </c>
      <c r="P5" s="277">
        <f>INDEX('Company data'!$C$5:$V$64,MATCH($B5,'Company data'!$B$5:$B$64,0),MATCH(P$2,'Company data'!$C$4:$V$4,0))</f>
        <v>7.47</v>
      </c>
      <c r="Q5" s="282">
        <f>INDEX('Company data'!$C$5:$V$64,MATCH($B5,'Company data'!$B$5:$B$64,0),MATCH(Q$2,'Company data'!$C$4:$V$4,0))</f>
        <v>11.67</v>
      </c>
    </row>
    <row r="6" spans="2:17" ht="14">
      <c r="B6" s="281" t="s">
        <v>136</v>
      </c>
      <c r="C6" s="275">
        <f>INDEX('Company data'!$C$5:$V$64,MATCH($B6,'Company data'!$B$5:$B$64,0),MATCH(C$2,'Company data'!$C$4:$V$4,0))</f>
        <v>520</v>
      </c>
      <c r="D6" s="275">
        <f>INDEX('Company data'!$C$5:$V$64,MATCH($B6,'Company data'!$B$5:$B$64,0),MATCH(D$2,'Company data'!$C$4:$V$4,0))</f>
        <v>34</v>
      </c>
      <c r="E6" s="275">
        <f>INDEX('Company data'!$C$5:$V$64,MATCH($B6,'Company data'!$B$5:$B$64,0),MATCH(E$2,'Company data'!$C$4:$V$4,0))</f>
        <v>52</v>
      </c>
      <c r="F6" s="275">
        <f>INDEX('Company data'!$C$5:$V$64,MATCH($B6,'Company data'!$B$5:$B$64,0),MATCH(F$2,'Company data'!$C$4:$V$4,0))</f>
        <v>66</v>
      </c>
      <c r="G6" s="276">
        <f>INDEX('Company data'!$C$5:$V$64,MATCH($B6,'Company data'!$B$5:$B$64,0),MATCH(G$2,'Company data'!$C$4:$V$4,0))</f>
        <v>0.2</v>
      </c>
      <c r="H6" s="275">
        <f>INDEX('Company data'!$C$5:$V$64,MATCH($B6,'Company data'!$B$5:$B$64,0),MATCH(H$2,'Company data'!$C$4:$V$4,0))</f>
        <v>13250</v>
      </c>
      <c r="I6" s="276">
        <f>INDEX('Company data'!$C$5:$V$64,MATCH($B6,'Company data'!$B$5:$B$64,0),MATCH(I$2,'Company data'!$C$4:$V$4,0))</f>
        <v>0.03</v>
      </c>
      <c r="J6" s="277">
        <f>INDEX('Company data'!$C$5:$V$64,MATCH($B6,'Company data'!$B$5:$B$64,0),MATCH(J$2,'Company data'!$C$4:$V$4,0))</f>
        <v>9.64E-2</v>
      </c>
      <c r="K6" s="275">
        <f>INDEX('Company data'!$C$5:$V$64,MATCH($B6,'Company data'!$B$5:$B$64,0),MATCH(K$2,'Company data'!$C$4:$V$4,0))</f>
        <v>373610</v>
      </c>
      <c r="L6" s="277">
        <f>INDEX('Company data'!$C$5:$V$64,MATCH($B6,'Company data'!$B$5:$B$64,0),MATCH(L$2,'Company data'!$C$4:$V$4,0))</f>
        <v>-3.3099999999999997E-2</v>
      </c>
      <c r="M6" s="275">
        <f>INDEX('Company data'!$C$5:$V$64,MATCH($B6,'Company data'!$B$5:$B$64,0),MATCH(M$2,'Company data'!$C$4:$V$4,0))</f>
        <v>16</v>
      </c>
      <c r="N6" s="275">
        <f>INDEX('Company data'!$C$5:$V$64,MATCH($B6,'Company data'!$B$5:$B$64,0),MATCH(N$2,'Company data'!$C$4:$V$4,0))</f>
        <v>70.34</v>
      </c>
      <c r="O6" s="275">
        <f>INDEX('Company data'!$C$5:$V$64,MATCH($B6,'Company data'!$B$5:$B$64,0),MATCH(O$2,'Company data'!$C$4:$V$4,0))</f>
        <v>0.04</v>
      </c>
      <c r="P6" s="277">
        <f>INDEX('Company data'!$C$5:$V$64,MATCH($B6,'Company data'!$B$5:$B$64,0),MATCH(P$2,'Company data'!$C$4:$V$4,0))</f>
        <v>25.21</v>
      </c>
      <c r="Q6" s="282">
        <f>INDEX('Company data'!$C$5:$V$64,MATCH($B6,'Company data'!$B$5:$B$64,0),MATCH(Q$2,'Company data'!$C$4:$V$4,0))</f>
        <v>21.08</v>
      </c>
    </row>
    <row r="7" spans="2:17" ht="14.5" thickBot="1">
      <c r="B7" s="283" t="s">
        <v>137</v>
      </c>
      <c r="C7" s="284">
        <f>INDEX('Company data'!$C$5:$V$64,MATCH($B7,'Company data'!$B$5:$B$64,0),MATCH(C$2,'Company data'!$C$4:$V$4,0))</f>
        <v>406</v>
      </c>
      <c r="D7" s="284">
        <f>INDEX('Company data'!$C$5:$V$64,MATCH($B7,'Company data'!$B$5:$B$64,0),MATCH(D$2,'Company data'!$C$4:$V$4,0))</f>
        <v>32</v>
      </c>
      <c r="E7" s="284">
        <f>INDEX('Company data'!$C$5:$V$64,MATCH($B7,'Company data'!$B$5:$B$64,0),MATCH(E$2,'Company data'!$C$4:$V$4,0))</f>
        <v>56</v>
      </c>
      <c r="F7" s="284">
        <f>INDEX('Company data'!$C$5:$V$64,MATCH($B7,'Company data'!$B$5:$B$64,0),MATCH(F$2,'Company data'!$C$4:$V$4,0))</f>
        <v>67</v>
      </c>
      <c r="G7" s="285">
        <f>INDEX('Company data'!$C$5:$V$64,MATCH($B7,'Company data'!$B$5:$B$64,0),MATCH(G$2,'Company data'!$C$4:$V$4,0))</f>
        <v>0.15</v>
      </c>
      <c r="H7" s="284">
        <f>INDEX('Company data'!$C$5:$V$64,MATCH($B7,'Company data'!$B$5:$B$64,0),MATCH(H$2,'Company data'!$C$4:$V$4,0))</f>
        <v>2862</v>
      </c>
      <c r="I7" s="285">
        <f>INDEX('Company data'!$C$5:$V$64,MATCH($B7,'Company data'!$B$5:$B$64,0),MATCH(I$2,'Company data'!$C$4:$V$4,0))</f>
        <v>0.02</v>
      </c>
      <c r="J7" s="286">
        <f>INDEX('Company data'!$C$5:$V$64,MATCH($B7,'Company data'!$B$5:$B$64,0),MATCH(J$2,'Company data'!$C$4:$V$4,0))</f>
        <v>-0.68079999999999996</v>
      </c>
      <c r="K7" s="284">
        <f>INDEX('Company data'!$C$5:$V$64,MATCH($B7,'Company data'!$B$5:$B$64,0),MATCH(K$2,'Company data'!$C$4:$V$4,0))</f>
        <v>229025</v>
      </c>
      <c r="L7" s="286">
        <f>INDEX('Company data'!$C$5:$V$64,MATCH($B7,'Company data'!$B$5:$B$64,0),MATCH(L$2,'Company data'!$C$4:$V$4,0))</f>
        <v>0.1366</v>
      </c>
      <c r="M7" s="284">
        <f>INDEX('Company data'!$C$5:$V$64,MATCH($B7,'Company data'!$B$5:$B$64,0),MATCH(M$2,'Company data'!$C$4:$V$4,0))</f>
        <v>15</v>
      </c>
      <c r="N7" s="284">
        <f>INDEX('Company data'!$C$5:$V$64,MATCH($B7,'Company data'!$B$5:$B$64,0),MATCH(N$2,'Company data'!$C$4:$V$4,0))</f>
        <v>314.04000000000002</v>
      </c>
      <c r="O7" s="284">
        <f>INDEX('Company data'!$C$5:$V$64,MATCH($B7,'Company data'!$B$5:$B$64,0),MATCH(O$2,'Company data'!$C$4:$V$4,0))</f>
        <v>0.13</v>
      </c>
      <c r="P7" s="286">
        <f>INDEX('Company data'!$C$5:$V$64,MATCH($B7,'Company data'!$B$5:$B$64,0),MATCH(P$2,'Company data'!$C$4:$V$4,0))</f>
        <v>-6.7</v>
      </c>
      <c r="Q7" s="287">
        <f>INDEX('Company data'!$C$5:$V$64,MATCH($B7,'Company data'!$B$5:$B$64,0),MATCH(Q$2,'Company data'!$C$4:$V$4,0))</f>
        <v>131.63</v>
      </c>
    </row>
    <row r="8" spans="2:17" ht="13" thickBot="1"/>
    <row r="9" spans="2:17" ht="15" customHeight="1" thickBot="1">
      <c r="B9" s="288" t="s">
        <v>855</v>
      </c>
      <c r="C9" s="289">
        <f>Dashboard!C18</f>
        <v>8</v>
      </c>
      <c r="D9" s="289">
        <f>Dashboard!C19</f>
        <v>9</v>
      </c>
      <c r="E9" s="289">
        <f>Dashboard!C20</f>
        <v>9</v>
      </c>
      <c r="F9" s="289">
        <f>Dashboard!C21</f>
        <v>9</v>
      </c>
      <c r="G9" s="289">
        <f>Dashboard!C22</f>
        <v>6</v>
      </c>
      <c r="H9" s="289">
        <f>Dashboard!C23</f>
        <v>7</v>
      </c>
      <c r="I9" s="289">
        <f>Dashboard!C24</f>
        <v>4</v>
      </c>
      <c r="J9" s="289">
        <f>Dashboard!C25</f>
        <v>8</v>
      </c>
      <c r="K9" s="289">
        <f>Dashboard!C26</f>
        <v>3</v>
      </c>
      <c r="L9" s="289">
        <f>Dashboard!C27</f>
        <v>5</v>
      </c>
      <c r="M9" s="289">
        <f>Dashboard!C28</f>
        <v>8</v>
      </c>
      <c r="N9" s="289">
        <f>Dashboard!C29</f>
        <v>7</v>
      </c>
      <c r="O9" s="289">
        <f>Dashboard!C30</f>
        <v>4</v>
      </c>
      <c r="P9" s="289">
        <f>Dashboard!C31</f>
        <v>6</v>
      </c>
      <c r="Q9" s="290">
        <f>Dashboard!C32</f>
        <v>5</v>
      </c>
    </row>
    <row r="10" spans="2:17" ht="15" customHeight="1" thickBot="1">
      <c r="B10" s="293" t="s">
        <v>856</v>
      </c>
      <c r="C10" s="291">
        <f t="shared" ref="C10:Q10" si="0">C9/SUM($C$9:$Q$9)</f>
        <v>8.1632653061224483E-2</v>
      </c>
      <c r="D10" s="291">
        <f t="shared" si="0"/>
        <v>9.1836734693877556E-2</v>
      </c>
      <c r="E10" s="291">
        <f t="shared" si="0"/>
        <v>9.1836734693877556E-2</v>
      </c>
      <c r="F10" s="291">
        <f t="shared" si="0"/>
        <v>9.1836734693877556E-2</v>
      </c>
      <c r="G10" s="291">
        <f t="shared" si="0"/>
        <v>6.1224489795918366E-2</v>
      </c>
      <c r="H10" s="291">
        <f t="shared" si="0"/>
        <v>7.1428571428571425E-2</v>
      </c>
      <c r="I10" s="291">
        <f t="shared" si="0"/>
        <v>4.0816326530612242E-2</v>
      </c>
      <c r="J10" s="291">
        <f t="shared" si="0"/>
        <v>8.1632653061224483E-2</v>
      </c>
      <c r="K10" s="291">
        <f t="shared" si="0"/>
        <v>3.0612244897959183E-2</v>
      </c>
      <c r="L10" s="291">
        <f t="shared" si="0"/>
        <v>5.1020408163265307E-2</v>
      </c>
      <c r="M10" s="291">
        <f t="shared" si="0"/>
        <v>8.1632653061224483E-2</v>
      </c>
      <c r="N10" s="291">
        <f t="shared" si="0"/>
        <v>7.1428571428571425E-2</v>
      </c>
      <c r="O10" s="291">
        <f t="shared" si="0"/>
        <v>4.0816326530612242E-2</v>
      </c>
      <c r="P10" s="291">
        <f t="shared" si="0"/>
        <v>6.1224489795918366E-2</v>
      </c>
      <c r="Q10" s="292">
        <f t="shared" si="0"/>
        <v>5.1020408163265307E-2</v>
      </c>
    </row>
    <row r="11" spans="2:17" ht="13" thickBot="1"/>
    <row r="12" spans="2:17" ht="15" customHeight="1" thickBot="1">
      <c r="B12" s="296" t="s">
        <v>857</v>
      </c>
      <c r="C12" s="294">
        <f t="shared" ref="C12:Q12" si="1">SQRT(SUMSQ(C3:C7))</f>
        <v>6097.5409797720913</v>
      </c>
      <c r="D12" s="294">
        <f t="shared" si="1"/>
        <v>108.82095386459356</v>
      </c>
      <c r="E12" s="294">
        <f t="shared" si="1"/>
        <v>128.07810117268292</v>
      </c>
      <c r="F12" s="294">
        <f t="shared" si="1"/>
        <v>147.92565700378012</v>
      </c>
      <c r="G12" s="294">
        <f t="shared" si="1"/>
        <v>0.33075670817082453</v>
      </c>
      <c r="H12" s="294">
        <f t="shared" si="1"/>
        <v>296403.7644042329</v>
      </c>
      <c r="I12" s="294">
        <f t="shared" si="1"/>
        <v>0.27166155414412252</v>
      </c>
      <c r="J12" s="294">
        <f t="shared" si="1"/>
        <v>0.82106840153546279</v>
      </c>
      <c r="K12" s="294">
        <f t="shared" si="1"/>
        <v>3258947.4964764314</v>
      </c>
      <c r="L12" s="294">
        <f t="shared" si="1"/>
        <v>0.28593904944935383</v>
      </c>
      <c r="M12" s="294">
        <f t="shared" si="1"/>
        <v>39.623225512317902</v>
      </c>
      <c r="N12" s="294">
        <f t="shared" si="1"/>
        <v>8790.7757620246466</v>
      </c>
      <c r="O12" s="294">
        <f t="shared" si="1"/>
        <v>0.27658633371878666</v>
      </c>
      <c r="P12" s="294">
        <f t="shared" si="1"/>
        <v>38.450319894638071</v>
      </c>
      <c r="Q12" s="295">
        <f t="shared" si="1"/>
        <v>136.07255821803307</v>
      </c>
    </row>
    <row r="13" spans="2:17" ht="13" thickBot="1"/>
    <row r="14" spans="2:17" ht="15" customHeight="1" thickBot="1">
      <c r="B14" s="296" t="s">
        <v>858</v>
      </c>
      <c r="C14" s="311">
        <f t="shared" ref="C14:Q14" si="2">C3/C$12</f>
        <v>0.18778061579223643</v>
      </c>
      <c r="D14" s="312">
        <f t="shared" si="2"/>
        <v>0.50541736721437647</v>
      </c>
      <c r="E14" s="312">
        <f t="shared" si="2"/>
        <v>0.46846415937338298</v>
      </c>
      <c r="F14" s="312">
        <f t="shared" si="2"/>
        <v>0.33800762499721254</v>
      </c>
      <c r="G14" s="312">
        <f t="shared" si="2"/>
        <v>0.36280443309414029</v>
      </c>
      <c r="H14" s="312">
        <f t="shared" si="2"/>
        <v>0.92681683902418366</v>
      </c>
      <c r="I14" s="312">
        <f t="shared" si="2"/>
        <v>0.73621017383231024</v>
      </c>
      <c r="J14" s="312">
        <f t="shared" si="2"/>
        <v>0.36196740666698723</v>
      </c>
      <c r="K14" s="312">
        <f t="shared" si="2"/>
        <v>0.8036579303077892</v>
      </c>
      <c r="L14" s="312">
        <f t="shared" si="2"/>
        <v>0.4728280389137508</v>
      </c>
      <c r="M14" s="312">
        <f t="shared" si="2"/>
        <v>0.50475446512506872</v>
      </c>
      <c r="N14" s="312">
        <f t="shared" si="2"/>
        <v>0.78330629587280942</v>
      </c>
      <c r="O14" s="312">
        <f t="shared" si="2"/>
        <v>0.43386091563731227</v>
      </c>
      <c r="P14" s="312">
        <f t="shared" si="2"/>
        <v>0.43042554770286612</v>
      </c>
      <c r="Q14" s="313">
        <f t="shared" si="2"/>
        <v>0.15675460415627898</v>
      </c>
    </row>
    <row r="15" spans="2:17" ht="15" customHeight="1">
      <c r="C15" s="314">
        <f t="shared" ref="C15:Q15" si="3">C4/C$12</f>
        <v>0.96579916716199155</v>
      </c>
      <c r="D15" s="315">
        <f t="shared" si="3"/>
        <v>0.56055380727412663</v>
      </c>
      <c r="E15" s="315">
        <f t="shared" si="3"/>
        <v>0.4528486873942702</v>
      </c>
      <c r="F15" s="315">
        <f t="shared" si="3"/>
        <v>0.51377158999576311</v>
      </c>
      <c r="G15" s="315">
        <f t="shared" si="3"/>
        <v>0.30233702757845027</v>
      </c>
      <c r="H15" s="315">
        <f t="shared" si="3"/>
        <v>0.33087299075679166</v>
      </c>
      <c r="I15" s="315">
        <f t="shared" si="3"/>
        <v>0.55215763037423271</v>
      </c>
      <c r="J15" s="315">
        <f t="shared" si="3"/>
        <v>0.38023628654587283</v>
      </c>
      <c r="K15" s="315">
        <f t="shared" si="3"/>
        <v>0.12954120938015951</v>
      </c>
      <c r="L15" s="315">
        <f t="shared" si="3"/>
        <v>0.69875031194502535</v>
      </c>
      <c r="M15" s="315">
        <f t="shared" si="3"/>
        <v>0.50475446512506872</v>
      </c>
      <c r="N15" s="315">
        <f t="shared" si="3"/>
        <v>0.1532515487222165</v>
      </c>
      <c r="O15" s="315">
        <f t="shared" si="3"/>
        <v>0.21693045781865614</v>
      </c>
      <c r="P15" s="315">
        <f t="shared" si="3"/>
        <v>0.56280416025921587</v>
      </c>
      <c r="Q15" s="316">
        <f t="shared" si="3"/>
        <v>9.1127852392773531E-2</v>
      </c>
    </row>
    <row r="16" spans="2:17" ht="15" customHeight="1">
      <c r="C16" s="314">
        <f t="shared" ref="C16:Q16" si="4">C5/C$12</f>
        <v>0.14235246681891811</v>
      </c>
      <c r="D16" s="315">
        <f t="shared" si="4"/>
        <v>0.49622796053775142</v>
      </c>
      <c r="E16" s="315">
        <f t="shared" si="4"/>
        <v>0.46846415937338298</v>
      </c>
      <c r="F16" s="315">
        <f t="shared" si="4"/>
        <v>0.46645052249615332</v>
      </c>
      <c r="G16" s="315">
        <f t="shared" si="4"/>
        <v>0.45350554136767535</v>
      </c>
      <c r="H16" s="315">
        <f t="shared" si="4"/>
        <v>0.17158688960049417</v>
      </c>
      <c r="I16" s="315">
        <f t="shared" si="4"/>
        <v>0.36810508691615512</v>
      </c>
      <c r="J16" s="315">
        <f t="shared" si="4"/>
        <v>-0.15199708059232842</v>
      </c>
      <c r="K16" s="315">
        <f t="shared" si="4"/>
        <v>0.56504132146681152</v>
      </c>
      <c r="L16" s="315">
        <f t="shared" si="4"/>
        <v>0.21578025148652683</v>
      </c>
      <c r="M16" s="315">
        <f t="shared" si="4"/>
        <v>0.42904129535630842</v>
      </c>
      <c r="N16" s="315">
        <f t="shared" si="4"/>
        <v>0.6013360075496349</v>
      </c>
      <c r="O16" s="315">
        <f t="shared" si="4"/>
        <v>0.72310152606218714</v>
      </c>
      <c r="P16" s="315">
        <f t="shared" si="4"/>
        <v>0.19427666715047792</v>
      </c>
      <c r="Q16" s="316">
        <f t="shared" si="4"/>
        <v>8.5763067534166695E-2</v>
      </c>
    </row>
    <row r="17" spans="2:18" ht="15" customHeight="1">
      <c r="C17" s="314">
        <f t="shared" ref="C17:Q17" si="5">C6/C$12</f>
        <v>8.5280279661103006E-2</v>
      </c>
      <c r="D17" s="315">
        <f t="shared" si="5"/>
        <v>0.31243982700525086</v>
      </c>
      <c r="E17" s="315">
        <f t="shared" si="5"/>
        <v>0.40600227145693191</v>
      </c>
      <c r="F17" s="315">
        <f t="shared" si="5"/>
        <v>0.44617006499632056</v>
      </c>
      <c r="G17" s="315">
        <f t="shared" si="5"/>
        <v>0.60467405515690054</v>
      </c>
      <c r="H17" s="315">
        <f t="shared" si="5"/>
        <v>4.4702536172684243E-2</v>
      </c>
      <c r="I17" s="315">
        <f t="shared" si="5"/>
        <v>0.11043152607484653</v>
      </c>
      <c r="J17" s="315">
        <f t="shared" si="5"/>
        <v>0.11740800135497162</v>
      </c>
      <c r="K17" s="315">
        <f t="shared" si="5"/>
        <v>0.1146413068648533</v>
      </c>
      <c r="L17" s="315">
        <f t="shared" si="5"/>
        <v>-0.11575893556246414</v>
      </c>
      <c r="M17" s="315">
        <f t="shared" si="5"/>
        <v>0.40380357210005496</v>
      </c>
      <c r="N17" s="315">
        <f t="shared" si="5"/>
        <v>8.001569133848507E-3</v>
      </c>
      <c r="O17" s="315">
        <f t="shared" si="5"/>
        <v>0.14462030521243743</v>
      </c>
      <c r="P17" s="315">
        <f t="shared" si="5"/>
        <v>0.65565124215040815</v>
      </c>
      <c r="Q17" s="316">
        <f t="shared" si="5"/>
        <v>0.15491734906771498</v>
      </c>
    </row>
    <row r="18" spans="2:18" ht="15" customHeight="1" thickBot="1">
      <c r="C18" s="317">
        <f t="shared" ref="C18:Q18" si="6">C7/C$12</f>
        <v>6.6584218350784277E-2</v>
      </c>
      <c r="D18" s="318">
        <f t="shared" si="6"/>
        <v>0.29406101365200082</v>
      </c>
      <c r="E18" s="318">
        <f t="shared" si="6"/>
        <v>0.43723321541515742</v>
      </c>
      <c r="F18" s="318">
        <f t="shared" si="6"/>
        <v>0.45293021749626483</v>
      </c>
      <c r="G18" s="318">
        <f t="shared" si="6"/>
        <v>0.45350554136767535</v>
      </c>
      <c r="H18" s="318">
        <f t="shared" si="6"/>
        <v>9.6557478132997965E-3</v>
      </c>
      <c r="I18" s="318">
        <f t="shared" si="6"/>
        <v>7.3621017383231027E-2</v>
      </c>
      <c r="J18" s="318">
        <f t="shared" si="6"/>
        <v>-0.82916356143635561</v>
      </c>
      <c r="K18" s="318">
        <f t="shared" si="6"/>
        <v>7.0275756282548715E-2</v>
      </c>
      <c r="L18" s="318">
        <f t="shared" si="6"/>
        <v>0.47772418724569798</v>
      </c>
      <c r="M18" s="318">
        <f t="shared" si="6"/>
        <v>0.37856584884380157</v>
      </c>
      <c r="N18" s="318">
        <f t="shared" si="6"/>
        <v>3.5723809650181765E-2</v>
      </c>
      <c r="O18" s="318">
        <f t="shared" si="6"/>
        <v>0.47001599194042165</v>
      </c>
      <c r="P18" s="318">
        <f t="shared" si="6"/>
        <v>-0.17425082595826</v>
      </c>
      <c r="Q18" s="319">
        <f t="shared" si="6"/>
        <v>0.96735154923070799</v>
      </c>
    </row>
    <row r="19" spans="2:18" ht="13" thickBot="1"/>
    <row r="20" spans="2:18" ht="15" customHeight="1" thickBot="1">
      <c r="B20" s="320" t="s">
        <v>859</v>
      </c>
      <c r="C20" s="297">
        <f t="shared" ref="C20:Q20" si="7">C$10*C14</f>
        <v>1.5329029860590728E-2</v>
      </c>
      <c r="D20" s="298">
        <f t="shared" si="7"/>
        <v>4.6415880662544783E-2</v>
      </c>
      <c r="E20" s="298">
        <f t="shared" si="7"/>
        <v>4.3022218717963745E-2</v>
      </c>
      <c r="F20" s="298">
        <f t="shared" si="7"/>
        <v>3.1041516581376664E-2</v>
      </c>
      <c r="G20" s="298">
        <f t="shared" si="7"/>
        <v>2.221251631188614E-2</v>
      </c>
      <c r="H20" s="298">
        <f t="shared" si="7"/>
        <v>6.6201202787441682E-2</v>
      </c>
      <c r="I20" s="298">
        <f t="shared" si="7"/>
        <v>3.0049394850298373E-2</v>
      </c>
      <c r="J20" s="298">
        <f t="shared" si="7"/>
        <v>2.9548359727917323E-2</v>
      </c>
      <c r="K20" s="298">
        <f t="shared" si="7"/>
        <v>2.4601773376769057E-2</v>
      </c>
      <c r="L20" s="298">
        <f t="shared" si="7"/>
        <v>2.4123879536415857E-2</v>
      </c>
      <c r="M20" s="298">
        <f t="shared" si="7"/>
        <v>4.1204446132658668E-2</v>
      </c>
      <c r="N20" s="298">
        <f t="shared" si="7"/>
        <v>5.5950449705200668E-2</v>
      </c>
      <c r="O20" s="298">
        <f t="shared" si="7"/>
        <v>1.7708608801522949E-2</v>
      </c>
      <c r="P20" s="298">
        <f t="shared" si="7"/>
        <v>2.6352584553236701E-2</v>
      </c>
      <c r="Q20" s="299">
        <f t="shared" si="7"/>
        <v>7.9976838855244387E-3</v>
      </c>
    </row>
    <row r="21" spans="2:18" ht="12.5">
      <c r="C21" s="300">
        <f t="shared" ref="C21:Q21" si="8">C$10*C15</f>
        <v>7.8840748339754407E-2</v>
      </c>
      <c r="D21" s="301">
        <f t="shared" si="8"/>
        <v>5.147943128027694E-2</v>
      </c>
      <c r="E21" s="301">
        <f t="shared" si="8"/>
        <v>4.1588144760698283E-2</v>
      </c>
      <c r="F21" s="301">
        <f t="shared" si="8"/>
        <v>4.7183105203692531E-2</v>
      </c>
      <c r="G21" s="301">
        <f t="shared" si="8"/>
        <v>1.851043025990512E-2</v>
      </c>
      <c r="H21" s="301">
        <f t="shared" si="8"/>
        <v>2.3633785054056545E-2</v>
      </c>
      <c r="I21" s="301">
        <f t="shared" si="8"/>
        <v>2.2537046137723782E-2</v>
      </c>
      <c r="J21" s="301">
        <f t="shared" si="8"/>
        <v>3.1039696860887575E-2</v>
      </c>
      <c r="K21" s="301">
        <f t="shared" si="8"/>
        <v>3.9655472259232504E-3</v>
      </c>
      <c r="L21" s="301">
        <f t="shared" si="8"/>
        <v>3.5650526119644151E-2</v>
      </c>
      <c r="M21" s="301">
        <f t="shared" si="8"/>
        <v>4.1204446132658668E-2</v>
      </c>
      <c r="N21" s="301">
        <f t="shared" si="8"/>
        <v>1.0946539194444035E-2</v>
      </c>
      <c r="O21" s="301">
        <f t="shared" si="8"/>
        <v>8.8543044007614747E-3</v>
      </c>
      <c r="P21" s="301">
        <f t="shared" si="8"/>
        <v>3.4457397566890764E-2</v>
      </c>
      <c r="Q21" s="302">
        <f t="shared" si="8"/>
        <v>4.6493802241210982E-3</v>
      </c>
    </row>
    <row r="22" spans="2:18" ht="12.5">
      <c r="C22" s="300">
        <f t="shared" ref="C22:Q22" si="9">C$10*C16</f>
        <v>1.1620609536238212E-2</v>
      </c>
      <c r="D22" s="301">
        <f t="shared" si="9"/>
        <v>4.5571955559589421E-2</v>
      </c>
      <c r="E22" s="301">
        <f t="shared" si="9"/>
        <v>4.3022218717963745E-2</v>
      </c>
      <c r="F22" s="301">
        <f t="shared" si="9"/>
        <v>4.2837292882299795E-2</v>
      </c>
      <c r="G22" s="301">
        <f t="shared" si="9"/>
        <v>2.7765645389857672E-2</v>
      </c>
      <c r="H22" s="301">
        <f t="shared" si="9"/>
        <v>1.2256206400035297E-2</v>
      </c>
      <c r="I22" s="301">
        <f t="shared" si="9"/>
        <v>1.5024697425149187E-2</v>
      </c>
      <c r="J22" s="301">
        <f t="shared" si="9"/>
        <v>-1.2407924946312522E-2</v>
      </c>
      <c r="K22" s="301">
        <f t="shared" si="9"/>
        <v>1.7297183310208516E-2</v>
      </c>
      <c r="L22" s="301">
        <f t="shared" si="9"/>
        <v>1.1009196504414634E-2</v>
      </c>
      <c r="M22" s="301">
        <f t="shared" si="9"/>
        <v>3.502377921275987E-2</v>
      </c>
      <c r="N22" s="301">
        <f t="shared" si="9"/>
        <v>4.295257196783106E-2</v>
      </c>
      <c r="O22" s="301">
        <f t="shared" si="9"/>
        <v>2.9514348002538247E-2</v>
      </c>
      <c r="P22" s="301">
        <f t="shared" si="9"/>
        <v>1.1894489825539464E-2</v>
      </c>
      <c r="Q22" s="302">
        <f t="shared" si="9"/>
        <v>4.3756667109268723E-3</v>
      </c>
    </row>
    <row r="23" spans="2:18" ht="12.5">
      <c r="C23" s="300">
        <f t="shared" ref="C23:Q23" si="10">C$10*C17</f>
        <v>6.9616554825390206E-3</v>
      </c>
      <c r="D23" s="301">
        <f t="shared" si="10"/>
        <v>2.8693453500482222E-2</v>
      </c>
      <c r="E23" s="301">
        <f t="shared" si="10"/>
        <v>3.728592288890191E-2</v>
      </c>
      <c r="F23" s="301">
        <f t="shared" si="10"/>
        <v>4.0974801887417193E-2</v>
      </c>
      <c r="G23" s="301">
        <f t="shared" si="10"/>
        <v>3.7020860519810239E-2</v>
      </c>
      <c r="H23" s="301">
        <f t="shared" si="10"/>
        <v>3.1930382980488742E-3</v>
      </c>
      <c r="I23" s="301">
        <f t="shared" si="10"/>
        <v>4.507409227544756E-3</v>
      </c>
      <c r="J23" s="301">
        <f t="shared" si="10"/>
        <v>9.5843266412221715E-3</v>
      </c>
      <c r="K23" s="301">
        <f t="shared" si="10"/>
        <v>3.5094277611689784E-3</v>
      </c>
      <c r="L23" s="301">
        <f t="shared" si="10"/>
        <v>-5.9060681409420484E-3</v>
      </c>
      <c r="M23" s="301">
        <f t="shared" si="10"/>
        <v>3.2963556906126935E-2</v>
      </c>
      <c r="N23" s="301">
        <f t="shared" si="10"/>
        <v>5.7154065241775051E-4</v>
      </c>
      <c r="O23" s="301">
        <f t="shared" si="10"/>
        <v>5.9028696005076495E-3</v>
      </c>
      <c r="P23" s="301">
        <f t="shared" si="10"/>
        <v>4.0141912784718868E-2</v>
      </c>
      <c r="Q23" s="302">
        <f t="shared" si="10"/>
        <v>7.903946381005866E-3</v>
      </c>
    </row>
    <row r="24" spans="2:18" ht="13" thickBot="1">
      <c r="C24" s="303">
        <f t="shared" ref="C24:Q24" si="11">C$10*C18</f>
        <v>5.4354463959823893E-3</v>
      </c>
      <c r="D24" s="304">
        <f t="shared" si="11"/>
        <v>2.7005603294571506E-2</v>
      </c>
      <c r="E24" s="304">
        <f t="shared" si="11"/>
        <v>4.0154070803432827E-2</v>
      </c>
      <c r="F24" s="304">
        <f t="shared" si="11"/>
        <v>4.1595632219044734E-2</v>
      </c>
      <c r="G24" s="304">
        <f t="shared" si="11"/>
        <v>2.7765645389857672E-2</v>
      </c>
      <c r="H24" s="304">
        <f t="shared" si="11"/>
        <v>6.8969627237855683E-4</v>
      </c>
      <c r="I24" s="304">
        <f t="shared" si="11"/>
        <v>3.0049394850298378E-3</v>
      </c>
      <c r="J24" s="304">
        <f t="shared" si="11"/>
        <v>-6.7686821341743308E-2</v>
      </c>
      <c r="K24" s="304">
        <f t="shared" si="11"/>
        <v>2.1512986617106748E-3</v>
      </c>
      <c r="L24" s="304">
        <f t="shared" si="11"/>
        <v>2.4373683022739692E-2</v>
      </c>
      <c r="M24" s="304">
        <f t="shared" si="11"/>
        <v>3.0903334599494004E-2</v>
      </c>
      <c r="N24" s="304">
        <f t="shared" si="11"/>
        <v>2.5517006892986972E-3</v>
      </c>
      <c r="O24" s="304">
        <f t="shared" si="11"/>
        <v>1.9184326201649862E-2</v>
      </c>
      <c r="P24" s="304">
        <f t="shared" si="11"/>
        <v>-1.0668417915811836E-2</v>
      </c>
      <c r="Q24" s="305">
        <f t="shared" si="11"/>
        <v>4.9354670879117754E-2</v>
      </c>
    </row>
    <row r="26" spans="2:18" ht="13" thickBot="1">
      <c r="R26" s="307" t="s">
        <v>860</v>
      </c>
    </row>
    <row r="27" spans="2:18" ht="13.5" thickBot="1">
      <c r="B27" s="293" t="s">
        <v>861</v>
      </c>
      <c r="C27" s="311">
        <f t="shared" ref="C27:C31" si="12">C20-MAX($C$20:$C$24)</f>
        <v>-6.3511718479163676E-2</v>
      </c>
      <c r="D27" s="312">
        <f t="shared" ref="D27:M27" si="13">D20-MIN(D$20:D$24)</f>
        <v>1.9410277367973277E-2</v>
      </c>
      <c r="E27" s="312">
        <f t="shared" si="13"/>
        <v>5.7362958290618354E-3</v>
      </c>
      <c r="F27" s="312">
        <f t="shared" si="13"/>
        <v>0</v>
      </c>
      <c r="G27" s="312">
        <f t="shared" si="13"/>
        <v>3.7020860519810204E-3</v>
      </c>
      <c r="H27" s="312">
        <f t="shared" si="13"/>
        <v>6.5511506515063128E-2</v>
      </c>
      <c r="I27" s="312">
        <f t="shared" si="13"/>
        <v>2.7044455365268536E-2</v>
      </c>
      <c r="J27" s="312">
        <f t="shared" si="13"/>
        <v>9.7235181069660628E-2</v>
      </c>
      <c r="K27" s="312">
        <f t="shared" si="13"/>
        <v>2.2450474715058382E-2</v>
      </c>
      <c r="L27" s="312">
        <f t="shared" si="13"/>
        <v>3.0029947677357907E-2</v>
      </c>
      <c r="M27" s="312">
        <f t="shared" si="13"/>
        <v>1.0301111533164663E-2</v>
      </c>
      <c r="N27" s="312">
        <f t="shared" ref="N27:O27" si="14">N20-MAX(N$20:N$24)</f>
        <v>0</v>
      </c>
      <c r="O27" s="312">
        <f t="shared" si="14"/>
        <v>-1.1805739201015297E-2</v>
      </c>
      <c r="P27" s="312">
        <f t="shared" ref="P27:Q27" si="15">P20-MIN(P$20:P$24)</f>
        <v>3.7021002469048533E-2</v>
      </c>
      <c r="Q27" s="313">
        <f t="shared" si="15"/>
        <v>3.6220171745975664E-3</v>
      </c>
      <c r="R27" s="308">
        <f t="shared" ref="R27:R31" si="16">SQRT(SUMSQ(C27:Q27))</f>
        <v>0.14822257538493799</v>
      </c>
    </row>
    <row r="28" spans="2:18" ht="12.5">
      <c r="C28" s="314">
        <f t="shared" si="12"/>
        <v>0</v>
      </c>
      <c r="D28" s="315">
        <f t="shared" ref="D28:M28" si="17">D21-MIN(D$20:D$24)</f>
        <v>2.4473827985705434E-2</v>
      </c>
      <c r="E28" s="315">
        <f t="shared" si="17"/>
        <v>4.3022218717963731E-3</v>
      </c>
      <c r="F28" s="315">
        <f t="shared" si="17"/>
        <v>1.6141588622315867E-2</v>
      </c>
      <c r="G28" s="315">
        <f t="shared" si="17"/>
        <v>0</v>
      </c>
      <c r="H28" s="315">
        <f t="shared" si="17"/>
        <v>2.2944088781677988E-2</v>
      </c>
      <c r="I28" s="315">
        <f t="shared" si="17"/>
        <v>1.9532106652693944E-2</v>
      </c>
      <c r="J28" s="315">
        <f t="shared" si="17"/>
        <v>9.8726518202630884E-2</v>
      </c>
      <c r="K28" s="315">
        <f t="shared" si="17"/>
        <v>1.8142485642125756E-3</v>
      </c>
      <c r="L28" s="315">
        <f t="shared" si="17"/>
        <v>4.1556594260586201E-2</v>
      </c>
      <c r="M28" s="315">
        <f t="shared" si="17"/>
        <v>1.0301111533164663E-2</v>
      </c>
      <c r="N28" s="315">
        <f t="shared" ref="N28:O28" si="18">N21-MAX(N$20:N$24)</f>
        <v>-4.5003910510756633E-2</v>
      </c>
      <c r="O28" s="315">
        <f t="shared" si="18"/>
        <v>-2.066004360177677E-2</v>
      </c>
      <c r="P28" s="315">
        <f t="shared" ref="P28:Q28" si="19">P21-MIN(P$20:P$24)</f>
        <v>4.51258154827026E-2</v>
      </c>
      <c r="Q28" s="316">
        <f t="shared" si="19"/>
        <v>2.7371351319422591E-4</v>
      </c>
      <c r="R28" s="309">
        <f t="shared" si="16"/>
        <v>0.1336332536364076</v>
      </c>
    </row>
    <row r="29" spans="2:18" ht="12.5">
      <c r="C29" s="314">
        <f t="shared" si="12"/>
        <v>-6.7220138803516197E-2</v>
      </c>
      <c r="D29" s="315">
        <f t="shared" ref="D29:M29" si="20">D22-MIN(D$20:D$24)</f>
        <v>1.8566352265017915E-2</v>
      </c>
      <c r="E29" s="315">
        <f t="shared" si="20"/>
        <v>5.7362958290618354E-3</v>
      </c>
      <c r="F29" s="315">
        <f t="shared" si="20"/>
        <v>1.1795776300923131E-2</v>
      </c>
      <c r="G29" s="315">
        <f t="shared" si="20"/>
        <v>9.2552151299525529E-3</v>
      </c>
      <c r="H29" s="315">
        <f t="shared" si="20"/>
        <v>1.156651012765674E-2</v>
      </c>
      <c r="I29" s="315">
        <f t="shared" si="20"/>
        <v>1.2019757940119349E-2</v>
      </c>
      <c r="J29" s="315">
        <f t="shared" si="20"/>
        <v>5.5278896395430786E-2</v>
      </c>
      <c r="K29" s="315">
        <f t="shared" si="20"/>
        <v>1.5145884648497841E-2</v>
      </c>
      <c r="L29" s="315">
        <f t="shared" si="20"/>
        <v>1.6915264645356684E-2</v>
      </c>
      <c r="M29" s="315">
        <f t="shared" si="20"/>
        <v>4.1204446132658661E-3</v>
      </c>
      <c r="N29" s="315">
        <f t="shared" ref="N29:O29" si="21">N22-MAX(N$20:N$24)</f>
        <v>-1.2997877737369608E-2</v>
      </c>
      <c r="O29" s="315">
        <f t="shared" si="21"/>
        <v>0</v>
      </c>
      <c r="P29" s="315">
        <f t="shared" ref="P29:Q29" si="22">P22-MIN(P$20:P$24)</f>
        <v>2.25629077413513E-2</v>
      </c>
      <c r="Q29" s="316">
        <f t="shared" si="22"/>
        <v>0</v>
      </c>
      <c r="R29" s="309">
        <f t="shared" si="16"/>
        <v>9.8313314214722516E-2</v>
      </c>
    </row>
    <row r="30" spans="2:18" ht="12.5">
      <c r="C30" s="314">
        <f t="shared" si="12"/>
        <v>-7.1879092857215388E-2</v>
      </c>
      <c r="D30" s="315">
        <f t="shared" ref="D30:M30" si="23">D23-MIN(D$20:D$24)</f>
        <v>1.6878502059107167E-3</v>
      </c>
      <c r="E30" s="315">
        <f t="shared" si="23"/>
        <v>0</v>
      </c>
      <c r="F30" s="315">
        <f t="shared" si="23"/>
        <v>9.9332853060405298E-3</v>
      </c>
      <c r="G30" s="315">
        <f t="shared" si="23"/>
        <v>1.851043025990512E-2</v>
      </c>
      <c r="H30" s="315">
        <f t="shared" si="23"/>
        <v>2.5033420256703174E-3</v>
      </c>
      <c r="I30" s="315">
        <f t="shared" si="23"/>
        <v>1.5024697425149182E-3</v>
      </c>
      <c r="J30" s="315">
        <f t="shared" si="23"/>
        <v>7.7271147982965485E-2</v>
      </c>
      <c r="K30" s="315">
        <f t="shared" si="23"/>
        <v>1.3581290994583036E-3</v>
      </c>
      <c r="L30" s="315">
        <f t="shared" si="23"/>
        <v>0</v>
      </c>
      <c r="M30" s="315">
        <f t="shared" si="23"/>
        <v>2.0602223066329313E-3</v>
      </c>
      <c r="N30" s="315">
        <f t="shared" ref="N30:O30" si="24">N23-MAX(N$20:N$24)</f>
        <v>-5.5378909052782921E-2</v>
      </c>
      <c r="O30" s="315">
        <f t="shared" si="24"/>
        <v>-2.3611478402030598E-2</v>
      </c>
      <c r="P30" s="315">
        <f t="shared" ref="P30:Q30" si="25">P23-MIN(P$20:P$24)</f>
        <v>5.0810330700530704E-2</v>
      </c>
      <c r="Q30" s="316">
        <f t="shared" si="25"/>
        <v>3.5282796700789936E-3</v>
      </c>
      <c r="R30" s="309">
        <f t="shared" si="16"/>
        <v>0.13347159411290066</v>
      </c>
    </row>
    <row r="31" spans="2:18" ht="13" thickBot="1">
      <c r="C31" s="317">
        <f t="shared" si="12"/>
        <v>-7.3405301943772011E-2</v>
      </c>
      <c r="D31" s="318">
        <f t="shared" ref="D31:M31" si="26">D24-MIN(D$20:D$24)</f>
        <v>0</v>
      </c>
      <c r="E31" s="318">
        <f t="shared" si="26"/>
        <v>2.8681479145309177E-3</v>
      </c>
      <c r="F31" s="318">
        <f t="shared" si="26"/>
        <v>1.055411563766807E-2</v>
      </c>
      <c r="G31" s="318">
        <f t="shared" si="26"/>
        <v>9.2552151299525529E-3</v>
      </c>
      <c r="H31" s="318">
        <f t="shared" si="26"/>
        <v>0</v>
      </c>
      <c r="I31" s="318">
        <f t="shared" si="26"/>
        <v>0</v>
      </c>
      <c r="J31" s="318">
        <f t="shared" si="26"/>
        <v>0</v>
      </c>
      <c r="K31" s="318">
        <f t="shared" si="26"/>
        <v>0</v>
      </c>
      <c r="L31" s="318">
        <f t="shared" si="26"/>
        <v>3.0279751163681742E-2</v>
      </c>
      <c r="M31" s="318">
        <f t="shared" si="26"/>
        <v>0</v>
      </c>
      <c r="N31" s="318">
        <f t="shared" ref="N31:O31" si="27">N24-MAX(N$20:N$24)</f>
        <v>-5.339874901590197E-2</v>
      </c>
      <c r="O31" s="318">
        <f t="shared" si="27"/>
        <v>-1.0330021800888385E-2</v>
      </c>
      <c r="P31" s="318">
        <f t="shared" ref="P31:Q31" si="28">P24-MIN(P$20:P$24)</f>
        <v>0</v>
      </c>
      <c r="Q31" s="319">
        <f t="shared" si="28"/>
        <v>4.4979004168190881E-2</v>
      </c>
      <c r="R31" s="310">
        <f t="shared" si="16"/>
        <v>0.1071994537452392</v>
      </c>
    </row>
    <row r="33" spans="2:18" ht="13" thickBot="1">
      <c r="R33" s="307" t="s">
        <v>862</v>
      </c>
    </row>
    <row r="34" spans="2:18" ht="13.5" thickBot="1">
      <c r="B34" s="306" t="s">
        <v>863</v>
      </c>
      <c r="C34" s="335">
        <f t="shared" ref="C34:C38" si="29">C20-MIN(C$20:C$24)</f>
        <v>9.8935834646083388E-3</v>
      </c>
      <c r="D34" s="336">
        <f t="shared" ref="D34:M34" si="30">D20-MAX(D$20:D$24)</f>
        <v>-5.0635506177321571E-3</v>
      </c>
      <c r="E34" s="336">
        <f t="shared" si="30"/>
        <v>0</v>
      </c>
      <c r="F34" s="336">
        <f t="shared" si="30"/>
        <v>-1.6141588622315867E-2</v>
      </c>
      <c r="G34" s="336">
        <f t="shared" si="30"/>
        <v>-1.4808344207924099E-2</v>
      </c>
      <c r="H34" s="336">
        <f t="shared" si="30"/>
        <v>0</v>
      </c>
      <c r="I34" s="336">
        <f t="shared" si="30"/>
        <v>0</v>
      </c>
      <c r="J34" s="336">
        <f t="shared" si="30"/>
        <v>-1.4913371329702517E-3</v>
      </c>
      <c r="K34" s="336">
        <f t="shared" si="30"/>
        <v>0</v>
      </c>
      <c r="L34" s="336">
        <f t="shared" si="30"/>
        <v>-1.1526646583228294E-2</v>
      </c>
      <c r="M34" s="336">
        <f t="shared" si="30"/>
        <v>0</v>
      </c>
      <c r="N34" s="336">
        <f t="shared" ref="N34:O34" si="31">N20-MIN(N$20:N$24)</f>
        <v>5.5378909052782921E-2</v>
      </c>
      <c r="O34" s="336">
        <f t="shared" si="31"/>
        <v>1.1805739201015301E-2</v>
      </c>
      <c r="P34" s="336">
        <f t="shared" ref="P34:Q34" si="32">P20-MAX(P$20:P$24)</f>
        <v>-1.3789328231482167E-2</v>
      </c>
      <c r="Q34" s="337">
        <f t="shared" si="32"/>
        <v>-4.1356986993593317E-2</v>
      </c>
      <c r="R34" s="308">
        <f t="shared" ref="R34:R38" si="33">SQRT(SUMSQ(C34:Q34))</f>
        <v>7.6453862820549223E-2</v>
      </c>
    </row>
    <row r="35" spans="2:18" ht="12.5">
      <c r="C35" s="338">
        <f t="shared" si="29"/>
        <v>7.3405301943772011E-2</v>
      </c>
      <c r="D35" s="339">
        <f t="shared" ref="D35:M35" si="34">D21-MAX(D$20:D$24)</f>
        <v>0</v>
      </c>
      <c r="E35" s="339">
        <f t="shared" si="34"/>
        <v>-1.4340739572654623E-3</v>
      </c>
      <c r="F35" s="339">
        <f t="shared" si="34"/>
        <v>0</v>
      </c>
      <c r="G35" s="339">
        <f t="shared" si="34"/>
        <v>-1.851043025990512E-2</v>
      </c>
      <c r="H35" s="339">
        <f t="shared" si="34"/>
        <v>-4.2567417733385141E-2</v>
      </c>
      <c r="I35" s="339">
        <f t="shared" si="34"/>
        <v>-7.5123487125745916E-3</v>
      </c>
      <c r="J35" s="339">
        <f t="shared" si="34"/>
        <v>0</v>
      </c>
      <c r="K35" s="339">
        <f t="shared" si="34"/>
        <v>-2.0636226150845809E-2</v>
      </c>
      <c r="L35" s="339">
        <f t="shared" si="34"/>
        <v>0</v>
      </c>
      <c r="M35" s="339">
        <f t="shared" si="34"/>
        <v>0</v>
      </c>
      <c r="N35" s="339">
        <f t="shared" ref="N35:O35" si="35">N21-MIN(N$20:N$24)</f>
        <v>1.0374998542026285E-2</v>
      </c>
      <c r="O35" s="339">
        <f t="shared" si="35"/>
        <v>2.9514348002538252E-3</v>
      </c>
      <c r="P35" s="339">
        <f t="shared" ref="P35:Q35" si="36">P21-MAX(P$20:P$24)</f>
        <v>-5.6845152178281039E-3</v>
      </c>
      <c r="Q35" s="340">
        <f t="shared" si="36"/>
        <v>-4.4705290654996656E-2</v>
      </c>
      <c r="R35" s="309">
        <f t="shared" si="33"/>
        <v>0.10086889264451845</v>
      </c>
    </row>
    <row r="36" spans="2:18" ht="12.5">
      <c r="C36" s="338">
        <f t="shared" si="29"/>
        <v>6.185163140255823E-3</v>
      </c>
      <c r="D36" s="339">
        <f t="shared" ref="D36:M36" si="37">D22-MAX(D$20:D$24)</f>
        <v>-5.9074757206875189E-3</v>
      </c>
      <c r="E36" s="339">
        <f t="shared" si="37"/>
        <v>0</v>
      </c>
      <c r="F36" s="339">
        <f t="shared" si="37"/>
        <v>-4.3458123213927363E-3</v>
      </c>
      <c r="G36" s="339">
        <f t="shared" si="37"/>
        <v>-9.2552151299525667E-3</v>
      </c>
      <c r="H36" s="339">
        <f t="shared" si="37"/>
        <v>-5.3944996387406387E-2</v>
      </c>
      <c r="I36" s="339">
        <f t="shared" si="37"/>
        <v>-1.5024697425149187E-2</v>
      </c>
      <c r="J36" s="339">
        <f t="shared" si="37"/>
        <v>-4.3447621807200097E-2</v>
      </c>
      <c r="K36" s="339">
        <f t="shared" si="37"/>
        <v>-7.3045900665605415E-3</v>
      </c>
      <c r="L36" s="339">
        <f t="shared" si="37"/>
        <v>-2.4641329615229517E-2</v>
      </c>
      <c r="M36" s="339">
        <f t="shared" si="37"/>
        <v>-6.1806669198987974E-3</v>
      </c>
      <c r="N36" s="339">
        <f t="shared" ref="N36:O36" si="38">N22-MIN(N$20:N$24)</f>
        <v>4.2381031315413313E-2</v>
      </c>
      <c r="O36" s="339">
        <f t="shared" si="38"/>
        <v>2.3611478402030598E-2</v>
      </c>
      <c r="P36" s="339">
        <f t="shared" ref="P36:Q36" si="39">P22-MAX(P$20:P$24)</f>
        <v>-2.8247422959179404E-2</v>
      </c>
      <c r="Q36" s="340">
        <f t="shared" si="39"/>
        <v>-4.4979004168190881E-2</v>
      </c>
      <c r="R36" s="309">
        <f t="shared" si="33"/>
        <v>0.10523608632621582</v>
      </c>
    </row>
    <row r="37" spans="2:18" ht="12.5">
      <c r="C37" s="338">
        <f t="shared" si="29"/>
        <v>1.5262090865566314E-3</v>
      </c>
      <c r="D37" s="339">
        <f t="shared" ref="D37:M37" si="40">D23-MAX(D$20:D$24)</f>
        <v>-2.2785977779794717E-2</v>
      </c>
      <c r="E37" s="339">
        <f t="shared" si="40"/>
        <v>-5.7362958290618354E-3</v>
      </c>
      <c r="F37" s="339">
        <f t="shared" si="40"/>
        <v>-6.2083033162753376E-3</v>
      </c>
      <c r="G37" s="339">
        <f t="shared" si="40"/>
        <v>0</v>
      </c>
      <c r="H37" s="339">
        <f t="shared" si="40"/>
        <v>-6.3008164489392809E-2</v>
      </c>
      <c r="I37" s="339">
        <f t="shared" si="40"/>
        <v>-2.5541985622753616E-2</v>
      </c>
      <c r="J37" s="339">
        <f t="shared" si="40"/>
        <v>-2.1455370219665405E-2</v>
      </c>
      <c r="K37" s="339">
        <f t="shared" si="40"/>
        <v>-2.109234561560008E-2</v>
      </c>
      <c r="L37" s="339">
        <f t="shared" si="40"/>
        <v>-4.1556594260586201E-2</v>
      </c>
      <c r="M37" s="339">
        <f t="shared" si="40"/>
        <v>-8.2408892265317321E-3</v>
      </c>
      <c r="N37" s="339">
        <f t="shared" ref="N37:O37" si="41">N23-MIN(N$20:N$24)</f>
        <v>0</v>
      </c>
      <c r="O37" s="339">
        <f t="shared" si="41"/>
        <v>0</v>
      </c>
      <c r="P37" s="339">
        <f t="shared" ref="P37:Q37" si="42">P23-MAX(P$20:P$24)</f>
        <v>0</v>
      </c>
      <c r="Q37" s="340">
        <f t="shared" si="42"/>
        <v>-4.1450724498111886E-2</v>
      </c>
      <c r="R37" s="309">
        <f t="shared" si="33"/>
        <v>9.8151135181260452E-2</v>
      </c>
    </row>
    <row r="38" spans="2:18" ht="13" thickBot="1">
      <c r="C38" s="341">
        <f t="shared" si="29"/>
        <v>0</v>
      </c>
      <c r="D38" s="342">
        <f t="shared" ref="D38:M38" si="43">D24-MAX(D$20:D$24)</f>
        <v>-2.4473827985705434E-2</v>
      </c>
      <c r="E38" s="342">
        <f t="shared" si="43"/>
        <v>-2.8681479145309177E-3</v>
      </c>
      <c r="F38" s="342">
        <f t="shared" si="43"/>
        <v>-5.5874729846477969E-3</v>
      </c>
      <c r="G38" s="342">
        <f t="shared" si="43"/>
        <v>-9.2552151299525667E-3</v>
      </c>
      <c r="H38" s="342">
        <f t="shared" si="43"/>
        <v>-6.5511506515063128E-2</v>
      </c>
      <c r="I38" s="342">
        <f t="shared" si="43"/>
        <v>-2.7044455365268536E-2</v>
      </c>
      <c r="J38" s="342">
        <f t="shared" si="43"/>
        <v>-9.8726518202630884E-2</v>
      </c>
      <c r="K38" s="342">
        <f t="shared" si="43"/>
        <v>-2.2450474715058382E-2</v>
      </c>
      <c r="L38" s="342">
        <f t="shared" si="43"/>
        <v>-1.1276843096904458E-2</v>
      </c>
      <c r="M38" s="342">
        <f t="shared" si="43"/>
        <v>-1.0301111533164663E-2</v>
      </c>
      <c r="N38" s="342">
        <f t="shared" ref="N38:O38" si="44">N24-MIN(N$20:N$24)</f>
        <v>1.9801600368809466E-3</v>
      </c>
      <c r="O38" s="342">
        <f t="shared" si="44"/>
        <v>1.3281456601142213E-2</v>
      </c>
      <c r="P38" s="342">
        <f t="shared" ref="P38:Q38" si="45">P24-MAX(P$20:P$24)</f>
        <v>-5.0810330700530704E-2</v>
      </c>
      <c r="Q38" s="343">
        <f t="shared" si="45"/>
        <v>0</v>
      </c>
      <c r="R38" s="310">
        <f t="shared" si="33"/>
        <v>0.13781680075948766</v>
      </c>
    </row>
    <row r="40" spans="2:18" ht="13" thickBot="1"/>
    <row r="41" spans="2:18" ht="13.5" thickBot="1">
      <c r="E41" s="344"/>
      <c r="F41" s="345" t="s">
        <v>889</v>
      </c>
    </row>
    <row r="42" spans="2:18" ht="13">
      <c r="B42" s="326" t="s">
        <v>888</v>
      </c>
      <c r="C42" s="321" t="s">
        <v>854</v>
      </c>
      <c r="D42" s="329" t="s">
        <v>864</v>
      </c>
      <c r="E42" s="331">
        <v>1</v>
      </c>
      <c r="F42" s="332" t="str">
        <f>VLOOKUP(E42,B43:D47,2,0)</f>
        <v>Sun Pharmaceuticals Industries Ltd</v>
      </c>
    </row>
    <row r="43" spans="2:18" ht="12.5">
      <c r="B43" s="322">
        <f>_xlfn.RANK.AVG(D43,$D$43:$D$47)</f>
        <v>1</v>
      </c>
      <c r="C43" s="327" t="s">
        <v>133</v>
      </c>
      <c r="D43" s="330">
        <f t="shared" ref="D43:D47" si="46">R27/(R27+R34)</f>
        <v>0.65971570748052744</v>
      </c>
      <c r="E43" s="331">
        <v>2</v>
      </c>
      <c r="F43" s="332" t="str">
        <f>VLOOKUP(E43,B43:D47,2,0)</f>
        <v>Suven Pharmaceuticals Limited</v>
      </c>
    </row>
    <row r="44" spans="2:18" ht="13" thickBot="1">
      <c r="B44" s="322">
        <f t="shared" ref="B44:B47" si="47">_xlfn.RANK.AVG(D44,$D$43:$D$47)</f>
        <v>3</v>
      </c>
      <c r="C44" s="327" t="s">
        <v>134</v>
      </c>
      <c r="D44" s="330">
        <f t="shared" si="46"/>
        <v>0.56985940536475621</v>
      </c>
      <c r="E44" s="333">
        <v>3</v>
      </c>
      <c r="F44" s="334" t="str">
        <f>VLOOKUP(E44,B43:D47,2,0)</f>
        <v>Dr Reddy's Laboratories Ltd</v>
      </c>
    </row>
    <row r="45" spans="2:18" ht="12.5">
      <c r="B45" s="322">
        <f t="shared" si="47"/>
        <v>4</v>
      </c>
      <c r="C45" s="327" t="s">
        <v>135</v>
      </c>
      <c r="D45" s="324">
        <f t="shared" si="46"/>
        <v>0.48299485998706987</v>
      </c>
    </row>
    <row r="46" spans="2:18" ht="12.5">
      <c r="B46" s="322">
        <f t="shared" si="47"/>
        <v>2</v>
      </c>
      <c r="C46" s="327" t="s">
        <v>136</v>
      </c>
      <c r="D46" s="324">
        <f t="shared" si="46"/>
        <v>0.57624566690685863</v>
      </c>
    </row>
    <row r="47" spans="2:18" ht="13" thickBot="1">
      <c r="B47" s="323">
        <f t="shared" si="47"/>
        <v>5</v>
      </c>
      <c r="C47" s="328" t="s">
        <v>137</v>
      </c>
      <c r="D47" s="325">
        <f t="shared" si="46"/>
        <v>0.43751976358438338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outlinePr summaryBelow="0" summaryRight="0"/>
  </sheetPr>
  <dimension ref="B1:R47"/>
  <sheetViews>
    <sheetView showGridLines="0" zoomScale="50" zoomScaleNormal="50" workbookViewId="0">
      <selection activeCell="G44" sqref="G44"/>
    </sheetView>
  </sheetViews>
  <sheetFormatPr defaultColWidth="12.54296875" defaultRowHeight="15.75" customHeight="1"/>
  <cols>
    <col min="1" max="1" width="1.54296875" customWidth="1"/>
    <col min="2" max="2" width="26.453125" bestFit="1" customWidth="1"/>
    <col min="3" max="3" width="24.1796875" bestFit="1" customWidth="1"/>
    <col min="4" max="4" width="18.26953125" bestFit="1" customWidth="1"/>
    <col min="5" max="5" width="10.7265625" bestFit="1" customWidth="1"/>
    <col min="6" max="6" width="28.7265625" bestFit="1" customWidth="1"/>
    <col min="7" max="7" width="30.7265625" bestFit="1" customWidth="1"/>
    <col min="8" max="8" width="13.81640625" bestFit="1" customWidth="1"/>
    <col min="9" max="9" width="12.26953125" bestFit="1" customWidth="1"/>
    <col min="10" max="10" width="10.7265625" bestFit="1" customWidth="1"/>
    <col min="11" max="11" width="14.81640625" bestFit="1" customWidth="1"/>
    <col min="12" max="12" width="15.26953125" bestFit="1" customWidth="1"/>
    <col min="13" max="13" width="11.81640625" bestFit="1" customWidth="1"/>
    <col min="14" max="14" width="15.81640625" bestFit="1" customWidth="1"/>
    <col min="15" max="15" width="18" bestFit="1" customWidth="1"/>
    <col min="16" max="17" width="15" bestFit="1" customWidth="1"/>
    <col min="18" max="18" width="18" bestFit="1" customWidth="1"/>
  </cols>
  <sheetData>
    <row r="1" spans="2:17" ht="15" thickBot="1">
      <c r="B1" s="273"/>
      <c r="C1" s="274" t="s">
        <v>852</v>
      </c>
      <c r="D1" s="274" t="s">
        <v>853</v>
      </c>
      <c r="E1" s="274" t="s">
        <v>853</v>
      </c>
      <c r="F1" s="274" t="s">
        <v>853</v>
      </c>
      <c r="G1" s="274" t="s">
        <v>853</v>
      </c>
      <c r="H1" s="274" t="s">
        <v>853</v>
      </c>
      <c r="I1" s="274" t="s">
        <v>853</v>
      </c>
      <c r="J1" s="274" t="s">
        <v>853</v>
      </c>
      <c r="K1" s="274" t="s">
        <v>853</v>
      </c>
      <c r="L1" s="274" t="s">
        <v>853</v>
      </c>
      <c r="M1" s="274" t="s">
        <v>853</v>
      </c>
      <c r="N1" s="274" t="s">
        <v>852</v>
      </c>
      <c r="O1" s="274" t="s">
        <v>852</v>
      </c>
      <c r="P1" s="274" t="s">
        <v>853</v>
      </c>
      <c r="Q1" s="274" t="s">
        <v>853</v>
      </c>
    </row>
    <row r="2" spans="2:17" ht="15" customHeight="1">
      <c r="B2" s="278" t="s">
        <v>106</v>
      </c>
      <c r="C2" s="279" t="s">
        <v>108</v>
      </c>
      <c r="D2" s="279" t="s">
        <v>109</v>
      </c>
      <c r="E2" s="279" t="s">
        <v>110</v>
      </c>
      <c r="F2" s="279" t="s">
        <v>111</v>
      </c>
      <c r="G2" s="279" t="s">
        <v>112</v>
      </c>
      <c r="H2" s="279" t="s">
        <v>113</v>
      </c>
      <c r="I2" s="279" t="s">
        <v>114</v>
      </c>
      <c r="J2" s="279" t="s">
        <v>115</v>
      </c>
      <c r="K2" s="279" t="s">
        <v>116</v>
      </c>
      <c r="L2" s="279" t="s">
        <v>117</v>
      </c>
      <c r="M2" s="279" t="s">
        <v>118</v>
      </c>
      <c r="N2" s="279" t="s">
        <v>119</v>
      </c>
      <c r="O2" s="279" t="s">
        <v>120</v>
      </c>
      <c r="P2" s="279" t="s">
        <v>121</v>
      </c>
      <c r="Q2" s="280" t="s">
        <v>122</v>
      </c>
    </row>
    <row r="3" spans="2:17" ht="14">
      <c r="B3" s="281" t="s">
        <v>138</v>
      </c>
      <c r="C3" s="275">
        <f>INDEX('Company data'!$C$5:$V$64,MATCH($B3,'Company data'!$B$5:$B$64,0),MATCH(C$2,'Company data'!$C$4:$V$4,0))</f>
        <v>2653</v>
      </c>
      <c r="D3" s="275">
        <f>INDEX('Company data'!$C$5:$V$64,MATCH($B3,'Company data'!$B$5:$B$64,0),MATCH(D$2,'Company data'!$C$4:$V$4,0))</f>
        <v>60</v>
      </c>
      <c r="E3" s="275">
        <f>INDEX('Company data'!$C$5:$V$64,MATCH($B3,'Company data'!$B$5:$B$64,0),MATCH(E$2,'Company data'!$C$4:$V$4,0))</f>
        <v>58</v>
      </c>
      <c r="F3" s="275">
        <f>INDEX('Company data'!$C$5:$V$64,MATCH($B3,'Company data'!$B$5:$B$64,0),MATCH(F$2,'Company data'!$C$4:$V$4,0))</f>
        <v>74</v>
      </c>
      <c r="G3" s="276">
        <f>INDEX('Company data'!$C$5:$V$64,MATCH($B3,'Company data'!$B$5:$B$64,0),MATCH(G$2,'Company data'!$C$4:$V$4,0))</f>
        <v>0.12</v>
      </c>
      <c r="H3" s="275">
        <f>INDEX('Company data'!$C$5:$V$64,MATCH($B3,'Company data'!$B$5:$B$64,0),MATCH(H$2,'Company data'!$C$4:$V$4,0))</f>
        <v>372870</v>
      </c>
      <c r="I3" s="276">
        <f>INDEX('Company data'!$C$5:$V$64,MATCH($B3,'Company data'!$B$5:$B$64,0),MATCH(I$2,'Company data'!$C$4:$V$4,0))</f>
        <v>0.22</v>
      </c>
      <c r="J3" s="277">
        <f>INDEX('Company data'!$C$5:$V$64,MATCH($B3,'Company data'!$B$5:$B$64,0),MATCH(J$2,'Company data'!$C$4:$V$4,0))</f>
        <v>1.5800000000000002E-2</v>
      </c>
      <c r="K3" s="275">
        <f>INDEX('Company data'!$C$5:$V$64,MATCH($B3,'Company data'!$B$5:$B$64,0),MATCH(K$2,'Company data'!$C$4:$V$4,0))</f>
        <v>2025586</v>
      </c>
      <c r="L3" s="277">
        <f>INDEX('Company data'!$C$5:$V$64,MATCH($B3,'Company data'!$B$5:$B$64,0),MATCH(L$2,'Company data'!$C$4:$V$4,0))</f>
        <v>0.1983</v>
      </c>
      <c r="M3" s="275">
        <f>INDEX('Company data'!$C$5:$V$64,MATCH($B3,'Company data'!$B$5:$B$64,0),MATCH(M$2,'Company data'!$C$4:$V$4,0))</f>
        <v>20</v>
      </c>
      <c r="N3" s="275">
        <f>INDEX('Company data'!$C$5:$V$64,MATCH($B3,'Company data'!$B$5:$B$64,0),MATCH(N$2,'Company data'!$C$4:$V$4,0))</f>
        <v>120650.44</v>
      </c>
      <c r="O3" s="275">
        <f>INDEX('Company data'!$C$5:$V$64,MATCH($B3,'Company data'!$B$5:$B$64,0),MATCH(O$2,'Company data'!$C$4:$V$4,0))</f>
        <v>1.35</v>
      </c>
      <c r="P3" s="277">
        <f>INDEX('Company data'!$C$5:$V$64,MATCH($B3,'Company data'!$B$5:$B$64,0),MATCH(P$2,'Company data'!$C$4:$V$4,0))</f>
        <v>11.68</v>
      </c>
      <c r="Q3" s="282">
        <f>INDEX('Company data'!$C$5:$V$64,MATCH($B3,'Company data'!$B$5:$B$64,0),MATCH(Q$2,'Company data'!$C$4:$V$4,0))</f>
        <v>15.16</v>
      </c>
    </row>
    <row r="4" spans="2:17" ht="14">
      <c r="B4" s="281" t="s">
        <v>139</v>
      </c>
      <c r="C4" s="275">
        <f>INDEX('Company data'!$C$5:$V$64,MATCH($B4,'Company data'!$B$5:$B$64,0),MATCH(C$2,'Company data'!$C$4:$V$4,0))</f>
        <v>717</v>
      </c>
      <c r="D4" s="275">
        <f>INDEX('Company data'!$C$5:$V$64,MATCH($B4,'Company data'!$B$5:$B$64,0),MATCH(D$2,'Company data'!$C$4:$V$4,0))</f>
        <v>40</v>
      </c>
      <c r="E4" s="275">
        <f>INDEX('Company data'!$C$5:$V$64,MATCH($B4,'Company data'!$B$5:$B$64,0),MATCH(E$2,'Company data'!$C$4:$V$4,0))</f>
        <v>36</v>
      </c>
      <c r="F4" s="275">
        <f>INDEX('Company data'!$C$5:$V$64,MATCH($B4,'Company data'!$B$5:$B$64,0),MATCH(F$2,'Company data'!$C$4:$V$4,0))</f>
        <v>60</v>
      </c>
      <c r="G4" s="276">
        <f>INDEX('Company data'!$C$5:$V$64,MATCH($B4,'Company data'!$B$5:$B$64,0),MATCH(G$2,'Company data'!$C$4:$V$4,0))</f>
        <v>0.15</v>
      </c>
      <c r="H4" s="275">
        <f>INDEX('Company data'!$C$5:$V$64,MATCH($B4,'Company data'!$B$5:$B$64,0),MATCH(H$2,'Company data'!$C$4:$V$4,0))</f>
        <v>69159</v>
      </c>
      <c r="I4" s="276">
        <f>INDEX('Company data'!$C$5:$V$64,MATCH($B4,'Company data'!$B$5:$B$64,0),MATCH(I$2,'Company data'!$C$4:$V$4,0))</f>
        <v>0.05</v>
      </c>
      <c r="J4" s="277">
        <f>INDEX('Company data'!$C$5:$V$64,MATCH($B4,'Company data'!$B$5:$B$64,0),MATCH(J$2,'Company data'!$C$4:$V$4,0))</f>
        <v>1.6000000000000001E-3</v>
      </c>
      <c r="K4" s="275">
        <f>INDEX('Company data'!$C$5:$V$64,MATCH($B4,'Company data'!$B$5:$B$64,0),MATCH(K$2,'Company data'!$C$4:$V$4,0))</f>
        <v>771525</v>
      </c>
      <c r="L4" s="277">
        <f>INDEX('Company data'!$C$5:$V$64,MATCH($B4,'Company data'!$B$5:$B$64,0),MATCH(L$2,'Company data'!$C$4:$V$4,0))</f>
        <v>-0.18360000000000001</v>
      </c>
      <c r="M4" s="275">
        <f>INDEX('Company data'!$C$5:$V$64,MATCH($B4,'Company data'!$B$5:$B$64,0),MATCH(M$2,'Company data'!$C$4:$V$4,0))</f>
        <v>15</v>
      </c>
      <c r="N4" s="275">
        <f>INDEX('Company data'!$C$5:$V$64,MATCH($B4,'Company data'!$B$5:$B$64,0),MATCH(N$2,'Company data'!$C$4:$V$4,0))</f>
        <v>9050.7999999999993</v>
      </c>
      <c r="O4" s="275">
        <f>INDEX('Company data'!$C$5:$V$64,MATCH($B4,'Company data'!$B$5:$B$64,0),MATCH(O$2,'Company data'!$C$4:$V$4,0))</f>
        <v>0.71</v>
      </c>
      <c r="P4" s="277">
        <f>INDEX('Company data'!$C$5:$V$64,MATCH($B4,'Company data'!$B$5:$B$64,0),MATCH(P$2,'Company data'!$C$4:$V$4,0))</f>
        <v>7.09</v>
      </c>
      <c r="Q4" s="282">
        <f>INDEX('Company data'!$C$5:$V$64,MATCH($B4,'Company data'!$B$5:$B$64,0),MATCH(Q$2,'Company data'!$C$4:$V$4,0))</f>
        <v>36.06</v>
      </c>
    </row>
    <row r="5" spans="2:17" ht="14">
      <c r="B5" s="281" t="s">
        <v>140</v>
      </c>
      <c r="C5" s="275">
        <f>INDEX('Company data'!$C$5:$V$64,MATCH($B5,'Company data'!$B$5:$B$64,0),MATCH(C$2,'Company data'!$C$4:$V$4,0))</f>
        <v>478</v>
      </c>
      <c r="D5" s="275">
        <f>INDEX('Company data'!$C$5:$V$64,MATCH($B5,'Company data'!$B$5:$B$64,0),MATCH(D$2,'Company data'!$C$4:$V$4,0))</f>
        <v>63</v>
      </c>
      <c r="E5" s="275">
        <f>INDEX('Company data'!$C$5:$V$64,MATCH($B5,'Company data'!$B$5:$B$64,0),MATCH(E$2,'Company data'!$C$4:$V$4,0))</f>
        <v>53</v>
      </c>
      <c r="F5" s="275">
        <f>INDEX('Company data'!$C$5:$V$64,MATCH($B5,'Company data'!$B$5:$B$64,0),MATCH(F$2,'Company data'!$C$4:$V$4,0))</f>
        <v>65</v>
      </c>
      <c r="G5" s="276">
        <f>INDEX('Company data'!$C$5:$V$64,MATCH($B5,'Company data'!$B$5:$B$64,0),MATCH(G$2,'Company data'!$C$4:$V$4,0))</f>
        <v>0.1</v>
      </c>
      <c r="H5" s="275">
        <f>INDEX('Company data'!$C$5:$V$64,MATCH($B5,'Company data'!$B$5:$B$64,0),MATCH(H$2,'Company data'!$C$4:$V$4,0))</f>
        <v>118196</v>
      </c>
      <c r="I5" s="276">
        <f>INDEX('Company data'!$C$5:$V$64,MATCH($B5,'Company data'!$B$5:$B$64,0),MATCH(I$2,'Company data'!$C$4:$V$4,0))</f>
        <v>0.12</v>
      </c>
      <c r="J5" s="277">
        <f>INDEX('Company data'!$C$5:$V$64,MATCH($B5,'Company data'!$B$5:$B$64,0),MATCH(J$2,'Company data'!$C$4:$V$4,0))</f>
        <v>1.2265999999999999</v>
      </c>
      <c r="K5" s="275">
        <f>INDEX('Company data'!$C$5:$V$64,MATCH($B5,'Company data'!$B$5:$B$64,0),MATCH(K$2,'Company data'!$C$4:$V$4,0))</f>
        <v>4756658</v>
      </c>
      <c r="L5" s="277">
        <f>INDEX('Company data'!$C$5:$V$64,MATCH($B5,'Company data'!$B$5:$B$64,0),MATCH(L$2,'Company data'!$C$4:$V$4,0))</f>
        <v>-5.7000000000000002E-2</v>
      </c>
      <c r="M5" s="275">
        <f>INDEX('Company data'!$C$5:$V$64,MATCH($B5,'Company data'!$B$5:$B$64,0),MATCH(M$2,'Company data'!$C$4:$V$4,0))</f>
        <v>18</v>
      </c>
      <c r="N5" s="275">
        <f>INDEX('Company data'!$C$5:$V$64,MATCH($B5,'Company data'!$B$5:$B$64,0),MATCH(N$2,'Company data'!$C$4:$V$4,0))</f>
        <v>3333.99</v>
      </c>
      <c r="O5" s="275">
        <f>INDEX('Company data'!$C$5:$V$64,MATCH($B5,'Company data'!$B$5:$B$64,0),MATCH(O$2,'Company data'!$C$4:$V$4,0))</f>
        <v>0.09</v>
      </c>
      <c r="P5" s="277">
        <f>INDEX('Company data'!$C$5:$V$64,MATCH($B5,'Company data'!$B$5:$B$64,0),MATCH(P$2,'Company data'!$C$4:$V$4,0))</f>
        <v>5.47</v>
      </c>
      <c r="Q5" s="282">
        <f>INDEX('Company data'!$C$5:$V$64,MATCH($B5,'Company data'!$B$5:$B$64,0),MATCH(Q$2,'Company data'!$C$4:$V$4,0))</f>
        <v>58.19</v>
      </c>
    </row>
    <row r="6" spans="2:17" ht="14">
      <c r="B6" s="281" t="s">
        <v>141</v>
      </c>
      <c r="C6" s="275">
        <f>INDEX('Company data'!$C$5:$V$64,MATCH($B6,'Company data'!$B$5:$B$64,0),MATCH(C$2,'Company data'!$C$4:$V$4,0))</f>
        <v>156</v>
      </c>
      <c r="D6" s="275">
        <f>INDEX('Company data'!$C$5:$V$64,MATCH($B6,'Company data'!$B$5:$B$64,0),MATCH(D$2,'Company data'!$C$4:$V$4,0))</f>
        <v>30</v>
      </c>
      <c r="E6" s="275">
        <f>INDEX('Company data'!$C$5:$V$64,MATCH($B6,'Company data'!$B$5:$B$64,0),MATCH(E$2,'Company data'!$C$4:$V$4,0))</f>
        <v>36</v>
      </c>
      <c r="F6" s="275">
        <f>INDEX('Company data'!$C$5:$V$64,MATCH($B6,'Company data'!$B$5:$B$64,0),MATCH(F$2,'Company data'!$C$4:$V$4,0))</f>
        <v>51</v>
      </c>
      <c r="G6" s="276">
        <f>INDEX('Company data'!$C$5:$V$64,MATCH($B6,'Company data'!$B$5:$B$64,0),MATCH(G$2,'Company data'!$C$4:$V$4,0))</f>
        <v>0.08</v>
      </c>
      <c r="H6" s="275">
        <f>INDEX('Company data'!$C$5:$V$64,MATCH($B6,'Company data'!$B$5:$B$64,0),MATCH(H$2,'Company data'!$C$4:$V$4,0))</f>
        <v>9794</v>
      </c>
      <c r="I6" s="276">
        <f>INDEX('Company data'!$C$5:$V$64,MATCH($B6,'Company data'!$B$5:$B$64,0),MATCH(I$2,'Company data'!$C$4:$V$4,0))</f>
        <v>0.02</v>
      </c>
      <c r="J6" s="277">
        <f>INDEX('Company data'!$C$5:$V$64,MATCH($B6,'Company data'!$B$5:$B$64,0),MATCH(J$2,'Company data'!$C$4:$V$4,0))</f>
        <v>0.20699999999999999</v>
      </c>
      <c r="K6" s="275">
        <f>INDEX('Company data'!$C$5:$V$64,MATCH($B6,'Company data'!$B$5:$B$64,0),MATCH(K$2,'Company data'!$C$4:$V$4,0))</f>
        <v>6057006</v>
      </c>
      <c r="L6" s="277">
        <f>INDEX('Company data'!$C$5:$V$64,MATCH($B6,'Company data'!$B$5:$B$64,0),MATCH(L$2,'Company data'!$C$4:$V$4,0))</f>
        <v>0.34029999999999999</v>
      </c>
      <c r="M6" s="275">
        <f>INDEX('Company data'!$C$5:$V$64,MATCH($B6,'Company data'!$B$5:$B$64,0),MATCH(M$2,'Company data'!$C$4:$V$4,0))</f>
        <v>15</v>
      </c>
      <c r="N6" s="275">
        <f>INDEX('Company data'!$C$5:$V$64,MATCH($B6,'Company data'!$B$5:$B$64,0),MATCH(N$2,'Company data'!$C$4:$V$4,0))</f>
        <v>973.82</v>
      </c>
      <c r="O6" s="275">
        <f>INDEX('Company data'!$C$5:$V$64,MATCH($B6,'Company data'!$B$5:$B$64,0),MATCH(O$2,'Company data'!$C$4:$V$4,0))</f>
        <v>0.16</v>
      </c>
      <c r="P6" s="277">
        <f>INDEX('Company data'!$C$5:$V$64,MATCH($B6,'Company data'!$B$5:$B$64,0),MATCH(P$2,'Company data'!$C$4:$V$4,0))</f>
        <v>10.54</v>
      </c>
      <c r="Q6" s="282">
        <f>INDEX('Company data'!$C$5:$V$64,MATCH($B6,'Company data'!$B$5:$B$64,0),MATCH(Q$2,'Company data'!$C$4:$V$4,0))</f>
        <v>5.87</v>
      </c>
    </row>
    <row r="7" spans="2:17" ht="14.5" thickBot="1">
      <c r="B7" s="283" t="s">
        <v>142</v>
      </c>
      <c r="C7" s="284">
        <f>INDEX('Company data'!$C$5:$V$64,MATCH($B7,'Company data'!$B$5:$B$64,0),MATCH(C$2,'Company data'!$C$4:$V$4,0))</f>
        <v>119</v>
      </c>
      <c r="D7" s="284">
        <f>INDEX('Company data'!$C$5:$V$64,MATCH($B7,'Company data'!$B$5:$B$64,0),MATCH(D$2,'Company data'!$C$4:$V$4,0))</f>
        <v>30</v>
      </c>
      <c r="E7" s="284">
        <f>INDEX('Company data'!$C$5:$V$64,MATCH($B7,'Company data'!$B$5:$B$64,0),MATCH(E$2,'Company data'!$C$4:$V$4,0))</f>
        <v>43</v>
      </c>
      <c r="F7" s="284">
        <f>INDEX('Company data'!$C$5:$V$64,MATCH($B7,'Company data'!$B$5:$B$64,0),MATCH(F$2,'Company data'!$C$4:$V$4,0))</f>
        <v>67</v>
      </c>
      <c r="G7" s="285">
        <f>INDEX('Company data'!$C$5:$V$64,MATCH($B7,'Company data'!$B$5:$B$64,0),MATCH(G$2,'Company data'!$C$4:$V$4,0))</f>
        <v>0.15</v>
      </c>
      <c r="H7" s="284">
        <f>INDEX('Company data'!$C$5:$V$64,MATCH($B7,'Company data'!$B$5:$B$64,0),MATCH(H$2,'Company data'!$C$4:$V$4,0))</f>
        <v>1996</v>
      </c>
      <c r="I7" s="285">
        <f>INDEX('Company data'!$C$5:$V$64,MATCH($B7,'Company data'!$B$5:$B$64,0),MATCH(I$2,'Company data'!$C$4:$V$4,0))</f>
        <v>0.01</v>
      </c>
      <c r="J7" s="286">
        <f>INDEX('Company data'!$C$5:$V$64,MATCH($B7,'Company data'!$B$5:$B$64,0),MATCH(J$2,'Company data'!$C$4:$V$4,0))</f>
        <v>0.1431</v>
      </c>
      <c r="K7" s="284">
        <f>INDEX('Company data'!$C$5:$V$64,MATCH($B7,'Company data'!$B$5:$B$64,0),MATCH(K$2,'Company data'!$C$4:$V$4,0))</f>
        <v>375299</v>
      </c>
      <c r="L7" s="286">
        <f>INDEX('Company data'!$C$5:$V$64,MATCH($B7,'Company data'!$B$5:$B$64,0),MATCH(L$2,'Company data'!$C$4:$V$4,0))</f>
        <v>0.29480000000000001</v>
      </c>
      <c r="M7" s="284">
        <f>INDEX('Company data'!$C$5:$V$64,MATCH($B7,'Company data'!$B$5:$B$64,0),MATCH(M$2,'Company data'!$C$4:$V$4,0))</f>
        <v>17</v>
      </c>
      <c r="N7" s="284">
        <f>INDEX('Company data'!$C$5:$V$64,MATCH($B7,'Company data'!$B$5:$B$64,0),MATCH(N$2,'Company data'!$C$4:$V$4,0))</f>
        <v>1871.67</v>
      </c>
      <c r="O7" s="284">
        <f>INDEX('Company data'!$C$5:$V$64,MATCH($B7,'Company data'!$B$5:$B$64,0),MATCH(O$2,'Company data'!$C$4:$V$4,0))</f>
        <v>3.39</v>
      </c>
      <c r="P7" s="286">
        <f>INDEX('Company data'!$C$5:$V$64,MATCH($B7,'Company data'!$B$5:$B$64,0),MATCH(P$2,'Company data'!$C$4:$V$4,0))</f>
        <v>22.87</v>
      </c>
      <c r="Q7" s="287">
        <f>INDEX('Company data'!$C$5:$V$64,MATCH($B7,'Company data'!$B$5:$B$64,0),MATCH(Q$2,'Company data'!$C$4:$V$4,0))</f>
        <v>5.51</v>
      </c>
    </row>
    <row r="8" spans="2:17" ht="13" thickBot="1"/>
    <row r="9" spans="2:17" ht="15" customHeight="1" thickBot="1">
      <c r="B9" s="288" t="s">
        <v>855</v>
      </c>
      <c r="C9" s="289">
        <f>Dashboard!C18</f>
        <v>8</v>
      </c>
      <c r="D9" s="289">
        <f>Dashboard!C19</f>
        <v>9</v>
      </c>
      <c r="E9" s="289">
        <f>Dashboard!C20</f>
        <v>9</v>
      </c>
      <c r="F9" s="289">
        <f>Dashboard!C21</f>
        <v>9</v>
      </c>
      <c r="G9" s="289">
        <f>Dashboard!C22</f>
        <v>6</v>
      </c>
      <c r="H9" s="289">
        <f>Dashboard!C23</f>
        <v>7</v>
      </c>
      <c r="I9" s="289">
        <f>Dashboard!C24</f>
        <v>4</v>
      </c>
      <c r="J9" s="289">
        <f>Dashboard!C25</f>
        <v>8</v>
      </c>
      <c r="K9" s="289">
        <f>Dashboard!C26</f>
        <v>3</v>
      </c>
      <c r="L9" s="289">
        <f>Dashboard!C27</f>
        <v>5</v>
      </c>
      <c r="M9" s="289">
        <f>Dashboard!C28</f>
        <v>8</v>
      </c>
      <c r="N9" s="289">
        <f>Dashboard!C29</f>
        <v>7</v>
      </c>
      <c r="O9" s="289">
        <f>Dashboard!C30</f>
        <v>4</v>
      </c>
      <c r="P9" s="289">
        <f>Dashboard!C31</f>
        <v>6</v>
      </c>
      <c r="Q9" s="290">
        <f>Dashboard!C32</f>
        <v>5</v>
      </c>
    </row>
    <row r="10" spans="2:17" ht="15" customHeight="1" thickBot="1">
      <c r="B10" s="293" t="s">
        <v>856</v>
      </c>
      <c r="C10" s="291">
        <f t="shared" ref="C10:Q10" si="0">C9/SUM($C$9:$Q$9)</f>
        <v>8.1632653061224483E-2</v>
      </c>
      <c r="D10" s="291">
        <f t="shared" si="0"/>
        <v>9.1836734693877556E-2</v>
      </c>
      <c r="E10" s="291">
        <f t="shared" si="0"/>
        <v>9.1836734693877556E-2</v>
      </c>
      <c r="F10" s="291">
        <f t="shared" si="0"/>
        <v>9.1836734693877556E-2</v>
      </c>
      <c r="G10" s="291">
        <f t="shared" si="0"/>
        <v>6.1224489795918366E-2</v>
      </c>
      <c r="H10" s="291">
        <f t="shared" si="0"/>
        <v>7.1428571428571425E-2</v>
      </c>
      <c r="I10" s="291">
        <f t="shared" si="0"/>
        <v>4.0816326530612242E-2</v>
      </c>
      <c r="J10" s="291">
        <f t="shared" si="0"/>
        <v>8.1632653061224483E-2</v>
      </c>
      <c r="K10" s="291">
        <f t="shared" si="0"/>
        <v>3.0612244897959183E-2</v>
      </c>
      <c r="L10" s="291">
        <f t="shared" si="0"/>
        <v>5.1020408163265307E-2</v>
      </c>
      <c r="M10" s="291">
        <f t="shared" si="0"/>
        <v>8.1632653061224483E-2</v>
      </c>
      <c r="N10" s="291">
        <f t="shared" si="0"/>
        <v>7.1428571428571425E-2</v>
      </c>
      <c r="O10" s="291">
        <f t="shared" si="0"/>
        <v>4.0816326530612242E-2</v>
      </c>
      <c r="P10" s="291">
        <f t="shared" si="0"/>
        <v>6.1224489795918366E-2</v>
      </c>
      <c r="Q10" s="292">
        <f t="shared" si="0"/>
        <v>5.1020408163265307E-2</v>
      </c>
    </row>
    <row r="11" spans="2:17" ht="13" thickBot="1"/>
    <row r="12" spans="2:17" ht="15" customHeight="1" thickBot="1">
      <c r="B12" s="296" t="s">
        <v>857</v>
      </c>
      <c r="C12" s="294">
        <f t="shared" ref="C12:Q12" si="1">SQRT(SUMSQ(C3:C7))</f>
        <v>2796.3331346604609</v>
      </c>
      <c r="D12" s="294">
        <f t="shared" si="1"/>
        <v>104.73299384625649</v>
      </c>
      <c r="E12" s="294">
        <f t="shared" si="1"/>
        <v>103.02426898551623</v>
      </c>
      <c r="F12" s="294">
        <f t="shared" si="1"/>
        <v>142.79705879323984</v>
      </c>
      <c r="G12" s="294">
        <f t="shared" si="1"/>
        <v>0.27531799795872408</v>
      </c>
      <c r="H12" s="294">
        <f t="shared" si="1"/>
        <v>397347.71302852617</v>
      </c>
      <c r="I12" s="294">
        <f t="shared" si="1"/>
        <v>0.25651510676761319</v>
      </c>
      <c r="J12" s="294">
        <f t="shared" si="1"/>
        <v>1.252248525652955</v>
      </c>
      <c r="K12" s="294">
        <f t="shared" si="1"/>
        <v>8009507.8389013391</v>
      </c>
      <c r="L12" s="294">
        <f t="shared" si="1"/>
        <v>0.52819691403869451</v>
      </c>
      <c r="M12" s="294">
        <f t="shared" si="1"/>
        <v>38.249182997810557</v>
      </c>
      <c r="N12" s="294">
        <f t="shared" si="1"/>
        <v>121053.75919869238</v>
      </c>
      <c r="O12" s="294">
        <f t="shared" si="1"/>
        <v>3.7218812447470704</v>
      </c>
      <c r="P12" s="294">
        <f t="shared" si="1"/>
        <v>29.167445894352834</v>
      </c>
      <c r="Q12" s="295">
        <f t="shared" si="1"/>
        <v>70.576499629834288</v>
      </c>
    </row>
    <row r="13" spans="2:17" ht="13" thickBot="1"/>
    <row r="14" spans="2:17" ht="15" customHeight="1" thickBot="1">
      <c r="B14" s="296" t="s">
        <v>858</v>
      </c>
      <c r="C14" s="311">
        <f t="shared" ref="C14:Q14" si="2">C3/C$12</f>
        <v>0.94874246816881325</v>
      </c>
      <c r="D14" s="312">
        <f t="shared" si="2"/>
        <v>0.57288537066053324</v>
      </c>
      <c r="E14" s="312">
        <f t="shared" si="2"/>
        <v>0.56297414746183727</v>
      </c>
      <c r="F14" s="312">
        <f t="shared" si="2"/>
        <v>0.51821795648569224</v>
      </c>
      <c r="G14" s="312">
        <f t="shared" si="2"/>
        <v>0.43585962737528877</v>
      </c>
      <c r="H14" s="312">
        <f t="shared" si="2"/>
        <v>0.9383972469805838</v>
      </c>
      <c r="I14" s="312">
        <f t="shared" si="2"/>
        <v>0.85764929314399552</v>
      </c>
      <c r="J14" s="312">
        <f t="shared" si="2"/>
        <v>1.2617303735104396E-2</v>
      </c>
      <c r="K14" s="312">
        <f t="shared" si="2"/>
        <v>0.25289768619264485</v>
      </c>
      <c r="L14" s="312">
        <f t="shared" si="2"/>
        <v>0.37542816841499571</v>
      </c>
      <c r="M14" s="312">
        <f t="shared" si="2"/>
        <v>0.52288698561600211</v>
      </c>
      <c r="N14" s="312">
        <f t="shared" si="2"/>
        <v>0.99666826374197615</v>
      </c>
      <c r="O14" s="312">
        <f t="shared" si="2"/>
        <v>0.36271979443335051</v>
      </c>
      <c r="P14" s="312">
        <f t="shared" si="2"/>
        <v>0.40044644437864158</v>
      </c>
      <c r="Q14" s="313">
        <f t="shared" si="2"/>
        <v>0.21480237868855037</v>
      </c>
    </row>
    <row r="15" spans="2:17" ht="15" customHeight="1">
      <c r="C15" s="314">
        <f t="shared" ref="C15:Q15" si="3">C4/C$12</f>
        <v>0.2564072181217637</v>
      </c>
      <c r="D15" s="315">
        <f t="shared" si="3"/>
        <v>0.38192358044035551</v>
      </c>
      <c r="E15" s="315">
        <f t="shared" si="3"/>
        <v>0.34943222945907138</v>
      </c>
      <c r="F15" s="315">
        <f t="shared" si="3"/>
        <v>0.42017672147488561</v>
      </c>
      <c r="G15" s="315">
        <f t="shared" si="3"/>
        <v>0.54482453421911092</v>
      </c>
      <c r="H15" s="315">
        <f t="shared" si="3"/>
        <v>0.17405158689068628</v>
      </c>
      <c r="I15" s="315">
        <f t="shared" si="3"/>
        <v>0.19492029389636265</v>
      </c>
      <c r="J15" s="315">
        <f t="shared" si="3"/>
        <v>1.2777016440612046E-3</v>
      </c>
      <c r="K15" s="315">
        <f t="shared" si="3"/>
        <v>9.6326143318417642E-2</v>
      </c>
      <c r="L15" s="315">
        <f t="shared" si="3"/>
        <v>-0.34759763853249226</v>
      </c>
      <c r="M15" s="315">
        <f t="shared" si="3"/>
        <v>0.39216523921200158</v>
      </c>
      <c r="N15" s="315">
        <f t="shared" si="3"/>
        <v>7.4766781799352547E-2</v>
      </c>
      <c r="O15" s="315">
        <f t="shared" si="3"/>
        <v>0.19076374373902136</v>
      </c>
      <c r="P15" s="315">
        <f t="shared" si="3"/>
        <v>0.24307922008943225</v>
      </c>
      <c r="Q15" s="316">
        <f t="shared" si="3"/>
        <v>0.5109349456140585</v>
      </c>
    </row>
    <row r="16" spans="2:17" ht="15" customHeight="1">
      <c r="C16" s="314">
        <f t="shared" ref="C16:Q16" si="4">C5/C$12</f>
        <v>0.17093814541450914</v>
      </c>
      <c r="D16" s="315">
        <f t="shared" si="4"/>
        <v>0.60152963919355995</v>
      </c>
      <c r="E16" s="315">
        <f t="shared" si="4"/>
        <v>0.51444189337029955</v>
      </c>
      <c r="F16" s="315">
        <f t="shared" si="4"/>
        <v>0.4551914482644594</v>
      </c>
      <c r="G16" s="315">
        <f t="shared" si="4"/>
        <v>0.363216356146074</v>
      </c>
      <c r="H16" s="315">
        <f t="shared" si="4"/>
        <v>0.29746238904743499</v>
      </c>
      <c r="I16" s="315">
        <f t="shared" si="4"/>
        <v>0.46780870535127028</v>
      </c>
      <c r="J16" s="315">
        <f t="shared" si="4"/>
        <v>0.97951802287842082</v>
      </c>
      <c r="K16" s="315">
        <f t="shared" si="4"/>
        <v>0.59387643981037275</v>
      </c>
      <c r="L16" s="315">
        <f t="shared" si="4"/>
        <v>-0.10791429954440118</v>
      </c>
      <c r="M16" s="315">
        <f t="shared" si="4"/>
        <v>0.47059828705440188</v>
      </c>
      <c r="N16" s="315">
        <f t="shared" si="4"/>
        <v>2.7541399970303554E-2</v>
      </c>
      <c r="O16" s="315">
        <f t="shared" si="4"/>
        <v>2.418131962889003E-2</v>
      </c>
      <c r="P16" s="315">
        <f t="shared" si="4"/>
        <v>0.18753784681088778</v>
      </c>
      <c r="Q16" s="316">
        <f t="shared" si="4"/>
        <v>0.82449541001891458</v>
      </c>
    </row>
    <row r="17" spans="2:18" ht="15" customHeight="1">
      <c r="C17" s="314">
        <f t="shared" ref="C17:Q17" si="5">C6/C$12</f>
        <v>5.5787344528584568E-2</v>
      </c>
      <c r="D17" s="315">
        <f t="shared" si="5"/>
        <v>0.28644268533026662</v>
      </c>
      <c r="E17" s="315">
        <f t="shared" si="5"/>
        <v>0.34943222945907138</v>
      </c>
      <c r="F17" s="315">
        <f t="shared" si="5"/>
        <v>0.35715021325365276</v>
      </c>
      <c r="G17" s="315">
        <f t="shared" si="5"/>
        <v>0.29057308491685918</v>
      </c>
      <c r="H17" s="315">
        <f t="shared" si="5"/>
        <v>2.4648436819609616E-2</v>
      </c>
      <c r="I17" s="315">
        <f t="shared" si="5"/>
        <v>7.7968117558545047E-2</v>
      </c>
      <c r="J17" s="315">
        <f t="shared" si="5"/>
        <v>0.16530265020041832</v>
      </c>
      <c r="K17" s="315">
        <f t="shared" si="5"/>
        <v>0.75622698945143141</v>
      </c>
      <c r="L17" s="315">
        <f t="shared" si="5"/>
        <v>0.64426730061332838</v>
      </c>
      <c r="M17" s="315">
        <f t="shared" si="5"/>
        <v>0.39216523921200158</v>
      </c>
      <c r="N17" s="315">
        <f t="shared" si="5"/>
        <v>8.0445250642866388E-3</v>
      </c>
      <c r="O17" s="315">
        <f t="shared" si="5"/>
        <v>4.298901267358228E-2</v>
      </c>
      <c r="P17" s="315">
        <f t="shared" si="5"/>
        <v>0.36136177429373989</v>
      </c>
      <c r="Q17" s="316">
        <f t="shared" si="5"/>
        <v>8.3172161141279066E-2</v>
      </c>
    </row>
    <row r="18" spans="2:18" ht="15" customHeight="1" thickBot="1">
      <c r="C18" s="317">
        <f t="shared" ref="C18:Q18" si="6">C7/C$12</f>
        <v>4.2555730762189513E-2</v>
      </c>
      <c r="D18" s="318">
        <f t="shared" si="6"/>
        <v>0.28644268533026662</v>
      </c>
      <c r="E18" s="318">
        <f t="shared" si="6"/>
        <v>0.41737738518722417</v>
      </c>
      <c r="F18" s="318">
        <f t="shared" si="6"/>
        <v>0.46919733898028892</v>
      </c>
      <c r="G18" s="318">
        <f t="shared" si="6"/>
        <v>0.54482453421911092</v>
      </c>
      <c r="H18" s="318">
        <f t="shared" si="6"/>
        <v>5.0233081368124153E-3</v>
      </c>
      <c r="I18" s="318">
        <f t="shared" si="6"/>
        <v>3.8984058779272523E-2</v>
      </c>
      <c r="J18" s="318">
        <f t="shared" si="6"/>
        <v>0.11427444079072398</v>
      </c>
      <c r="K18" s="318">
        <f t="shared" si="6"/>
        <v>4.6856686771340951E-2</v>
      </c>
      <c r="L18" s="318">
        <f t="shared" si="6"/>
        <v>0.55812518431034153</v>
      </c>
      <c r="M18" s="318">
        <f t="shared" si="6"/>
        <v>0.44445393777360176</v>
      </c>
      <c r="N18" s="318">
        <f t="shared" si="6"/>
        <v>1.5461477713615834E-2</v>
      </c>
      <c r="O18" s="318">
        <f t="shared" si="6"/>
        <v>0.91082970602152458</v>
      </c>
      <c r="P18" s="318">
        <f t="shared" si="6"/>
        <v>0.78409333758043953</v>
      </c>
      <c r="Q18" s="319">
        <f t="shared" si="6"/>
        <v>7.8071313098543038E-2</v>
      </c>
    </row>
    <row r="19" spans="2:18" ht="13" thickBot="1"/>
    <row r="20" spans="2:18" ht="15" customHeight="1" thickBot="1">
      <c r="B20" s="320" t="s">
        <v>859</v>
      </c>
      <c r="C20" s="297">
        <f t="shared" ref="C20:Q20" si="7">C$10*C14</f>
        <v>7.7448364748474538E-2</v>
      </c>
      <c r="D20" s="298">
        <f t="shared" si="7"/>
        <v>5.2611921795355093E-2</v>
      </c>
      <c r="E20" s="298">
        <f t="shared" si="7"/>
        <v>5.1701707419964653E-2</v>
      </c>
      <c r="F20" s="298">
        <f t="shared" si="7"/>
        <v>4.7591444983379902E-2</v>
      </c>
      <c r="G20" s="298">
        <f t="shared" si="7"/>
        <v>2.668528330869115E-2</v>
      </c>
      <c r="H20" s="298">
        <f t="shared" si="7"/>
        <v>6.702837478432741E-2</v>
      </c>
      <c r="I20" s="298">
        <f t="shared" si="7"/>
        <v>3.5006093597714102E-2</v>
      </c>
      <c r="J20" s="298">
        <f t="shared" si="7"/>
        <v>1.029983978375869E-3</v>
      </c>
      <c r="K20" s="298">
        <f t="shared" si="7"/>
        <v>7.7417659038564752E-3</v>
      </c>
      <c r="L20" s="298">
        <f t="shared" si="7"/>
        <v>1.9154498388520191E-2</v>
      </c>
      <c r="M20" s="298">
        <f t="shared" si="7"/>
        <v>4.2684651887020579E-2</v>
      </c>
      <c r="N20" s="298">
        <f t="shared" si="7"/>
        <v>7.1190590267284012E-2</v>
      </c>
      <c r="O20" s="298">
        <f t="shared" si="7"/>
        <v>1.4804889568708183E-2</v>
      </c>
      <c r="P20" s="298">
        <f t="shared" si="7"/>
        <v>2.4517129247671934E-2</v>
      </c>
      <c r="Q20" s="299">
        <f t="shared" si="7"/>
        <v>1.0959305035130122E-2</v>
      </c>
    </row>
    <row r="21" spans="2:18" ht="12.5">
      <c r="C21" s="300">
        <f t="shared" ref="C21:Q21" si="8">C$10*C15</f>
        <v>2.0931201479327647E-2</v>
      </c>
      <c r="D21" s="301">
        <f t="shared" si="8"/>
        <v>3.5074614530236733E-2</v>
      </c>
      <c r="E21" s="301">
        <f t="shared" si="8"/>
        <v>3.2090714950322882E-2</v>
      </c>
      <c r="F21" s="301">
        <f t="shared" si="8"/>
        <v>3.8587658094632354E-2</v>
      </c>
      <c r="G21" s="301">
        <f t="shared" si="8"/>
        <v>3.3356604135863936E-2</v>
      </c>
      <c r="H21" s="301">
        <f t="shared" si="8"/>
        <v>1.2432256206477591E-2</v>
      </c>
      <c r="I21" s="301">
        <f t="shared" si="8"/>
        <v>7.9559303631168421E-3</v>
      </c>
      <c r="J21" s="301">
        <f t="shared" si="8"/>
        <v>1.0430217502540444E-4</v>
      </c>
      <c r="K21" s="301">
        <f t="shared" si="8"/>
        <v>2.9487594893393156E-3</v>
      </c>
      <c r="L21" s="301">
        <f t="shared" si="8"/>
        <v>-1.773457339451491E-2</v>
      </c>
      <c r="M21" s="301">
        <f t="shared" si="8"/>
        <v>3.2013488915265433E-2</v>
      </c>
      <c r="N21" s="301">
        <f t="shared" si="8"/>
        <v>5.3404844142394678E-3</v>
      </c>
      <c r="O21" s="301">
        <f t="shared" si="8"/>
        <v>7.7862752546539321E-3</v>
      </c>
      <c r="P21" s="301">
        <f t="shared" si="8"/>
        <v>1.488240122996524E-2</v>
      </c>
      <c r="Q21" s="302">
        <f t="shared" si="8"/>
        <v>2.6068109470105027E-2</v>
      </c>
    </row>
    <row r="22" spans="2:18" ht="12.5">
      <c r="C22" s="300">
        <f t="shared" ref="C22:Q22" si="9">C$10*C16</f>
        <v>1.3954134319551765E-2</v>
      </c>
      <c r="D22" s="301">
        <f t="shared" si="9"/>
        <v>5.5242517885122855E-2</v>
      </c>
      <c r="E22" s="301">
        <f t="shared" si="9"/>
        <v>4.7244663676864244E-2</v>
      </c>
      <c r="F22" s="301">
        <f t="shared" si="9"/>
        <v>4.1803296269185046E-2</v>
      </c>
      <c r="G22" s="301">
        <f t="shared" si="9"/>
        <v>2.2237736090575957E-2</v>
      </c>
      <c r="H22" s="301">
        <f t="shared" si="9"/>
        <v>2.1247313503388213E-2</v>
      </c>
      <c r="I22" s="301">
        <f t="shared" si="9"/>
        <v>1.9094232871480418E-2</v>
      </c>
      <c r="J22" s="301">
        <f t="shared" si="9"/>
        <v>7.9960654928850669E-2</v>
      </c>
      <c r="K22" s="301">
        <f t="shared" si="9"/>
        <v>1.8179891014603246E-2</v>
      </c>
      <c r="L22" s="301">
        <f t="shared" si="9"/>
        <v>-5.5058316094082236E-3</v>
      </c>
      <c r="M22" s="301">
        <f t="shared" si="9"/>
        <v>3.8416186698318519E-2</v>
      </c>
      <c r="N22" s="301">
        <f t="shared" si="9"/>
        <v>1.9672428550216825E-3</v>
      </c>
      <c r="O22" s="301">
        <f t="shared" si="9"/>
        <v>9.8699263791387874E-4</v>
      </c>
      <c r="P22" s="301">
        <f t="shared" si="9"/>
        <v>1.1481908988421701E-2</v>
      </c>
      <c r="Q22" s="302">
        <f t="shared" si="9"/>
        <v>4.2066092347903809E-2</v>
      </c>
    </row>
    <row r="23" spans="2:18" ht="12.5">
      <c r="C23" s="300">
        <f t="shared" ref="C23:Q23" si="10">C$10*C17</f>
        <v>4.5540689411089439E-3</v>
      </c>
      <c r="D23" s="301">
        <f t="shared" si="10"/>
        <v>2.6305960897677547E-2</v>
      </c>
      <c r="E23" s="301">
        <f t="shared" si="10"/>
        <v>3.2090714950322882E-2</v>
      </c>
      <c r="F23" s="301">
        <f t="shared" si="10"/>
        <v>3.2799509380437498E-2</v>
      </c>
      <c r="G23" s="301">
        <f t="shared" si="10"/>
        <v>1.7790188872460765E-2</v>
      </c>
      <c r="H23" s="301">
        <f t="shared" si="10"/>
        <v>1.7606026299721153E-3</v>
      </c>
      <c r="I23" s="301">
        <f t="shared" si="10"/>
        <v>3.1823721452467362E-3</v>
      </c>
      <c r="J23" s="301">
        <f t="shared" si="10"/>
        <v>1.3494093893911699E-2</v>
      </c>
      <c r="K23" s="301">
        <f t="shared" si="10"/>
        <v>2.3149805799533615E-2</v>
      </c>
      <c r="L23" s="301">
        <f t="shared" si="10"/>
        <v>3.2870780643537163E-2</v>
      </c>
      <c r="M23" s="301">
        <f t="shared" si="10"/>
        <v>3.2013488915265433E-2</v>
      </c>
      <c r="N23" s="301">
        <f t="shared" si="10"/>
        <v>5.7460893316333133E-4</v>
      </c>
      <c r="O23" s="301">
        <f t="shared" si="10"/>
        <v>1.7546535785135623E-3</v>
      </c>
      <c r="P23" s="301">
        <f t="shared" si="10"/>
        <v>2.2124190262882034E-2</v>
      </c>
      <c r="Q23" s="302">
        <f t="shared" si="10"/>
        <v>4.2434776092489324E-3</v>
      </c>
    </row>
    <row r="24" spans="2:18" ht="13" thickBot="1">
      <c r="C24" s="303">
        <f t="shared" ref="C24:Q24" si="11">C$10*C18</f>
        <v>3.4739372050766946E-3</v>
      </c>
      <c r="D24" s="304">
        <f t="shared" si="11"/>
        <v>2.6305960897677547E-2</v>
      </c>
      <c r="E24" s="304">
        <f t="shared" si="11"/>
        <v>3.8330576190663448E-2</v>
      </c>
      <c r="F24" s="304">
        <f t="shared" si="11"/>
        <v>4.3089551539006128E-2</v>
      </c>
      <c r="G24" s="304">
        <f t="shared" si="11"/>
        <v>3.3356604135863936E-2</v>
      </c>
      <c r="H24" s="304">
        <f t="shared" si="11"/>
        <v>3.5880772405802962E-4</v>
      </c>
      <c r="I24" s="304">
        <f t="shared" si="11"/>
        <v>1.5911860726233681E-3</v>
      </c>
      <c r="J24" s="304">
        <f t="shared" si="11"/>
        <v>9.3285257788346104E-3</v>
      </c>
      <c r="K24" s="304">
        <f t="shared" si="11"/>
        <v>1.4343883705512535E-3</v>
      </c>
      <c r="L24" s="304">
        <f t="shared" si="11"/>
        <v>2.8475774709711302E-2</v>
      </c>
      <c r="M24" s="304">
        <f t="shared" si="11"/>
        <v>3.6281954103967486E-2</v>
      </c>
      <c r="N24" s="304">
        <f t="shared" si="11"/>
        <v>1.1043912652582738E-3</v>
      </c>
      <c r="O24" s="304">
        <f t="shared" si="11"/>
        <v>3.7176722694756102E-2</v>
      </c>
      <c r="P24" s="304">
        <f t="shared" si="11"/>
        <v>4.8005714545741193E-2</v>
      </c>
      <c r="Q24" s="305">
        <f t="shared" si="11"/>
        <v>3.9832302601297467E-3</v>
      </c>
    </row>
    <row r="26" spans="2:18" ht="13" thickBot="1">
      <c r="R26" s="307" t="s">
        <v>860</v>
      </c>
    </row>
    <row r="27" spans="2:18" ht="13.5" thickBot="1">
      <c r="B27" s="293" t="s">
        <v>861</v>
      </c>
      <c r="C27" s="311">
        <f t="shared" ref="C27:C31" si="12">C20-MAX($C$20:$C$24)</f>
        <v>0</v>
      </c>
      <c r="D27" s="312">
        <f t="shared" ref="D27:M27" si="13">D20-MIN(D$20:D$24)</f>
        <v>2.6305960897677547E-2</v>
      </c>
      <c r="E27" s="312">
        <f t="shared" si="13"/>
        <v>1.9610992469641771E-2</v>
      </c>
      <c r="F27" s="312">
        <f t="shared" si="13"/>
        <v>1.4791935602942403E-2</v>
      </c>
      <c r="G27" s="312">
        <f t="shared" si="13"/>
        <v>8.8950944362303844E-3</v>
      </c>
      <c r="H27" s="312">
        <f t="shared" si="13"/>
        <v>6.6669567060269386E-2</v>
      </c>
      <c r="I27" s="312">
        <f t="shared" si="13"/>
        <v>3.3414907525090735E-2</v>
      </c>
      <c r="J27" s="312">
        <f t="shared" si="13"/>
        <v>9.2568180335046452E-4</v>
      </c>
      <c r="K27" s="312">
        <f t="shared" si="13"/>
        <v>6.3073775333052215E-3</v>
      </c>
      <c r="L27" s="312">
        <f t="shared" si="13"/>
        <v>3.6889071783035104E-2</v>
      </c>
      <c r="M27" s="312">
        <f t="shared" si="13"/>
        <v>1.0671162971755146E-2</v>
      </c>
      <c r="N27" s="312">
        <f t="shared" ref="N27:O27" si="14">N20-MAX(N$20:N$24)</f>
        <v>0</v>
      </c>
      <c r="O27" s="312">
        <f t="shared" si="14"/>
        <v>-2.2371833126047919E-2</v>
      </c>
      <c r="P27" s="312">
        <f t="shared" ref="P27:Q27" si="15">P20-MIN(P$20:P$24)</f>
        <v>1.3035220259250233E-2</v>
      </c>
      <c r="Q27" s="313">
        <f t="shared" si="15"/>
        <v>6.9760747750003751E-3</v>
      </c>
      <c r="R27" s="308">
        <f t="shared" ref="R27:R31" si="16">SQRT(SUMSQ(C27:Q27))</f>
        <v>9.5761707500677598E-2</v>
      </c>
    </row>
    <row r="28" spans="2:18" ht="12.5">
      <c r="C28" s="314">
        <f t="shared" si="12"/>
        <v>-5.6517163269146894E-2</v>
      </c>
      <c r="D28" s="315">
        <f t="shared" ref="D28:M28" si="17">D21-MIN(D$20:D$24)</f>
        <v>8.7686536325591868E-3</v>
      </c>
      <c r="E28" s="315">
        <f t="shared" si="17"/>
        <v>0</v>
      </c>
      <c r="F28" s="315">
        <f t="shared" si="17"/>
        <v>5.7881487141948559E-3</v>
      </c>
      <c r="G28" s="315">
        <f t="shared" si="17"/>
        <v>1.5566415263403171E-2</v>
      </c>
      <c r="H28" s="315">
        <f t="shared" si="17"/>
        <v>1.2073448482419561E-2</v>
      </c>
      <c r="I28" s="315">
        <f t="shared" si="17"/>
        <v>6.3647442904934742E-3</v>
      </c>
      <c r="J28" s="315">
        <f t="shared" si="17"/>
        <v>0</v>
      </c>
      <c r="K28" s="315">
        <f t="shared" si="17"/>
        <v>1.5143711187880621E-3</v>
      </c>
      <c r="L28" s="315">
        <f t="shared" si="17"/>
        <v>0</v>
      </c>
      <c r="M28" s="315">
        <f t="shared" si="17"/>
        <v>0</v>
      </c>
      <c r="N28" s="315">
        <f t="shared" ref="N28:O28" si="18">N21-MAX(N$20:N$24)</f>
        <v>-6.5850105853044544E-2</v>
      </c>
      <c r="O28" s="315">
        <f t="shared" si="18"/>
        <v>-2.939044744010217E-2</v>
      </c>
      <c r="P28" s="315">
        <f t="shared" ref="P28:Q28" si="19">P21-MIN(P$20:P$24)</f>
        <v>3.4004922415435384E-3</v>
      </c>
      <c r="Q28" s="316">
        <f t="shared" si="19"/>
        <v>2.2084879209975282E-2</v>
      </c>
      <c r="R28" s="309">
        <f t="shared" si="16"/>
        <v>9.7132932144698231E-2</v>
      </c>
    </row>
    <row r="29" spans="2:18" ht="12.5">
      <c r="C29" s="314">
        <f t="shared" si="12"/>
        <v>-6.3494230428922771E-2</v>
      </c>
      <c r="D29" s="315">
        <f t="shared" ref="D29:M29" si="20">D22-MIN(D$20:D$24)</f>
        <v>2.8936556987445308E-2</v>
      </c>
      <c r="E29" s="315">
        <f t="shared" si="20"/>
        <v>1.5153948726541362E-2</v>
      </c>
      <c r="F29" s="315">
        <f t="shared" si="20"/>
        <v>9.0037868887475475E-3</v>
      </c>
      <c r="G29" s="315">
        <f t="shared" si="20"/>
        <v>4.4475472181151922E-3</v>
      </c>
      <c r="H29" s="315">
        <f t="shared" si="20"/>
        <v>2.0888505779330185E-2</v>
      </c>
      <c r="I29" s="315">
        <f t="shared" si="20"/>
        <v>1.7503046798857051E-2</v>
      </c>
      <c r="J29" s="315">
        <f t="shared" si="20"/>
        <v>7.9856352753825272E-2</v>
      </c>
      <c r="K29" s="315">
        <f t="shared" si="20"/>
        <v>1.6745502644051991E-2</v>
      </c>
      <c r="L29" s="315">
        <f t="shared" si="20"/>
        <v>1.2228741785106686E-2</v>
      </c>
      <c r="M29" s="315">
        <f t="shared" si="20"/>
        <v>6.4026977830530865E-3</v>
      </c>
      <c r="N29" s="315">
        <f t="shared" ref="N29:O29" si="21">N22-MAX(N$20:N$24)</f>
        <v>-6.9223347412262326E-2</v>
      </c>
      <c r="O29" s="315">
        <f t="shared" si="21"/>
        <v>-3.6189730056842222E-2</v>
      </c>
      <c r="P29" s="315">
        <f t="shared" ref="P29:Q29" si="22">P22-MIN(P$20:P$24)</f>
        <v>0</v>
      </c>
      <c r="Q29" s="316">
        <f t="shared" si="22"/>
        <v>3.8082862087774061E-2</v>
      </c>
      <c r="R29" s="309">
        <f t="shared" si="16"/>
        <v>0.14262495341777487</v>
      </c>
    </row>
    <row r="30" spans="2:18" ht="12.5">
      <c r="C30" s="314">
        <f t="shared" si="12"/>
        <v>-7.2894295807365589E-2</v>
      </c>
      <c r="D30" s="315">
        <f t="shared" ref="D30:M30" si="23">D23-MIN(D$20:D$24)</f>
        <v>0</v>
      </c>
      <c r="E30" s="315">
        <f t="shared" si="23"/>
        <v>0</v>
      </c>
      <c r="F30" s="315">
        <f t="shared" si="23"/>
        <v>0</v>
      </c>
      <c r="G30" s="315">
        <f t="shared" si="23"/>
        <v>0</v>
      </c>
      <c r="H30" s="315">
        <f t="shared" si="23"/>
        <v>1.4017949059140855E-3</v>
      </c>
      <c r="I30" s="315">
        <f t="shared" si="23"/>
        <v>1.5911860726233681E-3</v>
      </c>
      <c r="J30" s="315">
        <f t="shared" si="23"/>
        <v>1.3389791718886294E-2</v>
      </c>
      <c r="K30" s="315">
        <f t="shared" si="23"/>
        <v>2.1715417428982361E-2</v>
      </c>
      <c r="L30" s="315">
        <f t="shared" si="23"/>
        <v>5.0605354038052074E-2</v>
      </c>
      <c r="M30" s="315">
        <f t="shared" si="23"/>
        <v>0</v>
      </c>
      <c r="N30" s="315">
        <f t="shared" ref="N30:O30" si="24">N23-MAX(N$20:N$24)</f>
        <v>-7.0615981334120684E-2</v>
      </c>
      <c r="O30" s="315">
        <f t="shared" si="24"/>
        <v>-3.5422069116242537E-2</v>
      </c>
      <c r="P30" s="315">
        <f t="shared" ref="P30:Q30" si="25">P23-MIN(P$20:P$24)</f>
        <v>1.0642281274460333E-2</v>
      </c>
      <c r="Q30" s="316">
        <f t="shared" si="25"/>
        <v>2.6024734911918573E-4</v>
      </c>
      <c r="R30" s="309">
        <f t="shared" si="16"/>
        <v>0.12200200275691614</v>
      </c>
    </row>
    <row r="31" spans="2:18" ht="13" thickBot="1">
      <c r="C31" s="317">
        <f t="shared" si="12"/>
        <v>-7.397442754339785E-2</v>
      </c>
      <c r="D31" s="318">
        <f t="shared" ref="D31:M31" si="26">D24-MIN(D$20:D$24)</f>
        <v>0</v>
      </c>
      <c r="E31" s="318">
        <f t="shared" si="26"/>
        <v>6.2398612403405662E-3</v>
      </c>
      <c r="F31" s="318">
        <f t="shared" si="26"/>
        <v>1.029004215856863E-2</v>
      </c>
      <c r="G31" s="318">
        <f t="shared" si="26"/>
        <v>1.5566415263403171E-2</v>
      </c>
      <c r="H31" s="318">
        <f t="shared" si="26"/>
        <v>0</v>
      </c>
      <c r="I31" s="318">
        <f t="shared" si="26"/>
        <v>0</v>
      </c>
      <c r="J31" s="318">
        <f t="shared" si="26"/>
        <v>9.2242236038092059E-3</v>
      </c>
      <c r="K31" s="318">
        <f t="shared" si="26"/>
        <v>0</v>
      </c>
      <c r="L31" s="318">
        <f t="shared" si="26"/>
        <v>4.6210348104226209E-2</v>
      </c>
      <c r="M31" s="318">
        <f t="shared" si="26"/>
        <v>4.268465188702053E-3</v>
      </c>
      <c r="N31" s="318">
        <f t="shared" ref="N31:O31" si="27">N24-MAX(N$20:N$24)</f>
        <v>-7.0086199002025742E-2</v>
      </c>
      <c r="O31" s="318">
        <f t="shared" si="27"/>
        <v>0</v>
      </c>
      <c r="P31" s="318">
        <f t="shared" ref="P31:Q31" si="28">P24-MIN(P$20:P$24)</f>
        <v>3.6523805557319489E-2</v>
      </c>
      <c r="Q31" s="319">
        <f t="shared" si="28"/>
        <v>0</v>
      </c>
      <c r="R31" s="310">
        <f t="shared" si="16"/>
        <v>0.11976692398765355</v>
      </c>
    </row>
    <row r="33" spans="2:18" ht="13" thickBot="1">
      <c r="R33" s="307" t="s">
        <v>862</v>
      </c>
    </row>
    <row r="34" spans="2:18" ht="13.5" thickBot="1">
      <c r="B34" s="306" t="s">
        <v>863</v>
      </c>
      <c r="C34" s="335">
        <f t="shared" ref="C34:C38" si="29">C20-MIN(C$20:C$24)</f>
        <v>7.397442754339785E-2</v>
      </c>
      <c r="D34" s="336">
        <f t="shared" ref="D34:M34" si="30">D20-MAX(D$20:D$24)</f>
        <v>-2.6305960897677616E-3</v>
      </c>
      <c r="E34" s="336">
        <f t="shared" si="30"/>
        <v>0</v>
      </c>
      <c r="F34" s="336">
        <f t="shared" si="30"/>
        <v>0</v>
      </c>
      <c r="G34" s="336">
        <f t="shared" si="30"/>
        <v>-6.6713208271727865E-3</v>
      </c>
      <c r="H34" s="336">
        <f t="shared" si="30"/>
        <v>0</v>
      </c>
      <c r="I34" s="336">
        <f t="shared" si="30"/>
        <v>0</v>
      </c>
      <c r="J34" s="336">
        <f t="shared" si="30"/>
        <v>-7.8930670950474804E-2</v>
      </c>
      <c r="K34" s="336">
        <f t="shared" si="30"/>
        <v>-1.540803989567714E-2</v>
      </c>
      <c r="L34" s="336">
        <f t="shared" si="30"/>
        <v>-1.3716282255016973E-2</v>
      </c>
      <c r="M34" s="336">
        <f t="shared" si="30"/>
        <v>0</v>
      </c>
      <c r="N34" s="336">
        <f t="shared" ref="N34:O34" si="31">N20-MIN(N$20:N$24)</f>
        <v>7.0615981334120684E-2</v>
      </c>
      <c r="O34" s="336">
        <f t="shared" si="31"/>
        <v>1.3817896930794304E-2</v>
      </c>
      <c r="P34" s="336">
        <f t="shared" ref="P34:Q34" si="32">P20-MAX(P$20:P$24)</f>
        <v>-2.348858529806926E-2</v>
      </c>
      <c r="Q34" s="337">
        <f t="shared" si="32"/>
        <v>-3.1106787312773686E-2</v>
      </c>
      <c r="R34" s="308">
        <f t="shared" ref="R34:R38" si="33">SQRT(SUMSQ(C34:Q34))</f>
        <v>0.13739044489467211</v>
      </c>
    </row>
    <row r="35" spans="2:18" ht="12.5">
      <c r="C35" s="338">
        <f t="shared" si="29"/>
        <v>1.7457264274250952E-2</v>
      </c>
      <c r="D35" s="339">
        <f t="shared" ref="D35:M35" si="34">D21-MAX(D$20:D$24)</f>
        <v>-2.0167903354886121E-2</v>
      </c>
      <c r="E35" s="339">
        <f t="shared" si="34"/>
        <v>-1.9610992469641771E-2</v>
      </c>
      <c r="F35" s="339">
        <f t="shared" si="34"/>
        <v>-9.0037868887475475E-3</v>
      </c>
      <c r="G35" s="339">
        <f t="shared" si="34"/>
        <v>0</v>
      </c>
      <c r="H35" s="339">
        <f t="shared" si="34"/>
        <v>-5.4596118577849823E-2</v>
      </c>
      <c r="I35" s="339">
        <f t="shared" si="34"/>
        <v>-2.705016323459726E-2</v>
      </c>
      <c r="J35" s="339">
        <f t="shared" si="34"/>
        <v>-7.9856352753825272E-2</v>
      </c>
      <c r="K35" s="339">
        <f t="shared" si="34"/>
        <v>-2.0201046310194301E-2</v>
      </c>
      <c r="L35" s="339">
        <f t="shared" si="34"/>
        <v>-5.0605354038052074E-2</v>
      </c>
      <c r="M35" s="339">
        <f t="shared" si="34"/>
        <v>-1.0671162971755146E-2</v>
      </c>
      <c r="N35" s="339">
        <f t="shared" ref="N35:O35" si="35">N21-MIN(N$20:N$24)</f>
        <v>4.7658754810761365E-3</v>
      </c>
      <c r="O35" s="339">
        <f t="shared" si="35"/>
        <v>6.7992826167400534E-3</v>
      </c>
      <c r="P35" s="339">
        <f t="shared" ref="P35:Q35" si="36">P21-MAX(P$20:P$24)</f>
        <v>-3.3123313315775955E-2</v>
      </c>
      <c r="Q35" s="340">
        <f t="shared" si="36"/>
        <v>-1.5997982877798782E-2</v>
      </c>
      <c r="R35" s="309">
        <f t="shared" si="33"/>
        <v>0.12558477287662531</v>
      </c>
    </row>
    <row r="36" spans="2:18" ht="12.5">
      <c r="C36" s="338">
        <f t="shared" si="29"/>
        <v>1.048019711447507E-2</v>
      </c>
      <c r="D36" s="339">
        <f t="shared" ref="D36:M36" si="37">D22-MAX(D$20:D$24)</f>
        <v>0</v>
      </c>
      <c r="E36" s="339">
        <f t="shared" si="37"/>
        <v>-4.4570437431004084E-3</v>
      </c>
      <c r="F36" s="339">
        <f t="shared" si="37"/>
        <v>-5.7881487141948559E-3</v>
      </c>
      <c r="G36" s="339">
        <f t="shared" si="37"/>
        <v>-1.1118868045287979E-2</v>
      </c>
      <c r="H36" s="339">
        <f t="shared" si="37"/>
        <v>-4.57810612809392E-2</v>
      </c>
      <c r="I36" s="339">
        <f t="shared" si="37"/>
        <v>-1.5911860726233684E-2</v>
      </c>
      <c r="J36" s="339">
        <f t="shared" si="37"/>
        <v>0</v>
      </c>
      <c r="K36" s="339">
        <f t="shared" si="37"/>
        <v>-4.9699147849303696E-3</v>
      </c>
      <c r="L36" s="339">
        <f t="shared" si="37"/>
        <v>-3.8376612252945384E-2</v>
      </c>
      <c r="M36" s="339">
        <f t="shared" si="37"/>
        <v>-4.26846518870206E-3</v>
      </c>
      <c r="N36" s="339">
        <f t="shared" ref="N36:O36" si="38">N22-MIN(N$20:N$24)</f>
        <v>1.3926339218583513E-3</v>
      </c>
      <c r="O36" s="339">
        <f t="shared" si="38"/>
        <v>0</v>
      </c>
      <c r="P36" s="339">
        <f t="shared" ref="P36:Q36" si="39">P22-MAX(P$20:P$24)</f>
        <v>-3.6523805557319489E-2</v>
      </c>
      <c r="Q36" s="340">
        <f t="shared" si="39"/>
        <v>0</v>
      </c>
      <c r="R36" s="309">
        <f t="shared" si="33"/>
        <v>7.4077908745396104E-2</v>
      </c>
    </row>
    <row r="37" spans="2:18" ht="12.5">
      <c r="C37" s="338">
        <f t="shared" si="29"/>
        <v>1.0801317360322493E-3</v>
      </c>
      <c r="D37" s="339">
        <f t="shared" ref="D37:M37" si="40">D23-MAX(D$20:D$24)</f>
        <v>-2.8936556987445308E-2</v>
      </c>
      <c r="E37" s="339">
        <f t="shared" si="40"/>
        <v>-1.9610992469641771E-2</v>
      </c>
      <c r="F37" s="339">
        <f t="shared" si="40"/>
        <v>-1.4791935602942403E-2</v>
      </c>
      <c r="G37" s="339">
        <f t="shared" si="40"/>
        <v>-1.5566415263403171E-2</v>
      </c>
      <c r="H37" s="339">
        <f t="shared" si="40"/>
        <v>-6.5267772154355294E-2</v>
      </c>
      <c r="I37" s="339">
        <f t="shared" si="40"/>
        <v>-3.1823721452467368E-2</v>
      </c>
      <c r="J37" s="339">
        <f t="shared" si="40"/>
        <v>-6.6466561034938976E-2</v>
      </c>
      <c r="K37" s="339">
        <f t="shared" si="40"/>
        <v>0</v>
      </c>
      <c r="L37" s="339">
        <f t="shared" si="40"/>
        <v>0</v>
      </c>
      <c r="M37" s="339">
        <f t="shared" si="40"/>
        <v>-1.0671162971755146E-2</v>
      </c>
      <c r="N37" s="339">
        <f t="shared" ref="N37:O37" si="41">N23-MIN(N$20:N$24)</f>
        <v>0</v>
      </c>
      <c r="O37" s="339">
        <f t="shared" si="41"/>
        <v>7.6766094059968351E-4</v>
      </c>
      <c r="P37" s="339">
        <f t="shared" ref="P37:Q37" si="42">P23-MAX(P$20:P$24)</f>
        <v>-2.5881524282859159E-2</v>
      </c>
      <c r="Q37" s="340">
        <f t="shared" si="42"/>
        <v>-3.7822614738654878E-2</v>
      </c>
      <c r="R37" s="309">
        <f t="shared" si="33"/>
        <v>0.11657400334458909</v>
      </c>
    </row>
    <row r="38" spans="2:18" ht="13" thickBot="1">
      <c r="C38" s="341">
        <f t="shared" si="29"/>
        <v>0</v>
      </c>
      <c r="D38" s="342">
        <f t="shared" ref="D38:M38" si="43">D24-MAX(D$20:D$24)</f>
        <v>-2.8936556987445308E-2</v>
      </c>
      <c r="E38" s="342">
        <f t="shared" si="43"/>
        <v>-1.3371131229301204E-2</v>
      </c>
      <c r="F38" s="342">
        <f t="shared" si="43"/>
        <v>-4.5018934443737738E-3</v>
      </c>
      <c r="G38" s="342">
        <f t="shared" si="43"/>
        <v>0</v>
      </c>
      <c r="H38" s="342">
        <f t="shared" si="43"/>
        <v>-6.6669567060269386E-2</v>
      </c>
      <c r="I38" s="342">
        <f t="shared" si="43"/>
        <v>-3.3414907525090735E-2</v>
      </c>
      <c r="J38" s="342">
        <f t="shared" si="43"/>
        <v>-7.0632129150016057E-2</v>
      </c>
      <c r="K38" s="342">
        <f t="shared" si="43"/>
        <v>-2.1715417428982361E-2</v>
      </c>
      <c r="L38" s="342">
        <f t="shared" si="43"/>
        <v>-4.3950059338258608E-3</v>
      </c>
      <c r="M38" s="342">
        <f t="shared" si="43"/>
        <v>-6.4026977830530934E-3</v>
      </c>
      <c r="N38" s="342">
        <f t="shared" ref="N38:O38" si="44">N24-MIN(N$20:N$24)</f>
        <v>5.2978233209494249E-4</v>
      </c>
      <c r="O38" s="342">
        <f t="shared" si="44"/>
        <v>3.6189730056842222E-2</v>
      </c>
      <c r="P38" s="342">
        <f t="shared" ref="P38:Q38" si="45">P24-MAX(P$20:P$24)</f>
        <v>0</v>
      </c>
      <c r="Q38" s="343">
        <f t="shared" si="45"/>
        <v>-3.8082862087774061E-2</v>
      </c>
      <c r="R38" s="310">
        <f t="shared" si="33"/>
        <v>0.12197874813376053</v>
      </c>
    </row>
    <row r="40" spans="2:18" ht="13" thickBot="1"/>
    <row r="41" spans="2:18" ht="13.5" thickBot="1">
      <c r="E41" s="344"/>
      <c r="F41" s="345" t="s">
        <v>889</v>
      </c>
    </row>
    <row r="42" spans="2:18" ht="13">
      <c r="B42" s="326" t="s">
        <v>888</v>
      </c>
      <c r="C42" s="321" t="s">
        <v>854</v>
      </c>
      <c r="D42" s="329" t="s">
        <v>864</v>
      </c>
      <c r="E42" s="331">
        <v>1</v>
      </c>
      <c r="F42" s="332" t="str">
        <f>VLOOKUP(E42,B43:D47,2,0)</f>
        <v>DLF Ltd</v>
      </c>
    </row>
    <row r="43" spans="2:18" ht="12.5">
      <c r="B43" s="322">
        <f>_xlfn.RANK.AVG(D43,$D$43:$D$47)</f>
        <v>5</v>
      </c>
      <c r="C43" s="327" t="s">
        <v>138</v>
      </c>
      <c r="D43" s="330">
        <f t="shared" ref="D43:D47" si="46">R27/(R27+R34)</f>
        <v>0.41072624257097617</v>
      </c>
      <c r="E43" s="331">
        <v>2</v>
      </c>
      <c r="F43" s="332" t="str">
        <f>VLOOKUP(E43,B43:D47,2,0)</f>
        <v>NCC Limited</v>
      </c>
    </row>
    <row r="44" spans="2:18" ht="13" thickBot="1">
      <c r="B44" s="322">
        <f t="shared" ref="B44:B47" si="47">_xlfn.RANK.AVG(D44,$D$43:$D$47)</f>
        <v>4</v>
      </c>
      <c r="C44" s="327" t="s">
        <v>139</v>
      </c>
      <c r="D44" s="330">
        <f t="shared" si="46"/>
        <v>0.43612577695786908</v>
      </c>
      <c r="E44" s="333">
        <v>3</v>
      </c>
      <c r="F44" s="334" t="str">
        <f>VLOOKUP(E44,B43:D47,2,0)</f>
        <v>JMC Projects India Limited</v>
      </c>
    </row>
    <row r="45" spans="2:18" ht="12.5">
      <c r="B45" s="322">
        <f t="shared" si="47"/>
        <v>1</v>
      </c>
      <c r="C45" s="327" t="s">
        <v>140</v>
      </c>
      <c r="D45" s="324">
        <f t="shared" si="46"/>
        <v>0.65815906626273546</v>
      </c>
    </row>
    <row r="46" spans="2:18" ht="12.5">
      <c r="B46" s="322">
        <f t="shared" si="47"/>
        <v>2</v>
      </c>
      <c r="C46" s="327" t="s">
        <v>141</v>
      </c>
      <c r="D46" s="324">
        <f t="shared" si="46"/>
        <v>0.51137582840165752</v>
      </c>
    </row>
    <row r="47" spans="2:18" ht="13" thickBot="1">
      <c r="B47" s="323">
        <f t="shared" si="47"/>
        <v>3</v>
      </c>
      <c r="C47" s="328" t="s">
        <v>142</v>
      </c>
      <c r="D47" s="325">
        <f t="shared" si="46"/>
        <v>0.49542530766590914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vt:i4>
      </vt:variant>
    </vt:vector>
  </HeadingPairs>
  <TitlesOfParts>
    <vt:vector size="27" baseType="lpstr">
      <vt:lpstr>Case Proposal</vt:lpstr>
      <vt:lpstr>Dashboard</vt:lpstr>
      <vt:lpstr>Solver</vt:lpstr>
      <vt:lpstr>Industry Data</vt:lpstr>
      <vt:lpstr>Industry Data Calculations</vt:lpstr>
      <vt:lpstr>Industry Data Topsis</vt:lpstr>
      <vt:lpstr>Company data</vt:lpstr>
      <vt:lpstr>Master_return and risk</vt:lpstr>
      <vt:lpstr>Data</vt:lpstr>
      <vt:lpstr>Return</vt:lpstr>
      <vt:lpstr>ESG Data</vt:lpstr>
      <vt:lpstr>CRISIL Ranking</vt:lpstr>
      <vt:lpstr>TOPSIS_FMCG</vt:lpstr>
      <vt:lpstr>TOPSIS_Electronics</vt:lpstr>
      <vt:lpstr>TOPSIS_Agro_Chemical</vt:lpstr>
      <vt:lpstr>TOPSIS_IT_Software</vt:lpstr>
      <vt:lpstr>TOPSIS_Hotels_and_Restaurants</vt:lpstr>
      <vt:lpstr>TOPSIS_Entertainment</vt:lpstr>
      <vt:lpstr>TOPSIS_Banks</vt:lpstr>
      <vt:lpstr>TOPSIS_Power_Gen_and_Dist</vt:lpstr>
      <vt:lpstr>TOPSIS_Cement</vt:lpstr>
      <vt:lpstr>TOPSIS_Automobiles</vt:lpstr>
      <vt:lpstr>TOPSIS_Pharmaceuticals</vt:lpstr>
      <vt:lpstr>TOPSIS_Infrastructure</vt:lpstr>
      <vt:lpstr>Amount_Over</vt:lpstr>
      <vt:lpstr>Amount_Under</vt:lpstr>
      <vt:lpstr>Level_Achieved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Maharshi Tripathy</dc:creator>
  <cp:lastModifiedBy>Maharshi Tripathy</cp:lastModifiedBy>
  <cp:lastPrinted>2023-08-21T14:07:45Z</cp:lastPrinted>
  <dcterms:created xsi:type="dcterms:W3CDTF">2023-08-19T17:18:57Z</dcterms:created>
  <dcterms:modified xsi:type="dcterms:W3CDTF">2023-08-21T22:56:41Z</dcterms:modified>
</cp:coreProperties>
</file>